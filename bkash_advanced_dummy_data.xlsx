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bima\Documents\my_analysis\"/>
    </mc:Choice>
  </mc:AlternateContent>
  <xr:revisionPtr revIDLastSave="0" documentId="13_ncr:1_{E9F43DB2-9129-423B-86BE-CF948B57F5BB}" xr6:coauthVersionLast="47" xr6:coauthVersionMax="47" xr10:uidLastSave="{00000000-0000-0000-0000-000000000000}"/>
  <bookViews>
    <workbookView xWindow="-120" yWindow="-120" windowWidth="21840" windowHeight="13020" xr2:uid="{00000000-000D-0000-FFFF-FFFF00000000}"/>
  </bookViews>
  <sheets>
    <sheet name="Pivot Table" sheetId="2" r:id="rId1"/>
    <sheet name="Dashboard" sheetId="3" r:id="rId2"/>
    <sheet name="Bkash_data" sheetId="1" r:id="rId3"/>
  </sheets>
  <definedNames>
    <definedName name="_xlchart.v2.0" hidden="1">'Pivot Table'!$J$4:$J$11</definedName>
    <definedName name="_xlchart.v2.1" hidden="1">'Pivot Table'!$K$4:$K$11</definedName>
    <definedName name="Slicer_Date_Time">#N/A</definedName>
    <definedName name="Slicer_Location">#N/A</definedName>
    <definedName name="Slicer_Send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 i="2" l="1"/>
  <c r="B6" i="2"/>
  <c r="L10" i="2"/>
  <c r="A6" i="2"/>
  <c r="C6" i="2"/>
  <c r="L9" i="2"/>
  <c r="E6" i="2"/>
  <c r="L7" i="2"/>
  <c r="L5" i="2"/>
  <c r="L6" i="2"/>
  <c r="L8" i="2"/>
  <c r="D6" i="2"/>
  <c r="L4" i="2"/>
</calcChain>
</file>

<file path=xl/sharedStrings.xml><?xml version="1.0" encoding="utf-8"?>
<sst xmlns="http://schemas.openxmlformats.org/spreadsheetml/2006/main" count="30079" uniqueCount="5059">
  <si>
    <t>Transaction_ID</t>
  </si>
  <si>
    <t>Date_Time</t>
  </si>
  <si>
    <t>Location</t>
  </si>
  <si>
    <t>Type</t>
  </si>
  <si>
    <t>Amount</t>
  </si>
  <si>
    <t>Sender_Type</t>
  </si>
  <si>
    <t>Customer_Tenure</t>
  </si>
  <si>
    <t>Merchant_Category</t>
  </si>
  <si>
    <t>Service_Charge</t>
  </si>
  <si>
    <t>Commission_Earned</t>
  </si>
  <si>
    <t>Net_Revenue</t>
  </si>
  <si>
    <t>TXN81986035</t>
  </si>
  <si>
    <t>Sylhet</t>
  </si>
  <si>
    <t>Cash Out</t>
  </si>
  <si>
    <t>Personal</t>
  </si>
  <si>
    <t>3 Years</t>
  </si>
  <si>
    <t>Not Merchant</t>
  </si>
  <si>
    <t>TXN73400611</t>
  </si>
  <si>
    <t>Rajshahi</t>
  </si>
  <si>
    <t>Send Money</t>
  </si>
  <si>
    <t>8 Years</t>
  </si>
  <si>
    <t>TXN39691083</t>
  </si>
  <si>
    <t>Khulna</t>
  </si>
  <si>
    <t>Mobile Recharge</t>
  </si>
  <si>
    <t>9 Years</t>
  </si>
  <si>
    <t>TXN79641754</t>
  </si>
  <si>
    <t>Dhaka</t>
  </si>
  <si>
    <t>7 Years</t>
  </si>
  <si>
    <t>TXN67625497</t>
  </si>
  <si>
    <t>Rangpur</t>
  </si>
  <si>
    <t>2 Years</t>
  </si>
  <si>
    <t>TXN11180587</t>
  </si>
  <si>
    <t>Cumilla</t>
  </si>
  <si>
    <t>Cash In</t>
  </si>
  <si>
    <t>1 Years</t>
  </si>
  <si>
    <t>TXN19423194</t>
  </si>
  <si>
    <t>TXN86019141</t>
  </si>
  <si>
    <t>TXN35574286</t>
  </si>
  <si>
    <t>TXN70293845</t>
  </si>
  <si>
    <t>Chittagong</t>
  </si>
  <si>
    <t>TXN55220292</t>
  </si>
  <si>
    <t>Barisal</t>
  </si>
  <si>
    <t>TXN94667344</t>
  </si>
  <si>
    <t>TXN20774292</t>
  </si>
  <si>
    <t>TXN91714328</t>
  </si>
  <si>
    <t>Payment</t>
  </si>
  <si>
    <t>Grocery</t>
  </si>
  <si>
    <t>TXN35452007</t>
  </si>
  <si>
    <t>TXN39871502</t>
  </si>
  <si>
    <t>TXN96505031</t>
  </si>
  <si>
    <t>Agent</t>
  </si>
  <si>
    <t>6 Years</t>
  </si>
  <si>
    <t>TXN23098493</t>
  </si>
  <si>
    <t>TXN92852340</t>
  </si>
  <si>
    <t>TXN35518276</t>
  </si>
  <si>
    <t>TXN60689296</t>
  </si>
  <si>
    <t>Pharmacy</t>
  </si>
  <si>
    <t>TXN93101116</t>
  </si>
  <si>
    <t>4 Years</t>
  </si>
  <si>
    <t>Restaurant</t>
  </si>
  <si>
    <t>TXN19627075</t>
  </si>
  <si>
    <t>TXN30766905</t>
  </si>
  <si>
    <t>TXN48762645</t>
  </si>
  <si>
    <t>TXN98688847</t>
  </si>
  <si>
    <t>TXN86524341</t>
  </si>
  <si>
    <t>TXN51028459</t>
  </si>
  <si>
    <t>TXN22504354</t>
  </si>
  <si>
    <t>TXN68292489</t>
  </si>
  <si>
    <t>TXN59840342</t>
  </si>
  <si>
    <t>TXN20447661</t>
  </si>
  <si>
    <t>TXN60566252</t>
  </si>
  <si>
    <t>Retail</t>
  </si>
  <si>
    <t>TXN33566956</t>
  </si>
  <si>
    <t>TXN41627030</t>
  </si>
  <si>
    <t>TXN50954866</t>
  </si>
  <si>
    <t>TXN46013908</t>
  </si>
  <si>
    <t>TXN11534283</t>
  </si>
  <si>
    <t>TXN69998048</t>
  </si>
  <si>
    <t>TXN72519889</t>
  </si>
  <si>
    <t>TXN75540198</t>
  </si>
  <si>
    <t>TXN13621801</t>
  </si>
  <si>
    <t>TXN25055178</t>
  </si>
  <si>
    <t>TXN94700581</t>
  </si>
  <si>
    <t>TXN98912158</t>
  </si>
  <si>
    <t>5 Years</t>
  </si>
  <si>
    <t>TXN27870653</t>
  </si>
  <si>
    <t>TXN15371112</t>
  </si>
  <si>
    <t>TXN48562889</t>
  </si>
  <si>
    <t>TXN59382326</t>
  </si>
  <si>
    <t>TXN24810300</t>
  </si>
  <si>
    <t>TXN54427809</t>
  </si>
  <si>
    <t>TXN30819068</t>
  </si>
  <si>
    <t>TXN18629714</t>
  </si>
  <si>
    <t>TXN17775305</t>
  </si>
  <si>
    <t>TXN85939262</t>
  </si>
  <si>
    <t>TXN14096110</t>
  </si>
  <si>
    <t>TXN65376513</t>
  </si>
  <si>
    <t>TXN23694389</t>
  </si>
  <si>
    <t>TXN91713077</t>
  </si>
  <si>
    <t>Merchant</t>
  </si>
  <si>
    <t>TXN13662537</t>
  </si>
  <si>
    <t>TXN53561188</t>
  </si>
  <si>
    <t>TXN36505871</t>
  </si>
  <si>
    <t>TXN68064805</t>
  </si>
  <si>
    <t>TXN29628525</t>
  </si>
  <si>
    <t>TXN64865254</t>
  </si>
  <si>
    <t>TXN82168982</t>
  </si>
  <si>
    <t>TXN16292881</t>
  </si>
  <si>
    <t>TXN29490566</t>
  </si>
  <si>
    <t>TXN88203577</t>
  </si>
  <si>
    <t>TXN44691709</t>
  </si>
  <si>
    <t>TXN59310070</t>
  </si>
  <si>
    <t>TXN24155649</t>
  </si>
  <si>
    <t>TXN52594315</t>
  </si>
  <si>
    <t>TXN43627070</t>
  </si>
  <si>
    <t>TXN25342090</t>
  </si>
  <si>
    <t>TXN84295147</t>
  </si>
  <si>
    <t>TXN96533418</t>
  </si>
  <si>
    <t>TXN37159840</t>
  </si>
  <si>
    <t>TXN33145321</t>
  </si>
  <si>
    <t>TXN64626603</t>
  </si>
  <si>
    <t>TXN62479150</t>
  </si>
  <si>
    <t>TXN50273984</t>
  </si>
  <si>
    <t>TXN90137678</t>
  </si>
  <si>
    <t>TXN28201126</t>
  </si>
  <si>
    <t>TXN66872878</t>
  </si>
  <si>
    <t>TXN29219163</t>
  </si>
  <si>
    <t>TXN35291215</t>
  </si>
  <si>
    <t>TXN56720978</t>
  </si>
  <si>
    <t>TXN68695970</t>
  </si>
  <si>
    <t>TXN53350017</t>
  </si>
  <si>
    <t>TXN83538208</t>
  </si>
  <si>
    <t>TXN22911371</t>
  </si>
  <si>
    <t>TXN53796504</t>
  </si>
  <si>
    <t>TXN16417183</t>
  </si>
  <si>
    <t>TXN13942664</t>
  </si>
  <si>
    <t>TXN66527525</t>
  </si>
  <si>
    <t>TXN80869497</t>
  </si>
  <si>
    <t>TXN16365846</t>
  </si>
  <si>
    <t>TXN99971206</t>
  </si>
  <si>
    <t>TXN54682356</t>
  </si>
  <si>
    <t>TXN39609103</t>
  </si>
  <si>
    <t>TXN29477594</t>
  </si>
  <si>
    <t>TXN45252140</t>
  </si>
  <si>
    <t>TXN35995712</t>
  </si>
  <si>
    <t>TXN18295908</t>
  </si>
  <si>
    <t>TXN16898107</t>
  </si>
  <si>
    <t>TXN71910151</t>
  </si>
  <si>
    <t>TXN56928802</t>
  </si>
  <si>
    <t>TXN97111777</t>
  </si>
  <si>
    <t>TXN49816600</t>
  </si>
  <si>
    <t>TXN46999874</t>
  </si>
  <si>
    <t>TXN59067814</t>
  </si>
  <si>
    <t>TXN41770903</t>
  </si>
  <si>
    <t>TXN34336825</t>
  </si>
  <si>
    <t>TXN14769984</t>
  </si>
  <si>
    <t>TXN17441508</t>
  </si>
  <si>
    <t>TXN64358578</t>
  </si>
  <si>
    <t>TXN19295864</t>
  </si>
  <si>
    <t>TXN54490142</t>
  </si>
  <si>
    <t>TXN90793166</t>
  </si>
  <si>
    <t>TXN47190803</t>
  </si>
  <si>
    <t>TXN62101444</t>
  </si>
  <si>
    <t>TXN18712735</t>
  </si>
  <si>
    <t>TXN84248789</t>
  </si>
  <si>
    <t>TXN89224714</t>
  </si>
  <si>
    <t>TXN45120847</t>
  </si>
  <si>
    <t>TXN10972078</t>
  </si>
  <si>
    <t>TXN98012149</t>
  </si>
  <si>
    <t>TXN57614802</t>
  </si>
  <si>
    <t>TXN97180017</t>
  </si>
  <si>
    <t>TXN79818948</t>
  </si>
  <si>
    <t>TXN80267753</t>
  </si>
  <si>
    <t>TXN35145389</t>
  </si>
  <si>
    <t>TXN19612695</t>
  </si>
  <si>
    <t>TXN26852909</t>
  </si>
  <si>
    <t>TXN50571843</t>
  </si>
  <si>
    <t>TXN76543456</t>
  </si>
  <si>
    <t>Electronics</t>
  </si>
  <si>
    <t>TXN75927432</t>
  </si>
  <si>
    <t>TXN87064245</t>
  </si>
  <si>
    <t>TXN88605562</t>
  </si>
  <si>
    <t>TXN11791487</t>
  </si>
  <si>
    <t>TXN30469259</t>
  </si>
  <si>
    <t>TXN82057400</t>
  </si>
  <si>
    <t>TXN70710557</t>
  </si>
  <si>
    <t>TXN96091037</t>
  </si>
  <si>
    <t>TXN80359589</t>
  </si>
  <si>
    <t>TXN75322023</t>
  </si>
  <si>
    <t>TXN59538466</t>
  </si>
  <si>
    <t>TXN98803816</t>
  </si>
  <si>
    <t>TXN40589294</t>
  </si>
  <si>
    <t>TXN95241353</t>
  </si>
  <si>
    <t>TXN88602520</t>
  </si>
  <si>
    <t>TXN85466865</t>
  </si>
  <si>
    <t>TXN39345746</t>
  </si>
  <si>
    <t>TXN76873857</t>
  </si>
  <si>
    <t>TXN18515684</t>
  </si>
  <si>
    <t>TXN53482113</t>
  </si>
  <si>
    <t>TXN47044941</t>
  </si>
  <si>
    <t>TXN92476854</t>
  </si>
  <si>
    <t>TXN55975964</t>
  </si>
  <si>
    <t>TXN93573692</t>
  </si>
  <si>
    <t>TXN58230438</t>
  </si>
  <si>
    <t>TXN42564698</t>
  </si>
  <si>
    <t>TXN40447556</t>
  </si>
  <si>
    <t>TXN12533475</t>
  </si>
  <si>
    <t>TXN16040476</t>
  </si>
  <si>
    <t>TXN29096717</t>
  </si>
  <si>
    <t>TXN39089560</t>
  </si>
  <si>
    <t>TXN74747835</t>
  </si>
  <si>
    <t>TXN10571119</t>
  </si>
  <si>
    <t>TXN10369119</t>
  </si>
  <si>
    <t>TXN24646071</t>
  </si>
  <si>
    <t>TXN45269167</t>
  </si>
  <si>
    <t>TXN43949994</t>
  </si>
  <si>
    <t>TXN33876645</t>
  </si>
  <si>
    <t>TXN86422500</t>
  </si>
  <si>
    <t>TXN43862560</t>
  </si>
  <si>
    <t>TXN24320647</t>
  </si>
  <si>
    <t>TXN50156605</t>
  </si>
  <si>
    <t>TXN29492104</t>
  </si>
  <si>
    <t>TXN67398928</t>
  </si>
  <si>
    <t>TXN82246284</t>
  </si>
  <si>
    <t>TXN32564761</t>
  </si>
  <si>
    <t>TXN12349616</t>
  </si>
  <si>
    <t>TXN65604239</t>
  </si>
  <si>
    <t>TXN30843673</t>
  </si>
  <si>
    <t>TXN30936160</t>
  </si>
  <si>
    <t>TXN69255728</t>
  </si>
  <si>
    <t>TXN99073714</t>
  </si>
  <si>
    <t>TXN21736340</t>
  </si>
  <si>
    <t>TXN75775027</t>
  </si>
  <si>
    <t>TXN18298759</t>
  </si>
  <si>
    <t>TXN42505894</t>
  </si>
  <si>
    <t>TXN47273561</t>
  </si>
  <si>
    <t>TXN45078204</t>
  </si>
  <si>
    <t>TXN51749881</t>
  </si>
  <si>
    <t>TXN69950509</t>
  </si>
  <si>
    <t>TXN39091800</t>
  </si>
  <si>
    <t>TXN44124842</t>
  </si>
  <si>
    <t>TXN96497857</t>
  </si>
  <si>
    <t>TXN75563372</t>
  </si>
  <si>
    <t>TXN59602211</t>
  </si>
  <si>
    <t>TXN24165947</t>
  </si>
  <si>
    <t>TXN24208230</t>
  </si>
  <si>
    <t>TXN94095905</t>
  </si>
  <si>
    <t>TXN21399339</t>
  </si>
  <si>
    <t>TXN19936454</t>
  </si>
  <si>
    <t>TXN53351321</t>
  </si>
  <si>
    <t>TXN98043570</t>
  </si>
  <si>
    <t>TXN85513710</t>
  </si>
  <si>
    <t>TXN15109846</t>
  </si>
  <si>
    <t>TXN12882496</t>
  </si>
  <si>
    <t>TXN79230597</t>
  </si>
  <si>
    <t>TXN46164085</t>
  </si>
  <si>
    <t>TXN76274910</t>
  </si>
  <si>
    <t>TXN61416486</t>
  </si>
  <si>
    <t>TXN19200706</t>
  </si>
  <si>
    <t>TXN99730904</t>
  </si>
  <si>
    <t>TXN98089992</t>
  </si>
  <si>
    <t>TXN44773811</t>
  </si>
  <si>
    <t>TXN61471285</t>
  </si>
  <si>
    <t>TXN37074401</t>
  </si>
  <si>
    <t>TXN32443988</t>
  </si>
  <si>
    <t>TXN18705141</t>
  </si>
  <si>
    <t>TXN34423090</t>
  </si>
  <si>
    <t>TXN80742232</t>
  </si>
  <si>
    <t>TXN95488949</t>
  </si>
  <si>
    <t>TXN82285639</t>
  </si>
  <si>
    <t>TXN42988767</t>
  </si>
  <si>
    <t>TXN64383288</t>
  </si>
  <si>
    <t>TXN29716302</t>
  </si>
  <si>
    <t>TXN15820163</t>
  </si>
  <si>
    <t>TXN60534326</t>
  </si>
  <si>
    <t>TXN96122503</t>
  </si>
  <si>
    <t>TXN44762815</t>
  </si>
  <si>
    <t>TXN25149480</t>
  </si>
  <si>
    <t>TXN50934551</t>
  </si>
  <si>
    <t>TXN92570829</t>
  </si>
  <si>
    <t>TXN31990681</t>
  </si>
  <si>
    <t>TXN49573302</t>
  </si>
  <si>
    <t>TXN89483678</t>
  </si>
  <si>
    <t>TXN77597444</t>
  </si>
  <si>
    <t>TXN73154280</t>
  </si>
  <si>
    <t>TXN58475950</t>
  </si>
  <si>
    <t>TXN49566289</t>
  </si>
  <si>
    <t>TXN62510451</t>
  </si>
  <si>
    <t>TXN13074224</t>
  </si>
  <si>
    <t>TXN14116370</t>
  </si>
  <si>
    <t>TXN25270479</t>
  </si>
  <si>
    <t>TXN29723918</t>
  </si>
  <si>
    <t>TXN45812679</t>
  </si>
  <si>
    <t>TXN16302398</t>
  </si>
  <si>
    <t>TXN93928458</t>
  </si>
  <si>
    <t>TXN73046306</t>
  </si>
  <si>
    <t>TXN88943682</t>
  </si>
  <si>
    <t>TXN38357664</t>
  </si>
  <si>
    <t>TXN91907351</t>
  </si>
  <si>
    <t>TXN93349251</t>
  </si>
  <si>
    <t>TXN63660028</t>
  </si>
  <si>
    <t>TXN62733605</t>
  </si>
  <si>
    <t>TXN86227248</t>
  </si>
  <si>
    <t>TXN47334468</t>
  </si>
  <si>
    <t>TXN86938554</t>
  </si>
  <si>
    <t>TXN35812839</t>
  </si>
  <si>
    <t>TXN64803836</t>
  </si>
  <si>
    <t>TXN54016675</t>
  </si>
  <si>
    <t>TXN84896061</t>
  </si>
  <si>
    <t>TXN29978055</t>
  </si>
  <si>
    <t>TXN21639095</t>
  </si>
  <si>
    <t>TXN51460405</t>
  </si>
  <si>
    <t>TXN81628083</t>
  </si>
  <si>
    <t>TXN85260859</t>
  </si>
  <si>
    <t>TXN11396280</t>
  </si>
  <si>
    <t>TXN75478232</t>
  </si>
  <si>
    <t>TXN60583443</t>
  </si>
  <si>
    <t>TXN45972696</t>
  </si>
  <si>
    <t>TXN16616097</t>
  </si>
  <si>
    <t>TXN36439932</t>
  </si>
  <si>
    <t>TXN80401677</t>
  </si>
  <si>
    <t>TXN84778740</t>
  </si>
  <si>
    <t>TXN35710778</t>
  </si>
  <si>
    <t>TXN66552240</t>
  </si>
  <si>
    <t>TXN22742893</t>
  </si>
  <si>
    <t>TXN33802583</t>
  </si>
  <si>
    <t>TXN55822004</t>
  </si>
  <si>
    <t>TXN15664647</t>
  </si>
  <si>
    <t>TXN74906337</t>
  </si>
  <si>
    <t>TXN69068609</t>
  </si>
  <si>
    <t>TXN45596964</t>
  </si>
  <si>
    <t>TXN10462840</t>
  </si>
  <si>
    <t>TXN33336720</t>
  </si>
  <si>
    <t>TXN66303707</t>
  </si>
  <si>
    <t>TXN63466265</t>
  </si>
  <si>
    <t>TXN71275741</t>
  </si>
  <si>
    <t>TXN39307100</t>
  </si>
  <si>
    <t>TXN64558614</t>
  </si>
  <si>
    <t>TXN16475220</t>
  </si>
  <si>
    <t>TXN53473231</t>
  </si>
  <si>
    <t>TXN50345957</t>
  </si>
  <si>
    <t>TXN73304057</t>
  </si>
  <si>
    <t>TXN40707967</t>
  </si>
  <si>
    <t>TXN80185213</t>
  </si>
  <si>
    <t>TXN69446327</t>
  </si>
  <si>
    <t>TXN21584255</t>
  </si>
  <si>
    <t>TXN96518274</t>
  </si>
  <si>
    <t>TXN55054333</t>
  </si>
  <si>
    <t>TXN72813092</t>
  </si>
  <si>
    <t>TXN52698269</t>
  </si>
  <si>
    <t>TXN76115749</t>
  </si>
  <si>
    <t>TXN56982904</t>
  </si>
  <si>
    <t>TXN69847577</t>
  </si>
  <si>
    <t>TXN92708180</t>
  </si>
  <si>
    <t>TXN50476772</t>
  </si>
  <si>
    <t>TXN14694443</t>
  </si>
  <si>
    <t>TXN10520351</t>
  </si>
  <si>
    <t>TXN36802195</t>
  </si>
  <si>
    <t>TXN78475462</t>
  </si>
  <si>
    <t>TXN73134108</t>
  </si>
  <si>
    <t>TXN89076172</t>
  </si>
  <si>
    <t>TXN17338842</t>
  </si>
  <si>
    <t>TXN28435843</t>
  </si>
  <si>
    <t>TXN79225696</t>
  </si>
  <si>
    <t>TXN39334224</t>
  </si>
  <si>
    <t>TXN23991994</t>
  </si>
  <si>
    <t>TXN69010771</t>
  </si>
  <si>
    <t>TXN53533270</t>
  </si>
  <si>
    <t>TXN70758900</t>
  </si>
  <si>
    <t>TXN86208732</t>
  </si>
  <si>
    <t>TXN65784003</t>
  </si>
  <si>
    <t>TXN73573752</t>
  </si>
  <si>
    <t>TXN84098688</t>
  </si>
  <si>
    <t>TXN53333316</t>
  </si>
  <si>
    <t>TXN59398314</t>
  </si>
  <si>
    <t>TXN33884878</t>
  </si>
  <si>
    <t>TXN50632423</t>
  </si>
  <si>
    <t>TXN85326398</t>
  </si>
  <si>
    <t>TXN54118691</t>
  </si>
  <si>
    <t>TXN39147952</t>
  </si>
  <si>
    <t>TXN25836384</t>
  </si>
  <si>
    <t>TXN66476960</t>
  </si>
  <si>
    <t>TXN41606479</t>
  </si>
  <si>
    <t>TXN62785605</t>
  </si>
  <si>
    <t>TXN37115981</t>
  </si>
  <si>
    <t>TXN37313653</t>
  </si>
  <si>
    <t>TXN11029343</t>
  </si>
  <si>
    <t>TXN38240461</t>
  </si>
  <si>
    <t>TXN94785510</t>
  </si>
  <si>
    <t>TXN42747265</t>
  </si>
  <si>
    <t>TXN79843291</t>
  </si>
  <si>
    <t>TXN24396516</t>
  </si>
  <si>
    <t>TXN54121102</t>
  </si>
  <si>
    <t>TXN85830501</t>
  </si>
  <si>
    <t>TXN24564484</t>
  </si>
  <si>
    <t>TXN73873789</t>
  </si>
  <si>
    <t>TXN82765203</t>
  </si>
  <si>
    <t>TXN66505341</t>
  </si>
  <si>
    <t>TXN87978502</t>
  </si>
  <si>
    <t>TXN20243825</t>
  </si>
  <si>
    <t>TXN24328824</t>
  </si>
  <si>
    <t>TXN19335652</t>
  </si>
  <si>
    <t>TXN11739500</t>
  </si>
  <si>
    <t>TXN29347573</t>
  </si>
  <si>
    <t>TXN41475292</t>
  </si>
  <si>
    <t>TXN19283622</t>
  </si>
  <si>
    <t>TXN89925909</t>
  </si>
  <si>
    <t>TXN22924764</t>
  </si>
  <si>
    <t>TXN22353394</t>
  </si>
  <si>
    <t>TXN63553109</t>
  </si>
  <si>
    <t>TXN21250073</t>
  </si>
  <si>
    <t>TXN86409429</t>
  </si>
  <si>
    <t>TXN65624931</t>
  </si>
  <si>
    <t>TXN14538162</t>
  </si>
  <si>
    <t>TXN52374414</t>
  </si>
  <si>
    <t>TXN85963941</t>
  </si>
  <si>
    <t>TXN49006145</t>
  </si>
  <si>
    <t>TXN93972200</t>
  </si>
  <si>
    <t>TXN57592085</t>
  </si>
  <si>
    <t>TXN69323943</t>
  </si>
  <si>
    <t>TXN91688490</t>
  </si>
  <si>
    <t>TXN26840489</t>
  </si>
  <si>
    <t>TXN44094190</t>
  </si>
  <si>
    <t>TXN30591821</t>
  </si>
  <si>
    <t>TXN91586891</t>
  </si>
  <si>
    <t>TXN73805484</t>
  </si>
  <si>
    <t>TXN28667098</t>
  </si>
  <si>
    <t>TXN98490048</t>
  </si>
  <si>
    <t>TXN28606188</t>
  </si>
  <si>
    <t>TXN75629037</t>
  </si>
  <si>
    <t>TXN81831612</t>
  </si>
  <si>
    <t>TXN83898015</t>
  </si>
  <si>
    <t>TXN54513234</t>
  </si>
  <si>
    <t>TXN60337057</t>
  </si>
  <si>
    <t>TXN13186284</t>
  </si>
  <si>
    <t>TXN31647803</t>
  </si>
  <si>
    <t>TXN22313403</t>
  </si>
  <si>
    <t>TXN24923259</t>
  </si>
  <si>
    <t>TXN50685379</t>
  </si>
  <si>
    <t>TXN27813100</t>
  </si>
  <si>
    <t>TXN19545394</t>
  </si>
  <si>
    <t>TXN96549762</t>
  </si>
  <si>
    <t>TXN82472363</t>
  </si>
  <si>
    <t>TXN69047121</t>
  </si>
  <si>
    <t>TXN87924270</t>
  </si>
  <si>
    <t>TXN46362484</t>
  </si>
  <si>
    <t>TXN92136136</t>
  </si>
  <si>
    <t>TXN96603091</t>
  </si>
  <si>
    <t>TXN18170343</t>
  </si>
  <si>
    <t>TXN66311776</t>
  </si>
  <si>
    <t>TXN60086996</t>
  </si>
  <si>
    <t>TXN41232627</t>
  </si>
  <si>
    <t>TXN26313080</t>
  </si>
  <si>
    <t>TXN77670331</t>
  </si>
  <si>
    <t>TXN18711277</t>
  </si>
  <si>
    <t>TXN67071451</t>
  </si>
  <si>
    <t>TXN72283997</t>
  </si>
  <si>
    <t>TXN56532272</t>
  </si>
  <si>
    <t>TXN49067772</t>
  </si>
  <si>
    <t>TXN67082695</t>
  </si>
  <si>
    <t>TXN43962467</t>
  </si>
  <si>
    <t>TXN88486226</t>
  </si>
  <si>
    <t>TXN54885096</t>
  </si>
  <si>
    <t>TXN92180766</t>
  </si>
  <si>
    <t>TXN10418996</t>
  </si>
  <si>
    <t>TXN74551115</t>
  </si>
  <si>
    <t>TXN20149795</t>
  </si>
  <si>
    <t>TXN16827793</t>
  </si>
  <si>
    <t>TXN76798837</t>
  </si>
  <si>
    <t>TXN89637075</t>
  </si>
  <si>
    <t>TXN71046061</t>
  </si>
  <si>
    <t>TXN27299093</t>
  </si>
  <si>
    <t>TXN80789305</t>
  </si>
  <si>
    <t>TXN71911741</t>
  </si>
  <si>
    <t>TXN43585063</t>
  </si>
  <si>
    <t>TXN14095940</t>
  </si>
  <si>
    <t>TXN81945004</t>
  </si>
  <si>
    <t>TXN64429953</t>
  </si>
  <si>
    <t>TXN95653391</t>
  </si>
  <si>
    <t>TXN77954422</t>
  </si>
  <si>
    <t>TXN60511898</t>
  </si>
  <si>
    <t>TXN93441648</t>
  </si>
  <si>
    <t>TXN23208586</t>
  </si>
  <si>
    <t>TXN52412929</t>
  </si>
  <si>
    <t>TXN74090255</t>
  </si>
  <si>
    <t>TXN79525320</t>
  </si>
  <si>
    <t>TXN36974553</t>
  </si>
  <si>
    <t>TXN27356201</t>
  </si>
  <si>
    <t>TXN66629595</t>
  </si>
  <si>
    <t>TXN79324513</t>
  </si>
  <si>
    <t>TXN54364444</t>
  </si>
  <si>
    <t>TXN52764346</t>
  </si>
  <si>
    <t>TXN75745358</t>
  </si>
  <si>
    <t>TXN75163752</t>
  </si>
  <si>
    <t>TXN35858607</t>
  </si>
  <si>
    <t>TXN61350066</t>
  </si>
  <si>
    <t>TXN27189976</t>
  </si>
  <si>
    <t>TXN65124234</t>
  </si>
  <si>
    <t>TXN87769834</t>
  </si>
  <si>
    <t>TXN86442090</t>
  </si>
  <si>
    <t>TXN65888553</t>
  </si>
  <si>
    <t>TXN83042439</t>
  </si>
  <si>
    <t>TXN77128460</t>
  </si>
  <si>
    <t>TXN87558678</t>
  </si>
  <si>
    <t>TXN41522054</t>
  </si>
  <si>
    <t>TXN17912424</t>
  </si>
  <si>
    <t>TXN74217108</t>
  </si>
  <si>
    <t>TXN83082691</t>
  </si>
  <si>
    <t>TXN16245426</t>
  </si>
  <si>
    <t>TXN63205562</t>
  </si>
  <si>
    <t>TXN29695859</t>
  </si>
  <si>
    <t>TXN49170395</t>
  </si>
  <si>
    <t>TXN25276811</t>
  </si>
  <si>
    <t>TXN31638364</t>
  </si>
  <si>
    <t>TXN54164798</t>
  </si>
  <si>
    <t>TXN54735942</t>
  </si>
  <si>
    <t>TXN15399302</t>
  </si>
  <si>
    <t>TXN19065715</t>
  </si>
  <si>
    <t>TXN65886002</t>
  </si>
  <si>
    <t>TXN52102003</t>
  </si>
  <si>
    <t>TXN24889677</t>
  </si>
  <si>
    <t>TXN30405249</t>
  </si>
  <si>
    <t>TXN29011920</t>
  </si>
  <si>
    <t>TXN50160734</t>
  </si>
  <si>
    <t>TXN30761952</t>
  </si>
  <si>
    <t>TXN47371884</t>
  </si>
  <si>
    <t>TXN53317176</t>
  </si>
  <si>
    <t>TXN33275912</t>
  </si>
  <si>
    <t>TXN77104224</t>
  </si>
  <si>
    <t>TXN67723842</t>
  </si>
  <si>
    <t>TXN47554099</t>
  </si>
  <si>
    <t>TXN20167265</t>
  </si>
  <si>
    <t>TXN95684094</t>
  </si>
  <si>
    <t>TXN89973719</t>
  </si>
  <si>
    <t>TXN97450713</t>
  </si>
  <si>
    <t>TXN92848658</t>
  </si>
  <si>
    <t>TXN45789385</t>
  </si>
  <si>
    <t>TXN22224780</t>
  </si>
  <si>
    <t>TXN57283914</t>
  </si>
  <si>
    <t>TXN80493232</t>
  </si>
  <si>
    <t>TXN81637269</t>
  </si>
  <si>
    <t>TXN39348008</t>
  </si>
  <si>
    <t>TXN17489881</t>
  </si>
  <si>
    <t>TXN81787774</t>
  </si>
  <si>
    <t>TXN19982915</t>
  </si>
  <si>
    <t>TXN37081413</t>
  </si>
  <si>
    <t>TXN64641556</t>
  </si>
  <si>
    <t>TXN80548137</t>
  </si>
  <si>
    <t>TXN22515101</t>
  </si>
  <si>
    <t>TXN88388253</t>
  </si>
  <si>
    <t>TXN62328112</t>
  </si>
  <si>
    <t>TXN13745072</t>
  </si>
  <si>
    <t>TXN65463583</t>
  </si>
  <si>
    <t>TXN78190184</t>
  </si>
  <si>
    <t>TXN66980355</t>
  </si>
  <si>
    <t>TXN67684133</t>
  </si>
  <si>
    <t>TXN24481544</t>
  </si>
  <si>
    <t>TXN33951575</t>
  </si>
  <si>
    <t>TXN88070626</t>
  </si>
  <si>
    <t>TXN99068971</t>
  </si>
  <si>
    <t>TXN71801597</t>
  </si>
  <si>
    <t>TXN31437368</t>
  </si>
  <si>
    <t>TXN95037127</t>
  </si>
  <si>
    <t>TXN36430266</t>
  </si>
  <si>
    <t>TXN47578151</t>
  </si>
  <si>
    <t>TXN19376440</t>
  </si>
  <si>
    <t>TXN47658843</t>
  </si>
  <si>
    <t>TXN96573824</t>
  </si>
  <si>
    <t>TXN37771202</t>
  </si>
  <si>
    <t>TXN12750530</t>
  </si>
  <si>
    <t>TXN18181934</t>
  </si>
  <si>
    <t>TXN60932123</t>
  </si>
  <si>
    <t>TXN62748733</t>
  </si>
  <si>
    <t>TXN84519240</t>
  </si>
  <si>
    <t>TXN91837335</t>
  </si>
  <si>
    <t>TXN34970867</t>
  </si>
  <si>
    <t>TXN32251364</t>
  </si>
  <si>
    <t>TXN26034125</t>
  </si>
  <si>
    <t>TXN79842907</t>
  </si>
  <si>
    <t>TXN43250668</t>
  </si>
  <si>
    <t>TXN24297517</t>
  </si>
  <si>
    <t>TXN69732227</t>
  </si>
  <si>
    <t>TXN53184475</t>
  </si>
  <si>
    <t>TXN12033414</t>
  </si>
  <si>
    <t>TXN66804388</t>
  </si>
  <si>
    <t>TXN67815418</t>
  </si>
  <si>
    <t>TXN74086135</t>
  </si>
  <si>
    <t>TXN31951427</t>
  </si>
  <si>
    <t>TXN56473716</t>
  </si>
  <si>
    <t>TXN35611415</t>
  </si>
  <si>
    <t>TXN48533245</t>
  </si>
  <si>
    <t>TXN94216433</t>
  </si>
  <si>
    <t>TXN94295691</t>
  </si>
  <si>
    <t>TXN29999769</t>
  </si>
  <si>
    <t>TXN53273794</t>
  </si>
  <si>
    <t>TXN82961292</t>
  </si>
  <si>
    <t>TXN12241225</t>
  </si>
  <si>
    <t>TXN39734318</t>
  </si>
  <si>
    <t>TXN25098410</t>
  </si>
  <si>
    <t>TXN69203276</t>
  </si>
  <si>
    <t>TXN72251228</t>
  </si>
  <si>
    <t>TXN45656281</t>
  </si>
  <si>
    <t>TXN50751376</t>
  </si>
  <si>
    <t>TXN46213801</t>
  </si>
  <si>
    <t>TXN64671334</t>
  </si>
  <si>
    <t>TXN99419319</t>
  </si>
  <si>
    <t>TXN48651637</t>
  </si>
  <si>
    <t>TXN67433425</t>
  </si>
  <si>
    <t>TXN78120164</t>
  </si>
  <si>
    <t>TXN99682000</t>
  </si>
  <si>
    <t>TXN10216842</t>
  </si>
  <si>
    <t>TXN49894046</t>
  </si>
  <si>
    <t>TXN24326869</t>
  </si>
  <si>
    <t>TXN11767094</t>
  </si>
  <si>
    <t>TXN42874302</t>
  </si>
  <si>
    <t>TXN20006882</t>
  </si>
  <si>
    <t>TXN95170910</t>
  </si>
  <si>
    <t>TXN12471744</t>
  </si>
  <si>
    <t>TXN65501485</t>
  </si>
  <si>
    <t>TXN84472229</t>
  </si>
  <si>
    <t>TXN55913735</t>
  </si>
  <si>
    <t>TXN37560052</t>
  </si>
  <si>
    <t>TXN34841116</t>
  </si>
  <si>
    <t>TXN35347053</t>
  </si>
  <si>
    <t>TXN12898887</t>
  </si>
  <si>
    <t>TXN49890290</t>
  </si>
  <si>
    <t>TXN21321769</t>
  </si>
  <si>
    <t>TXN63131475</t>
  </si>
  <si>
    <t>TXN67360748</t>
  </si>
  <si>
    <t>TXN16848032</t>
  </si>
  <si>
    <t>TXN19295641</t>
  </si>
  <si>
    <t>TXN43969142</t>
  </si>
  <si>
    <t>TXN72674985</t>
  </si>
  <si>
    <t>TXN72090876</t>
  </si>
  <si>
    <t>TXN56442504</t>
  </si>
  <si>
    <t>TXN53374908</t>
  </si>
  <si>
    <t>TXN46775275</t>
  </si>
  <si>
    <t>TXN88514073</t>
  </si>
  <si>
    <t>TXN99023379</t>
  </si>
  <si>
    <t>TXN28463627</t>
  </si>
  <si>
    <t>TXN12778459</t>
  </si>
  <si>
    <t>TXN72551910</t>
  </si>
  <si>
    <t>TXN35722350</t>
  </si>
  <si>
    <t>TXN49786626</t>
  </si>
  <si>
    <t>TXN85770020</t>
  </si>
  <si>
    <t>TXN43077524</t>
  </si>
  <si>
    <t>TXN11272014</t>
  </si>
  <si>
    <t>TXN85029720</t>
  </si>
  <si>
    <t>TXN68742592</t>
  </si>
  <si>
    <t>TXN49191725</t>
  </si>
  <si>
    <t>TXN92198290</t>
  </si>
  <si>
    <t>TXN57222567</t>
  </si>
  <si>
    <t>TXN65258622</t>
  </si>
  <si>
    <t>TXN58179311</t>
  </si>
  <si>
    <t>TXN65050671</t>
  </si>
  <si>
    <t>TXN58555906</t>
  </si>
  <si>
    <t>TXN21925987</t>
  </si>
  <si>
    <t>TXN67338322</t>
  </si>
  <si>
    <t>TXN78758088</t>
  </si>
  <si>
    <t>TXN13353007</t>
  </si>
  <si>
    <t>TXN49868026</t>
  </si>
  <si>
    <t>TXN72579285</t>
  </si>
  <si>
    <t>TXN53741426</t>
  </si>
  <si>
    <t>TXN13135818</t>
  </si>
  <si>
    <t>TXN43544052</t>
  </si>
  <si>
    <t>TXN23186889</t>
  </si>
  <si>
    <t>TXN45743634</t>
  </si>
  <si>
    <t>TXN45811249</t>
  </si>
  <si>
    <t>TXN33929223</t>
  </si>
  <si>
    <t>TXN24148901</t>
  </si>
  <si>
    <t>TXN96773085</t>
  </si>
  <si>
    <t>TXN75312058</t>
  </si>
  <si>
    <t>TXN67694770</t>
  </si>
  <si>
    <t>TXN78599607</t>
  </si>
  <si>
    <t>TXN94598477</t>
  </si>
  <si>
    <t>TXN61361046</t>
  </si>
  <si>
    <t>TXN36885836</t>
  </si>
  <si>
    <t>TXN69313119</t>
  </si>
  <si>
    <t>TXN87723391</t>
  </si>
  <si>
    <t>TXN47326665</t>
  </si>
  <si>
    <t>TXN16834226</t>
  </si>
  <si>
    <t>TXN79394076</t>
  </si>
  <si>
    <t>TXN70072026</t>
  </si>
  <si>
    <t>TXN79134141</t>
  </si>
  <si>
    <t>TXN57200197</t>
  </si>
  <si>
    <t>TXN28887190</t>
  </si>
  <si>
    <t>TXN72138047</t>
  </si>
  <si>
    <t>TXN93754351</t>
  </si>
  <si>
    <t>TXN55567015</t>
  </si>
  <si>
    <t>TXN20613338</t>
  </si>
  <si>
    <t>TXN85383010</t>
  </si>
  <si>
    <t>TXN89919647</t>
  </si>
  <si>
    <t>TXN44876464</t>
  </si>
  <si>
    <t>TXN67707772</t>
  </si>
  <si>
    <t>TXN89939796</t>
  </si>
  <si>
    <t>TXN89924495</t>
  </si>
  <si>
    <t>TXN75236088</t>
  </si>
  <si>
    <t>TXN38635921</t>
  </si>
  <si>
    <t>TXN84689790</t>
  </si>
  <si>
    <t>TXN25818585</t>
  </si>
  <si>
    <t>TXN62172815</t>
  </si>
  <si>
    <t>TXN74309069</t>
  </si>
  <si>
    <t>TXN34110961</t>
  </si>
  <si>
    <t>TXN66857740</t>
  </si>
  <si>
    <t>TXN30838094</t>
  </si>
  <si>
    <t>TXN17701540</t>
  </si>
  <si>
    <t>TXN81612300</t>
  </si>
  <si>
    <t>TXN28155093</t>
  </si>
  <si>
    <t>TXN79587300</t>
  </si>
  <si>
    <t>TXN99723808</t>
  </si>
  <si>
    <t>TXN22917365</t>
  </si>
  <si>
    <t>TXN23149864</t>
  </si>
  <si>
    <t>TXN78553787</t>
  </si>
  <si>
    <t>TXN27534174</t>
  </si>
  <si>
    <t>TXN86203732</t>
  </si>
  <si>
    <t>TXN56612142</t>
  </si>
  <si>
    <t>TXN65388004</t>
  </si>
  <si>
    <t>TXN29944466</t>
  </si>
  <si>
    <t>TXN28358619</t>
  </si>
  <si>
    <t>TXN87613764</t>
  </si>
  <si>
    <t>TXN39853737</t>
  </si>
  <si>
    <t>TXN14012399</t>
  </si>
  <si>
    <t>TXN35160348</t>
  </si>
  <si>
    <t>TXN80647139</t>
  </si>
  <si>
    <t>TXN72811155</t>
  </si>
  <si>
    <t>TXN62716393</t>
  </si>
  <si>
    <t>TXN42412677</t>
  </si>
  <si>
    <t>TXN67770796</t>
  </si>
  <si>
    <t>TXN16683999</t>
  </si>
  <si>
    <t>TXN83528546</t>
  </si>
  <si>
    <t>TXN78235398</t>
  </si>
  <si>
    <t>TXN97181323</t>
  </si>
  <si>
    <t>TXN86235800</t>
  </si>
  <si>
    <t>TXN84640367</t>
  </si>
  <si>
    <t>TXN16222478</t>
  </si>
  <si>
    <t>TXN86034801</t>
  </si>
  <si>
    <t>TXN89670390</t>
  </si>
  <si>
    <t>TXN76052872</t>
  </si>
  <si>
    <t>TXN41408916</t>
  </si>
  <si>
    <t>TXN89088337</t>
  </si>
  <si>
    <t>TXN60026654</t>
  </si>
  <si>
    <t>TXN84508004</t>
  </si>
  <si>
    <t>TXN48343985</t>
  </si>
  <si>
    <t>TXN80461768</t>
  </si>
  <si>
    <t>TXN12139483</t>
  </si>
  <si>
    <t>TXN10126182</t>
  </si>
  <si>
    <t>TXN44680375</t>
  </si>
  <si>
    <t>TXN34713009</t>
  </si>
  <si>
    <t>TXN24808833</t>
  </si>
  <si>
    <t>TXN25142652</t>
  </si>
  <si>
    <t>TXN91031864</t>
  </si>
  <si>
    <t>TXN89806422</t>
  </si>
  <si>
    <t>TXN97240088</t>
  </si>
  <si>
    <t>TXN33873496</t>
  </si>
  <si>
    <t>TXN53445869</t>
  </si>
  <si>
    <t>TXN58522764</t>
  </si>
  <si>
    <t>TXN25870592</t>
  </si>
  <si>
    <t>TXN76822715</t>
  </si>
  <si>
    <t>TXN92727821</t>
  </si>
  <si>
    <t>TXN21275713</t>
  </si>
  <si>
    <t>TXN99865544</t>
  </si>
  <si>
    <t>TXN23862206</t>
  </si>
  <si>
    <t>TXN98782107</t>
  </si>
  <si>
    <t>TXN21526907</t>
  </si>
  <si>
    <t>TXN76354353</t>
  </si>
  <si>
    <t>TXN32510591</t>
  </si>
  <si>
    <t>TXN24450570</t>
  </si>
  <si>
    <t>TXN13003495</t>
  </si>
  <si>
    <t>TXN85937283</t>
  </si>
  <si>
    <t>TXN14173877</t>
  </si>
  <si>
    <t>TXN83289254</t>
  </si>
  <si>
    <t>TXN65870425</t>
  </si>
  <si>
    <t>TXN61876036</t>
  </si>
  <si>
    <t>TXN81323823</t>
  </si>
  <si>
    <t>TXN94169588</t>
  </si>
  <si>
    <t>TXN15220636</t>
  </si>
  <si>
    <t>TXN16172279</t>
  </si>
  <si>
    <t>TXN95490739</t>
  </si>
  <si>
    <t>TXN42479062</t>
  </si>
  <si>
    <t>TXN99860170</t>
  </si>
  <si>
    <t>TXN37593616</t>
  </si>
  <si>
    <t>TXN24706500</t>
  </si>
  <si>
    <t>TXN12292871</t>
  </si>
  <si>
    <t>TXN57010719</t>
  </si>
  <si>
    <t>TXN94953398</t>
  </si>
  <si>
    <t>TXN40212419</t>
  </si>
  <si>
    <t>TXN88758883</t>
  </si>
  <si>
    <t>TXN26266740</t>
  </si>
  <si>
    <t>TXN16019441</t>
  </si>
  <si>
    <t>TXN85792932</t>
  </si>
  <si>
    <t>TXN23751184</t>
  </si>
  <si>
    <t>TXN13455458</t>
  </si>
  <si>
    <t>TXN62892615</t>
  </si>
  <si>
    <t>TXN79292033</t>
  </si>
  <si>
    <t>TXN65244818</t>
  </si>
  <si>
    <t>TXN93191820</t>
  </si>
  <si>
    <t>TXN85731309</t>
  </si>
  <si>
    <t>TXN75972943</t>
  </si>
  <si>
    <t>TXN61302580</t>
  </si>
  <si>
    <t>TXN58078890</t>
  </si>
  <si>
    <t>TXN66525778</t>
  </si>
  <si>
    <t>TXN89715288</t>
  </si>
  <si>
    <t>TXN67331555</t>
  </si>
  <si>
    <t>TXN66559311</t>
  </si>
  <si>
    <t>TXN27774239</t>
  </si>
  <si>
    <t>TXN54830084</t>
  </si>
  <si>
    <t>TXN34992754</t>
  </si>
  <si>
    <t>TXN47737766</t>
  </si>
  <si>
    <t>TXN28388291</t>
  </si>
  <si>
    <t>TXN27432227</t>
  </si>
  <si>
    <t>TXN67895612</t>
  </si>
  <si>
    <t>TXN71149711</t>
  </si>
  <si>
    <t>TXN45301774</t>
  </si>
  <si>
    <t>TXN54193351</t>
  </si>
  <si>
    <t>TXN86105223</t>
  </si>
  <si>
    <t>TXN76416307</t>
  </si>
  <si>
    <t>TXN95283658</t>
  </si>
  <si>
    <t>TXN27397636</t>
  </si>
  <si>
    <t>TXN72017018</t>
  </si>
  <si>
    <t>TXN20693432</t>
  </si>
  <si>
    <t>TXN73357862</t>
  </si>
  <si>
    <t>TXN36018147</t>
  </si>
  <si>
    <t>TXN94219694</t>
  </si>
  <si>
    <t>TXN70008281</t>
  </si>
  <si>
    <t>TXN43581534</t>
  </si>
  <si>
    <t>TXN53144046</t>
  </si>
  <si>
    <t>TXN24614763</t>
  </si>
  <si>
    <t>TXN65647668</t>
  </si>
  <si>
    <t>TXN36720406</t>
  </si>
  <si>
    <t>TXN45361021</t>
  </si>
  <si>
    <t>TXN57460448</t>
  </si>
  <si>
    <t>TXN35459030</t>
  </si>
  <si>
    <t>TXN80954750</t>
  </si>
  <si>
    <t>TXN95898067</t>
  </si>
  <si>
    <t>TXN86848448</t>
  </si>
  <si>
    <t>TXN48178999</t>
  </si>
  <si>
    <t>TXN71244739</t>
  </si>
  <si>
    <t>TXN30127850</t>
  </si>
  <si>
    <t>TXN85248152</t>
  </si>
  <si>
    <t>TXN87564685</t>
  </si>
  <si>
    <t>TXN91588993</t>
  </si>
  <si>
    <t>TXN75278112</t>
  </si>
  <si>
    <t>TXN76722958</t>
  </si>
  <si>
    <t>TXN61821323</t>
  </si>
  <si>
    <t>TXN49053456</t>
  </si>
  <si>
    <t>TXN63111596</t>
  </si>
  <si>
    <t>TXN80610010</t>
  </si>
  <si>
    <t>TXN79447535</t>
  </si>
  <si>
    <t>TXN97329264</t>
  </si>
  <si>
    <t>TXN68673952</t>
  </si>
  <si>
    <t>TXN61071684</t>
  </si>
  <si>
    <t>TXN69802678</t>
  </si>
  <si>
    <t>TXN96575405</t>
  </si>
  <si>
    <t>TXN68154115</t>
  </si>
  <si>
    <t>TXN74106336</t>
  </si>
  <si>
    <t>TXN74793528</t>
  </si>
  <si>
    <t>TXN38885600</t>
  </si>
  <si>
    <t>TXN50925739</t>
  </si>
  <si>
    <t>TXN28687667</t>
  </si>
  <si>
    <t>TXN80797902</t>
  </si>
  <si>
    <t>TXN36248566</t>
  </si>
  <si>
    <t>TXN74044431</t>
  </si>
  <si>
    <t>TXN18772195</t>
  </si>
  <si>
    <t>TXN36200870</t>
  </si>
  <si>
    <t>TXN65765773</t>
  </si>
  <si>
    <t>TXN26565511</t>
  </si>
  <si>
    <t>TXN71734999</t>
  </si>
  <si>
    <t>TXN77232355</t>
  </si>
  <si>
    <t>TXN46229657</t>
  </si>
  <si>
    <t>TXN46416489</t>
  </si>
  <si>
    <t>TXN39390994</t>
  </si>
  <si>
    <t>TXN52421476</t>
  </si>
  <si>
    <t>TXN64849606</t>
  </si>
  <si>
    <t>TXN48656481</t>
  </si>
  <si>
    <t>TXN48530964</t>
  </si>
  <si>
    <t>TXN40295896</t>
  </si>
  <si>
    <t>TXN48548900</t>
  </si>
  <si>
    <t>TXN60251305</t>
  </si>
  <si>
    <t>TXN31626174</t>
  </si>
  <si>
    <t>TXN77352283</t>
  </si>
  <si>
    <t>TXN83791353</t>
  </si>
  <si>
    <t>TXN39645791</t>
  </si>
  <si>
    <t>TXN43680128</t>
  </si>
  <si>
    <t>TXN60756972</t>
  </si>
  <si>
    <t>TXN96281516</t>
  </si>
  <si>
    <t>TXN43868768</t>
  </si>
  <si>
    <t>TXN53012326</t>
  </si>
  <si>
    <t>TXN55941888</t>
  </si>
  <si>
    <t>TXN88012448</t>
  </si>
  <si>
    <t>TXN84551473</t>
  </si>
  <si>
    <t>TXN24064291</t>
  </si>
  <si>
    <t>TXN82010358</t>
  </si>
  <si>
    <t>TXN13243367</t>
  </si>
  <si>
    <t>TXN38513745</t>
  </si>
  <si>
    <t>TXN52612536</t>
  </si>
  <si>
    <t>TXN87855313</t>
  </si>
  <si>
    <t>TXN60971110</t>
  </si>
  <si>
    <t>TXN58510505</t>
  </si>
  <si>
    <t>TXN65269026</t>
  </si>
  <si>
    <t>TXN99470818</t>
  </si>
  <si>
    <t>TXN78357472</t>
  </si>
  <si>
    <t>TXN68014766</t>
  </si>
  <si>
    <t>TXN93401560</t>
  </si>
  <si>
    <t>TXN36730210</t>
  </si>
  <si>
    <t>TXN37165387</t>
  </si>
  <si>
    <t>TXN97641469</t>
  </si>
  <si>
    <t>TXN85647474</t>
  </si>
  <si>
    <t>TXN65455143</t>
  </si>
  <si>
    <t>TXN39979510</t>
  </si>
  <si>
    <t>TXN98378133</t>
  </si>
  <si>
    <t>TXN79599553</t>
  </si>
  <si>
    <t>TXN56661427</t>
  </si>
  <si>
    <t>TXN45472129</t>
  </si>
  <si>
    <t>TXN14357496</t>
  </si>
  <si>
    <t>TXN57124080</t>
  </si>
  <si>
    <t>TXN78547703</t>
  </si>
  <si>
    <t>TXN83772619</t>
  </si>
  <si>
    <t>TXN41359939</t>
  </si>
  <si>
    <t>TXN89472576</t>
  </si>
  <si>
    <t>TXN34530989</t>
  </si>
  <si>
    <t>TXN31982877</t>
  </si>
  <si>
    <t>TXN12377901</t>
  </si>
  <si>
    <t>TXN87547210</t>
  </si>
  <si>
    <t>TXN77137993</t>
  </si>
  <si>
    <t>TXN40566142</t>
  </si>
  <si>
    <t>TXN99374245</t>
  </si>
  <si>
    <t>TXN98861196</t>
  </si>
  <si>
    <t>TXN68752095</t>
  </si>
  <si>
    <t>TXN94342599</t>
  </si>
  <si>
    <t>TXN68897613</t>
  </si>
  <si>
    <t>TXN71671761</t>
  </si>
  <si>
    <t>TXN25137042</t>
  </si>
  <si>
    <t>TXN29592798</t>
  </si>
  <si>
    <t>TXN14940842</t>
  </si>
  <si>
    <t>TXN66403807</t>
  </si>
  <si>
    <t>TXN36629146</t>
  </si>
  <si>
    <t>TXN64941031</t>
  </si>
  <si>
    <t>TXN23733539</t>
  </si>
  <si>
    <t>TXN38665035</t>
  </si>
  <si>
    <t>TXN40100113</t>
  </si>
  <si>
    <t>TXN95111354</t>
  </si>
  <si>
    <t>TXN84102323</t>
  </si>
  <si>
    <t>TXN94055675</t>
  </si>
  <si>
    <t>TXN28167000</t>
  </si>
  <si>
    <t>TXN19422227</t>
  </si>
  <si>
    <t>TXN22209861</t>
  </si>
  <si>
    <t>TXN14809822</t>
  </si>
  <si>
    <t>TXN43163608</t>
  </si>
  <si>
    <t>TXN62649497</t>
  </si>
  <si>
    <t>TXN75382651</t>
  </si>
  <si>
    <t>TXN16020690</t>
  </si>
  <si>
    <t>TXN59970140</t>
  </si>
  <si>
    <t>TXN67284742</t>
  </si>
  <si>
    <t>TXN40499076</t>
  </si>
  <si>
    <t>TXN49990203</t>
  </si>
  <si>
    <t>TXN27624051</t>
  </si>
  <si>
    <t>TXN24478493</t>
  </si>
  <si>
    <t>TXN70686593</t>
  </si>
  <si>
    <t>TXN65426585</t>
  </si>
  <si>
    <t>TXN73295960</t>
  </si>
  <si>
    <t>TXN73790605</t>
  </si>
  <si>
    <t>TXN14456179</t>
  </si>
  <si>
    <t>TXN23983995</t>
  </si>
  <si>
    <t>TXN41717035</t>
  </si>
  <si>
    <t>TXN84288221</t>
  </si>
  <si>
    <t>TXN12896351</t>
  </si>
  <si>
    <t>TXN68980662</t>
  </si>
  <si>
    <t>TXN95783752</t>
  </si>
  <si>
    <t>TXN76414199</t>
  </si>
  <si>
    <t>TXN95038150</t>
  </si>
  <si>
    <t>TXN70310206</t>
  </si>
  <si>
    <t>TXN75678150</t>
  </si>
  <si>
    <t>TXN76458903</t>
  </si>
  <si>
    <t>TXN45448049</t>
  </si>
  <si>
    <t>TXN75344074</t>
  </si>
  <si>
    <t>TXN19436554</t>
  </si>
  <si>
    <t>TXN81358035</t>
  </si>
  <si>
    <t>TXN52821216</t>
  </si>
  <si>
    <t>TXN70087590</t>
  </si>
  <si>
    <t>TXN97329805</t>
  </si>
  <si>
    <t>TXN88304598</t>
  </si>
  <si>
    <t>TXN89725783</t>
  </si>
  <si>
    <t>TXN20991181</t>
  </si>
  <si>
    <t>TXN35198021</t>
  </si>
  <si>
    <t>TXN57035887</t>
  </si>
  <si>
    <t>TXN51743754</t>
  </si>
  <si>
    <t>TXN37340977</t>
  </si>
  <si>
    <t>TXN93394022</t>
  </si>
  <si>
    <t>TXN25531522</t>
  </si>
  <si>
    <t>TXN80780074</t>
  </si>
  <si>
    <t>TXN80255077</t>
  </si>
  <si>
    <t>TXN97899345</t>
  </si>
  <si>
    <t>TXN54099950</t>
  </si>
  <si>
    <t>TXN45597200</t>
  </si>
  <si>
    <t>TXN23247153</t>
  </si>
  <si>
    <t>TXN93663271</t>
  </si>
  <si>
    <t>TXN43945958</t>
  </si>
  <si>
    <t>TXN63373914</t>
  </si>
  <si>
    <t>TXN31290682</t>
  </si>
  <si>
    <t>TXN94249354</t>
  </si>
  <si>
    <t>TXN10179775</t>
  </si>
  <si>
    <t>TXN35923736</t>
  </si>
  <si>
    <t>TXN82394331</t>
  </si>
  <si>
    <t>TXN59961319</t>
  </si>
  <si>
    <t>TXN57407428</t>
  </si>
  <si>
    <t>TXN30591527</t>
  </si>
  <si>
    <t>TXN86522465</t>
  </si>
  <si>
    <t>TXN47238395</t>
  </si>
  <si>
    <t>TXN77172507</t>
  </si>
  <si>
    <t>TXN62216179</t>
  </si>
  <si>
    <t>TXN15107648</t>
  </si>
  <si>
    <t>TXN49239535</t>
  </si>
  <si>
    <t>TXN18148253</t>
  </si>
  <si>
    <t>TXN66631294</t>
  </si>
  <si>
    <t>TXN24346333</t>
  </si>
  <si>
    <t>TXN37547643</t>
  </si>
  <si>
    <t>TXN78289292</t>
  </si>
  <si>
    <t>TXN47549818</t>
  </si>
  <si>
    <t>TXN88772344</t>
  </si>
  <si>
    <t>TXN90650784</t>
  </si>
  <si>
    <t>TXN61073939</t>
  </si>
  <si>
    <t>TXN19050368</t>
  </si>
  <si>
    <t>TXN46478168</t>
  </si>
  <si>
    <t>TXN62916817</t>
  </si>
  <si>
    <t>TXN14114238</t>
  </si>
  <si>
    <t>TXN31626469</t>
  </si>
  <si>
    <t>TXN68608784</t>
  </si>
  <si>
    <t>TXN29508995</t>
  </si>
  <si>
    <t>TXN30760947</t>
  </si>
  <si>
    <t>TXN44893284</t>
  </si>
  <si>
    <t>TXN28070083</t>
  </si>
  <si>
    <t>TXN29463632</t>
  </si>
  <si>
    <t>TXN20861895</t>
  </si>
  <si>
    <t>TXN66596048</t>
  </si>
  <si>
    <t>TXN62511914</t>
  </si>
  <si>
    <t>TXN31936318</t>
  </si>
  <si>
    <t>TXN97533390</t>
  </si>
  <si>
    <t>TXN54774811</t>
  </si>
  <si>
    <t>TXN74379791</t>
  </si>
  <si>
    <t>TXN30687566</t>
  </si>
  <si>
    <t>TXN28440019</t>
  </si>
  <si>
    <t>TXN19018840</t>
  </si>
  <si>
    <t>TXN54036224</t>
  </si>
  <si>
    <t>TXN16312991</t>
  </si>
  <si>
    <t>TXN66152543</t>
  </si>
  <si>
    <t>TXN55297189</t>
  </si>
  <si>
    <t>TXN61163085</t>
  </si>
  <si>
    <t>TXN86268151</t>
  </si>
  <si>
    <t>TXN74241121</t>
  </si>
  <si>
    <t>TXN59014821</t>
  </si>
  <si>
    <t>TXN22986463</t>
  </si>
  <si>
    <t>TXN94030931</t>
  </si>
  <si>
    <t>TXN91286517</t>
  </si>
  <si>
    <t>TXN39499201</t>
  </si>
  <si>
    <t>TXN27437086</t>
  </si>
  <si>
    <t>TXN49031492</t>
  </si>
  <si>
    <t>TXN75454756</t>
  </si>
  <si>
    <t>TXN13926839</t>
  </si>
  <si>
    <t>TXN84936013</t>
  </si>
  <si>
    <t>TXN29676391</t>
  </si>
  <si>
    <t>TXN30964493</t>
  </si>
  <si>
    <t>TXN23652120</t>
  </si>
  <si>
    <t>TXN98297767</t>
  </si>
  <si>
    <t>TXN60828782</t>
  </si>
  <si>
    <t>TXN79526422</t>
  </si>
  <si>
    <t>TXN24492162</t>
  </si>
  <si>
    <t>TXN80702156</t>
  </si>
  <si>
    <t>TXN42690429</t>
  </si>
  <si>
    <t>TXN41347803</t>
  </si>
  <si>
    <t>TXN69655485</t>
  </si>
  <si>
    <t>TXN23545521</t>
  </si>
  <si>
    <t>TXN47896222</t>
  </si>
  <si>
    <t>TXN44631087</t>
  </si>
  <si>
    <t>TXN53266338</t>
  </si>
  <si>
    <t>TXN50511445</t>
  </si>
  <si>
    <t>TXN61746943</t>
  </si>
  <si>
    <t>TXN17748084</t>
  </si>
  <si>
    <t>TXN30139254</t>
  </si>
  <si>
    <t>TXN87215988</t>
  </si>
  <si>
    <t>TXN28228808</t>
  </si>
  <si>
    <t>TXN70944149</t>
  </si>
  <si>
    <t>TXN93426675</t>
  </si>
  <si>
    <t>TXN92248927</t>
  </si>
  <si>
    <t>TXN24256845</t>
  </si>
  <si>
    <t>TXN29029779</t>
  </si>
  <si>
    <t>TXN21055782</t>
  </si>
  <si>
    <t>TXN71076522</t>
  </si>
  <si>
    <t>TXN51931685</t>
  </si>
  <si>
    <t>TXN61604149</t>
  </si>
  <si>
    <t>TXN65726573</t>
  </si>
  <si>
    <t>TXN85691432</t>
  </si>
  <si>
    <t>TXN92155531</t>
  </si>
  <si>
    <t>TXN71370911</t>
  </si>
  <si>
    <t>TXN68952713</t>
  </si>
  <si>
    <t>TXN37776411</t>
  </si>
  <si>
    <t>TXN47010038</t>
  </si>
  <si>
    <t>TXN67218677</t>
  </si>
  <si>
    <t>TXN78729624</t>
  </si>
  <si>
    <t>TXN16919922</t>
  </si>
  <si>
    <t>TXN36057234</t>
  </si>
  <si>
    <t>TXN24708160</t>
  </si>
  <si>
    <t>TXN64528701</t>
  </si>
  <si>
    <t>TXN47351843</t>
  </si>
  <si>
    <t>TXN19013813</t>
  </si>
  <si>
    <t>TXN73515431</t>
  </si>
  <si>
    <t>TXN69029392</t>
  </si>
  <si>
    <t>TXN99679006</t>
  </si>
  <si>
    <t>TXN50976899</t>
  </si>
  <si>
    <t>TXN26143287</t>
  </si>
  <si>
    <t>TXN86384644</t>
  </si>
  <si>
    <t>TXN85944833</t>
  </si>
  <si>
    <t>TXN18846830</t>
  </si>
  <si>
    <t>TXN81705613</t>
  </si>
  <si>
    <t>TXN33403703</t>
  </si>
  <si>
    <t>TXN98255308</t>
  </si>
  <si>
    <t>TXN92877989</t>
  </si>
  <si>
    <t>TXN33996740</t>
  </si>
  <si>
    <t>TXN14801085</t>
  </si>
  <si>
    <t>TXN69627240</t>
  </si>
  <si>
    <t>TXN29149950</t>
  </si>
  <si>
    <t>TXN79707718</t>
  </si>
  <si>
    <t>TXN63256012</t>
  </si>
  <si>
    <t>TXN46399222</t>
  </si>
  <si>
    <t>TXN62500897</t>
  </si>
  <si>
    <t>TXN15223235</t>
  </si>
  <si>
    <t>TXN41212625</t>
  </si>
  <si>
    <t>TXN68743373</t>
  </si>
  <si>
    <t>TXN96263021</t>
  </si>
  <si>
    <t>TXN45806776</t>
  </si>
  <si>
    <t>TXN59172326</t>
  </si>
  <si>
    <t>TXN18059204</t>
  </si>
  <si>
    <t>TXN30325401</t>
  </si>
  <si>
    <t>TXN41961749</t>
  </si>
  <si>
    <t>TXN99846311</t>
  </si>
  <si>
    <t>TXN14070319</t>
  </si>
  <si>
    <t>TXN60643554</t>
  </si>
  <si>
    <t>TXN92261383</t>
  </si>
  <si>
    <t>TXN68370439</t>
  </si>
  <si>
    <t>TXN79587911</t>
  </si>
  <si>
    <t>TXN55510892</t>
  </si>
  <si>
    <t>TXN51862610</t>
  </si>
  <si>
    <t>TXN19773580</t>
  </si>
  <si>
    <t>TXN16324867</t>
  </si>
  <si>
    <t>TXN28442892</t>
  </si>
  <si>
    <t>TXN11719771</t>
  </si>
  <si>
    <t>TXN93614719</t>
  </si>
  <si>
    <t>TXN51051733</t>
  </si>
  <si>
    <t>TXN27184714</t>
  </si>
  <si>
    <t>TXN60246118</t>
  </si>
  <si>
    <t>TXN24876247</t>
  </si>
  <si>
    <t>TXN63001774</t>
  </si>
  <si>
    <t>TXN10469395</t>
  </si>
  <si>
    <t>TXN93388795</t>
  </si>
  <si>
    <t>TXN86988345</t>
  </si>
  <si>
    <t>TXN62982879</t>
  </si>
  <si>
    <t>TXN10627910</t>
  </si>
  <si>
    <t>TXN87597493</t>
  </si>
  <si>
    <t>TXN61302160</t>
  </si>
  <si>
    <t>TXN29619432</t>
  </si>
  <si>
    <t>TXN21516701</t>
  </si>
  <si>
    <t>TXN48123940</t>
  </si>
  <si>
    <t>TXN94055812</t>
  </si>
  <si>
    <t>TXN46889841</t>
  </si>
  <si>
    <t>TXN89040190</t>
  </si>
  <si>
    <t>TXN48339811</t>
  </si>
  <si>
    <t>TXN40766141</t>
  </si>
  <si>
    <t>TXN46986330</t>
  </si>
  <si>
    <t>TXN48925815</t>
  </si>
  <si>
    <t>TXN56289137</t>
  </si>
  <si>
    <t>TXN12233961</t>
  </si>
  <si>
    <t>TXN56758615</t>
  </si>
  <si>
    <t>TXN60754313</t>
  </si>
  <si>
    <t>TXN33288684</t>
  </si>
  <si>
    <t>TXN72963310</t>
  </si>
  <si>
    <t>TXN43523050</t>
  </si>
  <si>
    <t>TXN95138576</t>
  </si>
  <si>
    <t>TXN58624947</t>
  </si>
  <si>
    <t>TXN46942534</t>
  </si>
  <si>
    <t>TXN81647320</t>
  </si>
  <si>
    <t>TXN18380126</t>
  </si>
  <si>
    <t>TXN92633703</t>
  </si>
  <si>
    <t>TXN77726703</t>
  </si>
  <si>
    <t>TXN60664148</t>
  </si>
  <si>
    <t>TXN68795771</t>
  </si>
  <si>
    <t>TXN33699360</t>
  </si>
  <si>
    <t>TXN63472243</t>
  </si>
  <si>
    <t>TXN78622437</t>
  </si>
  <si>
    <t>TXN16180195</t>
  </si>
  <si>
    <t>TXN47386994</t>
  </si>
  <si>
    <t>TXN36791392</t>
  </si>
  <si>
    <t>TXN37857991</t>
  </si>
  <si>
    <t>TXN28482153</t>
  </si>
  <si>
    <t>TXN41266045</t>
  </si>
  <si>
    <t>TXN30028579</t>
  </si>
  <si>
    <t>TXN69576340</t>
  </si>
  <si>
    <t>TXN17655725</t>
  </si>
  <si>
    <t>TXN57203415</t>
  </si>
  <si>
    <t>TXN36981924</t>
  </si>
  <si>
    <t>TXN81334917</t>
  </si>
  <si>
    <t>TXN55196871</t>
  </si>
  <si>
    <t>TXN34537772</t>
  </si>
  <si>
    <t>TXN57379506</t>
  </si>
  <si>
    <t>TXN61659979</t>
  </si>
  <si>
    <t>TXN83443403</t>
  </si>
  <si>
    <t>TXN57354873</t>
  </si>
  <si>
    <t>TXN30429474</t>
  </si>
  <si>
    <t>TXN56888843</t>
  </si>
  <si>
    <t>TXN55193374</t>
  </si>
  <si>
    <t>TXN34243735</t>
  </si>
  <si>
    <t>TXN84202978</t>
  </si>
  <si>
    <t>TXN58259102</t>
  </si>
  <si>
    <t>TXN49757948</t>
  </si>
  <si>
    <t>TXN16816579</t>
  </si>
  <si>
    <t>TXN30199832</t>
  </si>
  <si>
    <t>TXN30272704</t>
  </si>
  <si>
    <t>TXN53362893</t>
  </si>
  <si>
    <t>TXN90356889</t>
  </si>
  <si>
    <t>TXN96919302</t>
  </si>
  <si>
    <t>TXN27815058</t>
  </si>
  <si>
    <t>TXN98807189</t>
  </si>
  <si>
    <t>TXN89541880</t>
  </si>
  <si>
    <t>TXN83349801</t>
  </si>
  <si>
    <t>TXN65864033</t>
  </si>
  <si>
    <t>TXN67617492</t>
  </si>
  <si>
    <t>TXN86566813</t>
  </si>
  <si>
    <t>TXN48261238</t>
  </si>
  <si>
    <t>TXN72050163</t>
  </si>
  <si>
    <t>TXN65009544</t>
  </si>
  <si>
    <t>TXN33148921</t>
  </si>
  <si>
    <t>TXN13027432</t>
  </si>
  <si>
    <t>TXN88604153</t>
  </si>
  <si>
    <t>TXN23336695</t>
  </si>
  <si>
    <t>TXN20279359</t>
  </si>
  <si>
    <t>TXN66514196</t>
  </si>
  <si>
    <t>TXN17773471</t>
  </si>
  <si>
    <t>TXN72860182</t>
  </si>
  <si>
    <t>TXN58706698</t>
  </si>
  <si>
    <t>TXN57456036</t>
  </si>
  <si>
    <t>TXN93350920</t>
  </si>
  <si>
    <t>TXN65891046</t>
  </si>
  <si>
    <t>TXN29570364</t>
  </si>
  <si>
    <t>TXN62600893</t>
  </si>
  <si>
    <t>TXN65684830</t>
  </si>
  <si>
    <t>TXN30405595</t>
  </si>
  <si>
    <t>TXN58041036</t>
  </si>
  <si>
    <t>TXN27039592</t>
  </si>
  <si>
    <t>TXN31959734</t>
  </si>
  <si>
    <t>TXN53911378</t>
  </si>
  <si>
    <t>TXN22094717</t>
  </si>
  <si>
    <t>TXN90233220</t>
  </si>
  <si>
    <t>TXN46011294</t>
  </si>
  <si>
    <t>TXN96606295</t>
  </si>
  <si>
    <t>TXN91385720</t>
  </si>
  <si>
    <t>TXN46306285</t>
  </si>
  <si>
    <t>TXN37379791</t>
  </si>
  <si>
    <t>TXN25295023</t>
  </si>
  <si>
    <t>TXN49857440</t>
  </si>
  <si>
    <t>TXN61523802</t>
  </si>
  <si>
    <t>TXN43728574</t>
  </si>
  <si>
    <t>TXN76267798</t>
  </si>
  <si>
    <t>TXN87046635</t>
  </si>
  <si>
    <t>TXN54505825</t>
  </si>
  <si>
    <t>TXN69301704</t>
  </si>
  <si>
    <t>TXN80597473</t>
  </si>
  <si>
    <t>TXN31484062</t>
  </si>
  <si>
    <t>TXN88878790</t>
  </si>
  <si>
    <t>TXN38861554</t>
  </si>
  <si>
    <t>TXN84053599</t>
  </si>
  <si>
    <t>TXN58512421</t>
  </si>
  <si>
    <t>TXN53068997</t>
  </si>
  <si>
    <t>TXN53717807</t>
  </si>
  <si>
    <t>TXN79007044</t>
  </si>
  <si>
    <t>TXN76929751</t>
  </si>
  <si>
    <t>TXN31493668</t>
  </si>
  <si>
    <t>TXN66190590</t>
  </si>
  <si>
    <t>TXN88205531</t>
  </si>
  <si>
    <t>TXN63650904</t>
  </si>
  <si>
    <t>TXN56256364</t>
  </si>
  <si>
    <t>TXN70910951</t>
  </si>
  <si>
    <t>TXN76598000</t>
  </si>
  <si>
    <t>TXN44616557</t>
  </si>
  <si>
    <t>TXN63577360</t>
  </si>
  <si>
    <t>TXN76148827</t>
  </si>
  <si>
    <t>TXN42124980</t>
  </si>
  <si>
    <t>TXN69012094</t>
  </si>
  <si>
    <t>TXN79411601</t>
  </si>
  <si>
    <t>TXN56949104</t>
  </si>
  <si>
    <t>TXN69037508</t>
  </si>
  <si>
    <t>TXN16852566</t>
  </si>
  <si>
    <t>TXN68465861</t>
  </si>
  <si>
    <t>TXN20323330</t>
  </si>
  <si>
    <t>TXN97447418</t>
  </si>
  <si>
    <t>TXN46819146</t>
  </si>
  <si>
    <t>TXN62859744</t>
  </si>
  <si>
    <t>TXN95026382</t>
  </si>
  <si>
    <t>TXN89108204</t>
  </si>
  <si>
    <t>TXN61987224</t>
  </si>
  <si>
    <t>TXN41909939</t>
  </si>
  <si>
    <t>TXN58076427</t>
  </si>
  <si>
    <t>TXN86070495</t>
  </si>
  <si>
    <t>TXN39838332</t>
  </si>
  <si>
    <t>TXN74027726</t>
  </si>
  <si>
    <t>TXN83141171</t>
  </si>
  <si>
    <t>TXN38695657</t>
  </si>
  <si>
    <t>TXN31093772</t>
  </si>
  <si>
    <t>TXN72603007</t>
  </si>
  <si>
    <t>TXN20185008</t>
  </si>
  <si>
    <t>TXN26683659</t>
  </si>
  <si>
    <t>TXN82402276</t>
  </si>
  <si>
    <t>TXN90372646</t>
  </si>
  <si>
    <t>TXN28729201</t>
  </si>
  <si>
    <t>TXN60297319</t>
  </si>
  <si>
    <t>TXN34041753</t>
  </si>
  <si>
    <t>TXN52036116</t>
  </si>
  <si>
    <t>TXN49053982</t>
  </si>
  <si>
    <t>TXN11790551</t>
  </si>
  <si>
    <t>TXN79398220</t>
  </si>
  <si>
    <t>TXN57444305</t>
  </si>
  <si>
    <t>TXN79326019</t>
  </si>
  <si>
    <t>TXN68106740</t>
  </si>
  <si>
    <t>TXN24202531</t>
  </si>
  <si>
    <t>TXN88619362</t>
  </si>
  <si>
    <t>TXN38910988</t>
  </si>
  <si>
    <t>TXN45050534</t>
  </si>
  <si>
    <t>TXN67017281</t>
  </si>
  <si>
    <t>TXN26433897</t>
  </si>
  <si>
    <t>TXN12693699</t>
  </si>
  <si>
    <t>TXN90140665</t>
  </si>
  <si>
    <t>TXN39550240</t>
  </si>
  <si>
    <t>TXN42353268</t>
  </si>
  <si>
    <t>TXN16817204</t>
  </si>
  <si>
    <t>TXN87693862</t>
  </si>
  <si>
    <t>TXN47250749</t>
  </si>
  <si>
    <t>TXN92546700</t>
  </si>
  <si>
    <t>TXN69516421</t>
  </si>
  <si>
    <t>TXN87564946</t>
  </si>
  <si>
    <t>TXN90342736</t>
  </si>
  <si>
    <t>TXN32585078</t>
  </si>
  <si>
    <t>TXN81506648</t>
  </si>
  <si>
    <t>TXN76154856</t>
  </si>
  <si>
    <t>TXN72185051</t>
  </si>
  <si>
    <t>TXN18359783</t>
  </si>
  <si>
    <t>TXN48083609</t>
  </si>
  <si>
    <t>TXN44383325</t>
  </si>
  <si>
    <t>TXN34298718</t>
  </si>
  <si>
    <t>TXN80928320</t>
  </si>
  <si>
    <t>TXN46384281</t>
  </si>
  <si>
    <t>TXN34815695</t>
  </si>
  <si>
    <t>TXN40223281</t>
  </si>
  <si>
    <t>TXN77997547</t>
  </si>
  <si>
    <t>TXN22705949</t>
  </si>
  <si>
    <t>TXN31968547</t>
  </si>
  <si>
    <t>TXN80455236</t>
  </si>
  <si>
    <t>TXN37464744</t>
  </si>
  <si>
    <t>TXN28401335</t>
  </si>
  <si>
    <t>TXN26064789</t>
  </si>
  <si>
    <t>TXN33611957</t>
  </si>
  <si>
    <t>TXN88935377</t>
  </si>
  <si>
    <t>TXN31348879</t>
  </si>
  <si>
    <t>TXN66478544</t>
  </si>
  <si>
    <t>TXN97364798</t>
  </si>
  <si>
    <t>TXN95932135</t>
  </si>
  <si>
    <t>TXN42488869</t>
  </si>
  <si>
    <t>TXN78858821</t>
  </si>
  <si>
    <t>TXN16186147</t>
  </si>
  <si>
    <t>TXN68302898</t>
  </si>
  <si>
    <t>TXN28308671</t>
  </si>
  <si>
    <t>TXN60188838</t>
  </si>
  <si>
    <t>TXN48493585</t>
  </si>
  <si>
    <t>TXN78829933</t>
  </si>
  <si>
    <t>TXN15769194</t>
  </si>
  <si>
    <t>TXN14898320</t>
  </si>
  <si>
    <t>TXN40257063</t>
  </si>
  <si>
    <t>TXN95470296</t>
  </si>
  <si>
    <t>TXN42384919</t>
  </si>
  <si>
    <t>TXN33604308</t>
  </si>
  <si>
    <t>TXN36624936</t>
  </si>
  <si>
    <t>TXN11852375</t>
  </si>
  <si>
    <t>TXN94841262</t>
  </si>
  <si>
    <t>TXN36014742</t>
  </si>
  <si>
    <t>TXN46751914</t>
  </si>
  <si>
    <t>TXN77832313</t>
  </si>
  <si>
    <t>TXN32266527</t>
  </si>
  <si>
    <t>TXN64892408</t>
  </si>
  <si>
    <t>TXN83189170</t>
  </si>
  <si>
    <t>TXN85423704</t>
  </si>
  <si>
    <t>TXN49012956</t>
  </si>
  <si>
    <t>TXN16028441</t>
  </si>
  <si>
    <t>TXN25977757</t>
  </si>
  <si>
    <t>TXN55711076</t>
  </si>
  <si>
    <t>TXN38708164</t>
  </si>
  <si>
    <t>TXN32261407</t>
  </si>
  <si>
    <t>TXN68631981</t>
  </si>
  <si>
    <t>TXN45705177</t>
  </si>
  <si>
    <t>TXN51944958</t>
  </si>
  <si>
    <t>TXN34152370</t>
  </si>
  <si>
    <t>TXN38567145</t>
  </si>
  <si>
    <t>TXN33156862</t>
  </si>
  <si>
    <t>TXN17649558</t>
  </si>
  <si>
    <t>TXN16350671</t>
  </si>
  <si>
    <t>TXN55310939</t>
  </si>
  <si>
    <t>TXN48420060</t>
  </si>
  <si>
    <t>TXN60701680</t>
  </si>
  <si>
    <t>TXN78333732</t>
  </si>
  <si>
    <t>TXN81338920</t>
  </si>
  <si>
    <t>TXN35306915</t>
  </si>
  <si>
    <t>TXN70955737</t>
  </si>
  <si>
    <t>TXN89213829</t>
  </si>
  <si>
    <t>TXN79153932</t>
  </si>
  <si>
    <t>TXN28964786</t>
  </si>
  <si>
    <t>TXN88711590</t>
  </si>
  <si>
    <t>TXN71576323</t>
  </si>
  <si>
    <t>TXN92127983</t>
  </si>
  <si>
    <t>TXN91711796</t>
  </si>
  <si>
    <t>TXN77012231</t>
  </si>
  <si>
    <t>TXN16301703</t>
  </si>
  <si>
    <t>TXN25845884</t>
  </si>
  <si>
    <t>TXN76201999</t>
  </si>
  <si>
    <t>TXN21720053</t>
  </si>
  <si>
    <t>TXN30722781</t>
  </si>
  <si>
    <t>TXN43866092</t>
  </si>
  <si>
    <t>TXN31266624</t>
  </si>
  <si>
    <t>TXN35030103</t>
  </si>
  <si>
    <t>TXN24949312</t>
  </si>
  <si>
    <t>TXN49744431</t>
  </si>
  <si>
    <t>TXN94286052</t>
  </si>
  <si>
    <t>TXN34777038</t>
  </si>
  <si>
    <t>TXN79920890</t>
  </si>
  <si>
    <t>TXN80718577</t>
  </si>
  <si>
    <t>TXN66186806</t>
  </si>
  <si>
    <t>TXN50708085</t>
  </si>
  <si>
    <t>TXN76212219</t>
  </si>
  <si>
    <t>TXN36189903</t>
  </si>
  <si>
    <t>TXN91637825</t>
  </si>
  <si>
    <t>TXN12604920</t>
  </si>
  <si>
    <t>TXN22530755</t>
  </si>
  <si>
    <t>TXN68679654</t>
  </si>
  <si>
    <t>TXN57713157</t>
  </si>
  <si>
    <t>TXN24781131</t>
  </si>
  <si>
    <t>TXN11563276</t>
  </si>
  <si>
    <t>TXN96816644</t>
  </si>
  <si>
    <t>TXN84223132</t>
  </si>
  <si>
    <t>TXN76201726</t>
  </si>
  <si>
    <t>TXN61791517</t>
  </si>
  <si>
    <t>TXN73989600</t>
  </si>
  <si>
    <t>TXN95595129</t>
  </si>
  <si>
    <t>TXN57720648</t>
  </si>
  <si>
    <t>TXN40757321</t>
  </si>
  <si>
    <t>TXN94725372</t>
  </si>
  <si>
    <t>TXN33885319</t>
  </si>
  <si>
    <t>TXN21547932</t>
  </si>
  <si>
    <t>TXN30622371</t>
  </si>
  <si>
    <t>TXN61377504</t>
  </si>
  <si>
    <t>TXN59314300</t>
  </si>
  <si>
    <t>TXN74470038</t>
  </si>
  <si>
    <t>TXN17474770</t>
  </si>
  <si>
    <t>TXN31085754</t>
  </si>
  <si>
    <t>TXN37214844</t>
  </si>
  <si>
    <t>TXN73834817</t>
  </si>
  <si>
    <t>TXN92484623</t>
  </si>
  <si>
    <t>TXN73661466</t>
  </si>
  <si>
    <t>TXN70834932</t>
  </si>
  <si>
    <t>TXN97276004</t>
  </si>
  <si>
    <t>TXN90090841</t>
  </si>
  <si>
    <t>TXN79504760</t>
  </si>
  <si>
    <t>TXN33615989</t>
  </si>
  <si>
    <t>TXN34294280</t>
  </si>
  <si>
    <t>TXN11311471</t>
  </si>
  <si>
    <t>TXN60710534</t>
  </si>
  <si>
    <t>TXN23106397</t>
  </si>
  <si>
    <t>TXN46380658</t>
  </si>
  <si>
    <t>TXN56282675</t>
  </si>
  <si>
    <t>TXN86178607</t>
  </si>
  <si>
    <t>TXN19227806</t>
  </si>
  <si>
    <t>TXN99296606</t>
  </si>
  <si>
    <t>TXN28989810</t>
  </si>
  <si>
    <t>TXN46194052</t>
  </si>
  <si>
    <t>TXN85997841</t>
  </si>
  <si>
    <t>TXN67664348</t>
  </si>
  <si>
    <t>TXN88583744</t>
  </si>
  <si>
    <t>TXN77193339</t>
  </si>
  <si>
    <t>TXN37356150</t>
  </si>
  <si>
    <t>TXN46775113</t>
  </si>
  <si>
    <t>TXN59077600</t>
  </si>
  <si>
    <t>TXN60077828</t>
  </si>
  <si>
    <t>TXN68087351</t>
  </si>
  <si>
    <t>TXN53898116</t>
  </si>
  <si>
    <t>TXN87432458</t>
  </si>
  <si>
    <t>TXN40965369</t>
  </si>
  <si>
    <t>TXN42897927</t>
  </si>
  <si>
    <t>TXN55826869</t>
  </si>
  <si>
    <t>TXN27936436</t>
  </si>
  <si>
    <t>TXN94027892</t>
  </si>
  <si>
    <t>TXN75954110</t>
  </si>
  <si>
    <t>TXN18896188</t>
  </si>
  <si>
    <t>TXN55929073</t>
  </si>
  <si>
    <t>TXN77572591</t>
  </si>
  <si>
    <t>TXN40033083</t>
  </si>
  <si>
    <t>TXN94794771</t>
  </si>
  <si>
    <t>TXN40100030</t>
  </si>
  <si>
    <t>TXN58713096</t>
  </si>
  <si>
    <t>TXN40402322</t>
  </si>
  <si>
    <t>TXN62251805</t>
  </si>
  <si>
    <t>TXN19426705</t>
  </si>
  <si>
    <t>TXN79392826</t>
  </si>
  <si>
    <t>TXN51251108</t>
  </si>
  <si>
    <t>TXN90364103</t>
  </si>
  <si>
    <t>TXN64518603</t>
  </si>
  <si>
    <t>TXN73597754</t>
  </si>
  <si>
    <t>TXN82093828</t>
  </si>
  <si>
    <t>TXN72040760</t>
  </si>
  <si>
    <t>TXN43058625</t>
  </si>
  <si>
    <t>TXN32681853</t>
  </si>
  <si>
    <t>TXN18957739</t>
  </si>
  <si>
    <t>TXN92618543</t>
  </si>
  <si>
    <t>TXN54105559</t>
  </si>
  <si>
    <t>TXN45173666</t>
  </si>
  <si>
    <t>TXN49659272</t>
  </si>
  <si>
    <t>TXN36726768</t>
  </si>
  <si>
    <t>TXN58465459</t>
  </si>
  <si>
    <t>TXN54724541</t>
  </si>
  <si>
    <t>TXN98938256</t>
  </si>
  <si>
    <t>TXN81336422</t>
  </si>
  <si>
    <t>TXN51150453</t>
  </si>
  <si>
    <t>TXN71355527</t>
  </si>
  <si>
    <t>TXN91808287</t>
  </si>
  <si>
    <t>TXN64383725</t>
  </si>
  <si>
    <t>TXN35372349</t>
  </si>
  <si>
    <t>TXN28151800</t>
  </si>
  <si>
    <t>TXN95364951</t>
  </si>
  <si>
    <t>TXN58611972</t>
  </si>
  <si>
    <t>TXN60117509</t>
  </si>
  <si>
    <t>TXN77010446</t>
  </si>
  <si>
    <t>TXN95516392</t>
  </si>
  <si>
    <t>TXN28595974</t>
  </si>
  <si>
    <t>TXN35878073</t>
  </si>
  <si>
    <t>TXN73407925</t>
  </si>
  <si>
    <t>TXN20746645</t>
  </si>
  <si>
    <t>TXN98964772</t>
  </si>
  <si>
    <t>TXN98123448</t>
  </si>
  <si>
    <t>TXN27125944</t>
  </si>
  <si>
    <t>TXN48809952</t>
  </si>
  <si>
    <t>TXN28036063</t>
  </si>
  <si>
    <t>TXN59387069</t>
  </si>
  <si>
    <t>TXN91954083</t>
  </si>
  <si>
    <t>TXN98393050</t>
  </si>
  <si>
    <t>TXN88603255</t>
  </si>
  <si>
    <t>TXN59929078</t>
  </si>
  <si>
    <t>TXN78335435</t>
  </si>
  <si>
    <t>TXN38999952</t>
  </si>
  <si>
    <t>TXN68790792</t>
  </si>
  <si>
    <t>TXN62982598</t>
  </si>
  <si>
    <t>TXN81024315</t>
  </si>
  <si>
    <t>TXN94883456</t>
  </si>
  <si>
    <t>TXN91747319</t>
  </si>
  <si>
    <t>TXN94011092</t>
  </si>
  <si>
    <t>TXN89884748</t>
  </si>
  <si>
    <t>TXN61285974</t>
  </si>
  <si>
    <t>TXN85136178</t>
  </si>
  <si>
    <t>TXN75908170</t>
  </si>
  <si>
    <t>TXN98168204</t>
  </si>
  <si>
    <t>TXN57564201</t>
  </si>
  <si>
    <t>TXN44664615</t>
  </si>
  <si>
    <t>TXN45533205</t>
  </si>
  <si>
    <t>TXN43004263</t>
  </si>
  <si>
    <t>TXN15163265</t>
  </si>
  <si>
    <t>TXN36397205</t>
  </si>
  <si>
    <t>TXN82663910</t>
  </si>
  <si>
    <t>TXN22029373</t>
  </si>
  <si>
    <t>TXN93498104</t>
  </si>
  <si>
    <t>TXN36915453</t>
  </si>
  <si>
    <t>TXN96981769</t>
  </si>
  <si>
    <t>TXN11808920</t>
  </si>
  <si>
    <t>TXN89778627</t>
  </si>
  <si>
    <t>TXN93551602</t>
  </si>
  <si>
    <t>TXN20307241</t>
  </si>
  <si>
    <t>TXN18205395</t>
  </si>
  <si>
    <t>TXN33775749</t>
  </si>
  <si>
    <t>TXN90821063</t>
  </si>
  <si>
    <t>TXN36847430</t>
  </si>
  <si>
    <t>TXN35443760</t>
  </si>
  <si>
    <t>TXN30323264</t>
  </si>
  <si>
    <t>TXN13296141</t>
  </si>
  <si>
    <t>TXN11975562</t>
  </si>
  <si>
    <t>TXN53175932</t>
  </si>
  <si>
    <t>TXN65305187</t>
  </si>
  <si>
    <t>TXN47561064</t>
  </si>
  <si>
    <t>TXN20873480</t>
  </si>
  <si>
    <t>TXN77659564</t>
  </si>
  <si>
    <t>TXN95427284</t>
  </si>
  <si>
    <t>TXN22677648</t>
  </si>
  <si>
    <t>TXN23268106</t>
  </si>
  <si>
    <t>TXN40845888</t>
  </si>
  <si>
    <t>TXN24396685</t>
  </si>
  <si>
    <t>TXN35706829</t>
  </si>
  <si>
    <t>TXN98332236</t>
  </si>
  <si>
    <t>TXN30746121</t>
  </si>
  <si>
    <t>TXN59074816</t>
  </si>
  <si>
    <t>TXN48821197</t>
  </si>
  <si>
    <t>TXN34233233</t>
  </si>
  <si>
    <t>TXN35758790</t>
  </si>
  <si>
    <t>TXN90808173</t>
  </si>
  <si>
    <t>TXN56958257</t>
  </si>
  <si>
    <t>TXN91401865</t>
  </si>
  <si>
    <t>TXN78627682</t>
  </si>
  <si>
    <t>TXN34612562</t>
  </si>
  <si>
    <t>TXN53856972</t>
  </si>
  <si>
    <t>TXN31086399</t>
  </si>
  <si>
    <t>TXN60852100</t>
  </si>
  <si>
    <t>TXN87006272</t>
  </si>
  <si>
    <t>TXN38530793</t>
  </si>
  <si>
    <t>TXN97202713</t>
  </si>
  <si>
    <t>TXN49220519</t>
  </si>
  <si>
    <t>TXN50308607</t>
  </si>
  <si>
    <t>TXN61435144</t>
  </si>
  <si>
    <t>TXN55733557</t>
  </si>
  <si>
    <t>TXN81905358</t>
  </si>
  <si>
    <t>TXN32466181</t>
  </si>
  <si>
    <t>TXN91315291</t>
  </si>
  <si>
    <t>TXN38374077</t>
  </si>
  <si>
    <t>TXN38094077</t>
  </si>
  <si>
    <t>TXN47289987</t>
  </si>
  <si>
    <t>TXN44270066</t>
  </si>
  <si>
    <t>TXN71667133</t>
  </si>
  <si>
    <t>TXN53557357</t>
  </si>
  <si>
    <t>TXN39428565</t>
  </si>
  <si>
    <t>TXN84288369</t>
  </si>
  <si>
    <t>TXN99660554</t>
  </si>
  <si>
    <t>TXN27838108</t>
  </si>
  <si>
    <t>TXN11820141</t>
  </si>
  <si>
    <t>TXN43019517</t>
  </si>
  <si>
    <t>TXN89695934</t>
  </si>
  <si>
    <t>TXN75992601</t>
  </si>
  <si>
    <t>TXN52705135</t>
  </si>
  <si>
    <t>TXN68073491</t>
  </si>
  <si>
    <t>TXN82271622</t>
  </si>
  <si>
    <t>TXN30171133</t>
  </si>
  <si>
    <t>TXN43834637</t>
  </si>
  <si>
    <t>TXN87726995</t>
  </si>
  <si>
    <t>TXN97927196</t>
  </si>
  <si>
    <t>TXN85255701</t>
  </si>
  <si>
    <t>TXN23280037</t>
  </si>
  <si>
    <t>TXN52320182</t>
  </si>
  <si>
    <t>TXN65211273</t>
  </si>
  <si>
    <t>TXN48173189</t>
  </si>
  <si>
    <t>TXN76302991</t>
  </si>
  <si>
    <t>TXN24378540</t>
  </si>
  <si>
    <t>TXN75220098</t>
  </si>
  <si>
    <t>TXN64441663</t>
  </si>
  <si>
    <t>TXN96432074</t>
  </si>
  <si>
    <t>TXN17550054</t>
  </si>
  <si>
    <t>TXN61325941</t>
  </si>
  <si>
    <t>TXN34524142</t>
  </si>
  <si>
    <t>TXN21213828</t>
  </si>
  <si>
    <t>TXN52504187</t>
  </si>
  <si>
    <t>TXN40388372</t>
  </si>
  <si>
    <t>TXN82425068</t>
  </si>
  <si>
    <t>TXN79600164</t>
  </si>
  <si>
    <t>TXN64981587</t>
  </si>
  <si>
    <t>TXN44977369</t>
  </si>
  <si>
    <t>TXN86388956</t>
  </si>
  <si>
    <t>TXN78321807</t>
  </si>
  <si>
    <t>TXN74625294</t>
  </si>
  <si>
    <t>TXN50020070</t>
  </si>
  <si>
    <t>TXN26182376</t>
  </si>
  <si>
    <t>TXN10009931</t>
  </si>
  <si>
    <t>TXN75352597</t>
  </si>
  <si>
    <t>TXN89588662</t>
  </si>
  <si>
    <t>TXN64595836</t>
  </si>
  <si>
    <t>TXN10039445</t>
  </si>
  <si>
    <t>TXN73890305</t>
  </si>
  <si>
    <t>TXN67308454</t>
  </si>
  <si>
    <t>TXN90246599</t>
  </si>
  <si>
    <t>TXN64108189</t>
  </si>
  <si>
    <t>TXN13927469</t>
  </si>
  <si>
    <t>TXN61499730</t>
  </si>
  <si>
    <t>TXN24365768</t>
  </si>
  <si>
    <t>TXN11749584</t>
  </si>
  <si>
    <t>TXN22972432</t>
  </si>
  <si>
    <t>TXN56310302</t>
  </si>
  <si>
    <t>TXN48452012</t>
  </si>
  <si>
    <t>TXN52768124</t>
  </si>
  <si>
    <t>TXN56257566</t>
  </si>
  <si>
    <t>TXN24724937</t>
  </si>
  <si>
    <t>TXN93388859</t>
  </si>
  <si>
    <t>TXN42739686</t>
  </si>
  <si>
    <t>TXN82637419</t>
  </si>
  <si>
    <t>TXN89884954</t>
  </si>
  <si>
    <t>TXN56504649</t>
  </si>
  <si>
    <t>TXN19583958</t>
  </si>
  <si>
    <t>TXN98178069</t>
  </si>
  <si>
    <t>TXN40260119</t>
  </si>
  <si>
    <t>TXN85893528</t>
  </si>
  <si>
    <t>TXN18632101</t>
  </si>
  <si>
    <t>TXN21686514</t>
  </si>
  <si>
    <t>TXN43482047</t>
  </si>
  <si>
    <t>TXN19308527</t>
  </si>
  <si>
    <t>TXN19362936</t>
  </si>
  <si>
    <t>TXN39305603</t>
  </si>
  <si>
    <t>TXN37056361</t>
  </si>
  <si>
    <t>TXN60848223</t>
  </si>
  <si>
    <t>TXN70187290</t>
  </si>
  <si>
    <t>TXN33618336</t>
  </si>
  <si>
    <t>TXN39857346</t>
  </si>
  <si>
    <t>TXN37397533</t>
  </si>
  <si>
    <t>TXN14250480</t>
  </si>
  <si>
    <t>TXN51253884</t>
  </si>
  <si>
    <t>TXN39937413</t>
  </si>
  <si>
    <t>TXN47528368</t>
  </si>
  <si>
    <t>TXN29045315</t>
  </si>
  <si>
    <t>TXN38040119</t>
  </si>
  <si>
    <t>TXN62624837</t>
  </si>
  <si>
    <t>TXN63969779</t>
  </si>
  <si>
    <t>TXN28219232</t>
  </si>
  <si>
    <t>TXN11173165</t>
  </si>
  <si>
    <t>TXN69534638</t>
  </si>
  <si>
    <t>TXN98910600</t>
  </si>
  <si>
    <t>TXN54237890</t>
  </si>
  <si>
    <t>TXN73632348</t>
  </si>
  <si>
    <t>TXN19261877</t>
  </si>
  <si>
    <t>TXN30377094</t>
  </si>
  <si>
    <t>TXN25017184</t>
  </si>
  <si>
    <t>TXN21003288</t>
  </si>
  <si>
    <t>TXN52465864</t>
  </si>
  <si>
    <t>TXN20059460</t>
  </si>
  <si>
    <t>TXN23297734</t>
  </si>
  <si>
    <t>TXN13085873</t>
  </si>
  <si>
    <t>TXN56260673</t>
  </si>
  <si>
    <t>TXN85836962</t>
  </si>
  <si>
    <t>TXN43455680</t>
  </si>
  <si>
    <t>TXN78383184</t>
  </si>
  <si>
    <t>TXN89769484</t>
  </si>
  <si>
    <t>TXN10350142</t>
  </si>
  <si>
    <t>TXN43786935</t>
  </si>
  <si>
    <t>TXN83622062</t>
  </si>
  <si>
    <t>TXN29855595</t>
  </si>
  <si>
    <t>TXN94179000</t>
  </si>
  <si>
    <t>TXN69344019</t>
  </si>
  <si>
    <t>TXN85930946</t>
  </si>
  <si>
    <t>TXN12105967</t>
  </si>
  <si>
    <t>TXN45992465</t>
  </si>
  <si>
    <t>TXN54303983</t>
  </si>
  <si>
    <t>TXN29074918</t>
  </si>
  <si>
    <t>TXN62229822</t>
  </si>
  <si>
    <t>TXN59368692</t>
  </si>
  <si>
    <t>TXN25222420</t>
  </si>
  <si>
    <t>TXN41007885</t>
  </si>
  <si>
    <t>TXN24958354</t>
  </si>
  <si>
    <t>TXN90696336</t>
  </si>
  <si>
    <t>TXN28284220</t>
  </si>
  <si>
    <t>TXN16997052</t>
  </si>
  <si>
    <t>TXN64284649</t>
  </si>
  <si>
    <t>TXN29256023</t>
  </si>
  <si>
    <t>TXN58919979</t>
  </si>
  <si>
    <t>TXN97193308</t>
  </si>
  <si>
    <t>TXN40219915</t>
  </si>
  <si>
    <t>TXN66836865</t>
  </si>
  <si>
    <t>TXN58874552</t>
  </si>
  <si>
    <t>TXN61219406</t>
  </si>
  <si>
    <t>TXN32039334</t>
  </si>
  <si>
    <t>TXN20446487</t>
  </si>
  <si>
    <t>TXN44764701</t>
  </si>
  <si>
    <t>TXN88282631</t>
  </si>
  <si>
    <t>TXN76564573</t>
  </si>
  <si>
    <t>TXN26337250</t>
  </si>
  <si>
    <t>TXN35104958</t>
  </si>
  <si>
    <t>TXN59199410</t>
  </si>
  <si>
    <t>TXN31569607</t>
  </si>
  <si>
    <t>TXN65570666</t>
  </si>
  <si>
    <t>TXN23599642</t>
  </si>
  <si>
    <t>TXN85397351</t>
  </si>
  <si>
    <t>TXN54309850</t>
  </si>
  <si>
    <t>TXN51998116</t>
  </si>
  <si>
    <t>TXN38472202</t>
  </si>
  <si>
    <t>TXN26844544</t>
  </si>
  <si>
    <t>TXN86246081</t>
  </si>
  <si>
    <t>TXN14069583</t>
  </si>
  <si>
    <t>TXN41445936</t>
  </si>
  <si>
    <t>TXN76253763</t>
  </si>
  <si>
    <t>TXN87617087</t>
  </si>
  <si>
    <t>TXN44584693</t>
  </si>
  <si>
    <t>TXN28181597</t>
  </si>
  <si>
    <t>TXN78872682</t>
  </si>
  <si>
    <t>TXN24487720</t>
  </si>
  <si>
    <t>TXN92144564</t>
  </si>
  <si>
    <t>TXN25855271</t>
  </si>
  <si>
    <t>TXN72704732</t>
  </si>
  <si>
    <t>TXN33210462</t>
  </si>
  <si>
    <t>TXN25191177</t>
  </si>
  <si>
    <t>TXN61731223</t>
  </si>
  <si>
    <t>TXN94667609</t>
  </si>
  <si>
    <t>TXN47074146</t>
  </si>
  <si>
    <t>TXN97799850</t>
  </si>
  <si>
    <t>TXN21674641</t>
  </si>
  <si>
    <t>TXN90236857</t>
  </si>
  <si>
    <t>TXN96507365</t>
  </si>
  <si>
    <t>TXN17944282</t>
  </si>
  <si>
    <t>TXN72514463</t>
  </si>
  <si>
    <t>TXN23686883</t>
  </si>
  <si>
    <t>TXN84247738</t>
  </si>
  <si>
    <t>TXN26464544</t>
  </si>
  <si>
    <t>TXN31284752</t>
  </si>
  <si>
    <t>TXN17476310</t>
  </si>
  <si>
    <t>TXN39507455</t>
  </si>
  <si>
    <t>TXN39645043</t>
  </si>
  <si>
    <t>TXN96918955</t>
  </si>
  <si>
    <t>TXN26743071</t>
  </si>
  <si>
    <t>TXN88171290</t>
  </si>
  <si>
    <t>TXN79055136</t>
  </si>
  <si>
    <t>TXN51024028</t>
  </si>
  <si>
    <t>TXN69276624</t>
  </si>
  <si>
    <t>TXN17807414</t>
  </si>
  <si>
    <t>TXN67026453</t>
  </si>
  <si>
    <t>TXN35413349</t>
  </si>
  <si>
    <t>TXN96818931</t>
  </si>
  <si>
    <t>TXN64409707</t>
  </si>
  <si>
    <t>TXN76433471</t>
  </si>
  <si>
    <t>TXN47440987</t>
  </si>
  <si>
    <t>TXN61262723</t>
  </si>
  <si>
    <t>TXN39577691</t>
  </si>
  <si>
    <t>TXN41952065</t>
  </si>
  <si>
    <t>TXN79936966</t>
  </si>
  <si>
    <t>TXN30117737</t>
  </si>
  <si>
    <t>TXN52339697</t>
  </si>
  <si>
    <t>TXN70250884</t>
  </si>
  <si>
    <t>TXN54490469</t>
  </si>
  <si>
    <t>TXN80066034</t>
  </si>
  <si>
    <t>TXN29543489</t>
  </si>
  <si>
    <t>TXN71729836</t>
  </si>
  <si>
    <t>TXN73473239</t>
  </si>
  <si>
    <t>TXN54186385</t>
  </si>
  <si>
    <t>TXN27652100</t>
  </si>
  <si>
    <t>TXN47473037</t>
  </si>
  <si>
    <t>TXN43554700</t>
  </si>
  <si>
    <t>TXN79389469</t>
  </si>
  <si>
    <t>TXN19727287</t>
  </si>
  <si>
    <t>TXN84314891</t>
  </si>
  <si>
    <t>TXN44963845</t>
  </si>
  <si>
    <t>TXN57135303</t>
  </si>
  <si>
    <t>TXN98121090</t>
  </si>
  <si>
    <t>TXN33527521</t>
  </si>
  <si>
    <t>TXN63917280</t>
  </si>
  <si>
    <t>TXN61832721</t>
  </si>
  <si>
    <t>TXN83601923</t>
  </si>
  <si>
    <t>TXN88863476</t>
  </si>
  <si>
    <t>TXN77055765</t>
  </si>
  <si>
    <t>TXN29803702</t>
  </si>
  <si>
    <t>TXN79917487</t>
  </si>
  <si>
    <t>TXN40202487</t>
  </si>
  <si>
    <t>TXN43212335</t>
  </si>
  <si>
    <t>TXN66722238</t>
  </si>
  <si>
    <t>TXN39675338</t>
  </si>
  <si>
    <t>TXN13655153</t>
  </si>
  <si>
    <t>TXN99734303</t>
  </si>
  <si>
    <t>TXN99286237</t>
  </si>
  <si>
    <t>TXN86082529</t>
  </si>
  <si>
    <t>TXN91646568</t>
  </si>
  <si>
    <t>TXN64020230</t>
  </si>
  <si>
    <t>TXN27981105</t>
  </si>
  <si>
    <t>TXN46160908</t>
  </si>
  <si>
    <t>TXN48971610</t>
  </si>
  <si>
    <t>TXN55456121</t>
  </si>
  <si>
    <t>TXN73712661</t>
  </si>
  <si>
    <t>TXN42338531</t>
  </si>
  <si>
    <t>TXN88266943</t>
  </si>
  <si>
    <t>TXN90782302</t>
  </si>
  <si>
    <t>TXN23639010</t>
  </si>
  <si>
    <t>TXN46738722</t>
  </si>
  <si>
    <t>TXN79742458</t>
  </si>
  <si>
    <t>TXN91333369</t>
  </si>
  <si>
    <t>TXN89079201</t>
  </si>
  <si>
    <t>TXN43612470</t>
  </si>
  <si>
    <t>TXN12988880</t>
  </si>
  <si>
    <t>TXN51714254</t>
  </si>
  <si>
    <t>TXN81623583</t>
  </si>
  <si>
    <t>TXN82300367</t>
  </si>
  <si>
    <t>TXN35313954</t>
  </si>
  <si>
    <t>TXN10523448</t>
  </si>
  <si>
    <t>TXN25087989</t>
  </si>
  <si>
    <t>TXN83275631</t>
  </si>
  <si>
    <t>TXN28375184</t>
  </si>
  <si>
    <t>TXN24459460</t>
  </si>
  <si>
    <t>TXN90706886</t>
  </si>
  <si>
    <t>TXN67910566</t>
  </si>
  <si>
    <t>TXN62699178</t>
  </si>
  <si>
    <t>TXN12474528</t>
  </si>
  <si>
    <t>TXN73407209</t>
  </si>
  <si>
    <t>TXN52704303</t>
  </si>
  <si>
    <t>TXN57729429</t>
  </si>
  <si>
    <t>TXN18047113</t>
  </si>
  <si>
    <t>TXN12512473</t>
  </si>
  <si>
    <t>TXN92303006</t>
  </si>
  <si>
    <t>TXN60527969</t>
  </si>
  <si>
    <t>TXN35373639</t>
  </si>
  <si>
    <t>TXN58577133</t>
  </si>
  <si>
    <t>TXN60874545</t>
  </si>
  <si>
    <t>TXN24727307</t>
  </si>
  <si>
    <t>TXN52122881</t>
  </si>
  <si>
    <t>TXN21582226</t>
  </si>
  <si>
    <t>TXN63673595</t>
  </si>
  <si>
    <t>TXN15837281</t>
  </si>
  <si>
    <t>TXN91662808</t>
  </si>
  <si>
    <t>TXN64569347</t>
  </si>
  <si>
    <t>TXN10582010</t>
  </si>
  <si>
    <t>TXN13595959</t>
  </si>
  <si>
    <t>TXN90384164</t>
  </si>
  <si>
    <t>TXN79872002</t>
  </si>
  <si>
    <t>TXN63495301</t>
  </si>
  <si>
    <t>TXN43852237</t>
  </si>
  <si>
    <t>TXN94430274</t>
  </si>
  <si>
    <t>TXN63047106</t>
  </si>
  <si>
    <t>TXN76048551</t>
  </si>
  <si>
    <t>TXN34961121</t>
  </si>
  <si>
    <t>TXN66136217</t>
  </si>
  <si>
    <t>TXN78979639</t>
  </si>
  <si>
    <t>TXN85260675</t>
  </si>
  <si>
    <t>TXN45242175</t>
  </si>
  <si>
    <t>TXN30064093</t>
  </si>
  <si>
    <t>TXN50731980</t>
  </si>
  <si>
    <t>TXN90823711</t>
  </si>
  <si>
    <t>TXN60864915</t>
  </si>
  <si>
    <t>TXN71544248</t>
  </si>
  <si>
    <t>TXN72413817</t>
  </si>
  <si>
    <t>TXN42875891</t>
  </si>
  <si>
    <t>TXN99146458</t>
  </si>
  <si>
    <t>TXN75032197</t>
  </si>
  <si>
    <t>TXN57946168</t>
  </si>
  <si>
    <t>TXN43914305</t>
  </si>
  <si>
    <t>TXN16444364</t>
  </si>
  <si>
    <t>TXN20290954</t>
  </si>
  <si>
    <t>TXN91259503</t>
  </si>
  <si>
    <t>TXN34124219</t>
  </si>
  <si>
    <t>TXN22945029</t>
  </si>
  <si>
    <t>TXN44155307</t>
  </si>
  <si>
    <t>TXN45282944</t>
  </si>
  <si>
    <t>TXN28950284</t>
  </si>
  <si>
    <t>TXN20486991</t>
  </si>
  <si>
    <t>TXN32682749</t>
  </si>
  <si>
    <t>TXN42512953</t>
  </si>
  <si>
    <t>TXN84518914</t>
  </si>
  <si>
    <t>TXN91399230</t>
  </si>
  <si>
    <t>TXN28066363</t>
  </si>
  <si>
    <t>TXN73596314</t>
  </si>
  <si>
    <t>TXN82877670</t>
  </si>
  <si>
    <t>TXN74779990</t>
  </si>
  <si>
    <t>TXN80065935</t>
  </si>
  <si>
    <t>TXN66358870</t>
  </si>
  <si>
    <t>TXN42525132</t>
  </si>
  <si>
    <t>TXN31010869</t>
  </si>
  <si>
    <t>TXN86282534</t>
  </si>
  <si>
    <t>TXN69870173</t>
  </si>
  <si>
    <t>TXN83786870</t>
  </si>
  <si>
    <t>TXN83231169</t>
  </si>
  <si>
    <t>TXN80955179</t>
  </si>
  <si>
    <t>TXN75898183</t>
  </si>
  <si>
    <t>TXN77897679</t>
  </si>
  <si>
    <t>TXN26072704</t>
  </si>
  <si>
    <t>TXN16981498</t>
  </si>
  <si>
    <t>TXN34721711</t>
  </si>
  <si>
    <t>TXN19819995</t>
  </si>
  <si>
    <t>TXN27569188</t>
  </si>
  <si>
    <t>TXN58485296</t>
  </si>
  <si>
    <t>TXN27164236</t>
  </si>
  <si>
    <t>TXN14353658</t>
  </si>
  <si>
    <t>TXN25478266</t>
  </si>
  <si>
    <t>TXN15842981</t>
  </si>
  <si>
    <t>TXN72765955</t>
  </si>
  <si>
    <t>TXN32124657</t>
  </si>
  <si>
    <t>TXN89681461</t>
  </si>
  <si>
    <t>TXN17320157</t>
  </si>
  <si>
    <t>TXN55319658</t>
  </si>
  <si>
    <t>TXN33523533</t>
  </si>
  <si>
    <t>TXN12472307</t>
  </si>
  <si>
    <t>TXN53954552</t>
  </si>
  <si>
    <t>TXN51864166</t>
  </si>
  <si>
    <t>TXN35287282</t>
  </si>
  <si>
    <t>TXN99394847</t>
  </si>
  <si>
    <t>TXN64624687</t>
  </si>
  <si>
    <t>TXN88366434</t>
  </si>
  <si>
    <t>TXN22881284</t>
  </si>
  <si>
    <t>TXN34489133</t>
  </si>
  <si>
    <t>TXN49528620</t>
  </si>
  <si>
    <t>TXN38932954</t>
  </si>
  <si>
    <t>TXN26540222</t>
  </si>
  <si>
    <t>TXN22436931</t>
  </si>
  <si>
    <t>TXN10577852</t>
  </si>
  <si>
    <t>TXN50923308</t>
  </si>
  <si>
    <t>TXN25608242</t>
  </si>
  <si>
    <t>TXN83917761</t>
  </si>
  <si>
    <t>TXN19874511</t>
  </si>
  <si>
    <t>TXN83435884</t>
  </si>
  <si>
    <t>TXN25850740</t>
  </si>
  <si>
    <t>TXN34067881</t>
  </si>
  <si>
    <t>TXN48182921</t>
  </si>
  <si>
    <t>TXN10390153</t>
  </si>
  <si>
    <t>TXN83724282</t>
  </si>
  <si>
    <t>TXN98907353</t>
  </si>
  <si>
    <t>TXN34861721</t>
  </si>
  <si>
    <t>TXN89213608</t>
  </si>
  <si>
    <t>TXN14755286</t>
  </si>
  <si>
    <t>TXN11243919</t>
  </si>
  <si>
    <t>TXN20561548</t>
  </si>
  <si>
    <t>TXN66406586</t>
  </si>
  <si>
    <t>TXN18533007</t>
  </si>
  <si>
    <t>TXN83387383</t>
  </si>
  <si>
    <t>TXN21804032</t>
  </si>
  <si>
    <t>TXN14552565</t>
  </si>
  <si>
    <t>TXN84823548</t>
  </si>
  <si>
    <t>TXN43544073</t>
  </si>
  <si>
    <t>TXN21660276</t>
  </si>
  <si>
    <t>TXN71111101</t>
  </si>
  <si>
    <t>TXN12432567</t>
  </si>
  <si>
    <t>TXN92026191</t>
  </si>
  <si>
    <t>TXN87170913</t>
  </si>
  <si>
    <t>TXN26239815</t>
  </si>
  <si>
    <t>TXN63184219</t>
  </si>
  <si>
    <t>TXN32474847</t>
  </si>
  <si>
    <t>TXN96678270</t>
  </si>
  <si>
    <t>TXN67780225</t>
  </si>
  <si>
    <t>TXN61832122</t>
  </si>
  <si>
    <t>TXN20568652</t>
  </si>
  <si>
    <t>TXN46406729</t>
  </si>
  <si>
    <t>TXN73754606</t>
  </si>
  <si>
    <t>TXN78197366</t>
  </si>
  <si>
    <t>TXN26873580</t>
  </si>
  <si>
    <t>TXN49002498</t>
  </si>
  <si>
    <t>TXN79242327</t>
  </si>
  <si>
    <t>TXN84117793</t>
  </si>
  <si>
    <t>TXN81463899</t>
  </si>
  <si>
    <t>TXN97459286</t>
  </si>
  <si>
    <t>TXN66717907</t>
  </si>
  <si>
    <t>TXN56417213</t>
  </si>
  <si>
    <t>TXN38336736</t>
  </si>
  <si>
    <t>TXN45418055</t>
  </si>
  <si>
    <t>TXN61064664</t>
  </si>
  <si>
    <t>TXN31009414</t>
  </si>
  <si>
    <t>TXN63176790</t>
  </si>
  <si>
    <t>TXN32940788</t>
  </si>
  <si>
    <t>TXN55066441</t>
  </si>
  <si>
    <t>TXN64587624</t>
  </si>
  <si>
    <t>TXN68329474</t>
  </si>
  <si>
    <t>TXN44582228</t>
  </si>
  <si>
    <t>TXN91663822</t>
  </si>
  <si>
    <t>TXN95024368</t>
  </si>
  <si>
    <t>TXN82563915</t>
  </si>
  <si>
    <t>TXN85593302</t>
  </si>
  <si>
    <t>TXN59944057</t>
  </si>
  <si>
    <t>TXN92640856</t>
  </si>
  <si>
    <t>TXN55589025</t>
  </si>
  <si>
    <t>TXN55007798</t>
  </si>
  <si>
    <t>TXN56173909</t>
  </si>
  <si>
    <t>TXN42048285</t>
  </si>
  <si>
    <t>TXN18741083</t>
  </si>
  <si>
    <t>TXN51306048</t>
  </si>
  <si>
    <t>TXN83952828</t>
  </si>
  <si>
    <t>TXN35886534</t>
  </si>
  <si>
    <t>TXN52339407</t>
  </si>
  <si>
    <t>TXN70348992</t>
  </si>
  <si>
    <t>TXN43377240</t>
  </si>
  <si>
    <t>TXN57366856</t>
  </si>
  <si>
    <t>TXN75863054</t>
  </si>
  <si>
    <t>TXN84396991</t>
  </si>
  <si>
    <t>TXN22234968</t>
  </si>
  <si>
    <t>TXN92102462</t>
  </si>
  <si>
    <t>TXN84245850</t>
  </si>
  <si>
    <t>TXN55699835</t>
  </si>
  <si>
    <t>TXN99148019</t>
  </si>
  <si>
    <t>TXN78823481</t>
  </si>
  <si>
    <t>TXN50420878</t>
  </si>
  <si>
    <t>TXN84355887</t>
  </si>
  <si>
    <t>TXN60702242</t>
  </si>
  <si>
    <t>TXN89452354</t>
  </si>
  <si>
    <t>TXN65930531</t>
  </si>
  <si>
    <t>TXN36794624</t>
  </si>
  <si>
    <t>TXN84467257</t>
  </si>
  <si>
    <t>TXN16779631</t>
  </si>
  <si>
    <t>TXN19633787</t>
  </si>
  <si>
    <t>TXN99870647</t>
  </si>
  <si>
    <t>TXN74243513</t>
  </si>
  <si>
    <t>TXN57720602</t>
  </si>
  <si>
    <t>TXN72807003</t>
  </si>
  <si>
    <t>TXN14439597</t>
  </si>
  <si>
    <t>TXN65221575</t>
  </si>
  <si>
    <t>TXN17871460</t>
  </si>
  <si>
    <t>TXN83538913</t>
  </si>
  <si>
    <t>TXN12651346</t>
  </si>
  <si>
    <t>TXN87508140</t>
  </si>
  <si>
    <t>TXN89630510</t>
  </si>
  <si>
    <t>TXN18986465</t>
  </si>
  <si>
    <t>TXN73473860</t>
  </si>
  <si>
    <t>TXN78712678</t>
  </si>
  <si>
    <t>TXN62887567</t>
  </si>
  <si>
    <t>TXN88263829</t>
  </si>
  <si>
    <t>TXN91072797</t>
  </si>
  <si>
    <t>TXN30132925</t>
  </si>
  <si>
    <t>TXN74545563</t>
  </si>
  <si>
    <t>TXN62454514</t>
  </si>
  <si>
    <t>TXN53738188</t>
  </si>
  <si>
    <t>TXN59841280</t>
  </si>
  <si>
    <t>TXN56842083</t>
  </si>
  <si>
    <t>TXN52732568</t>
  </si>
  <si>
    <t>TXN45773584</t>
  </si>
  <si>
    <t>TXN19750693</t>
  </si>
  <si>
    <t>TXN49041040</t>
  </si>
  <si>
    <t>TXN48897213</t>
  </si>
  <si>
    <t>TXN24268743</t>
  </si>
  <si>
    <t>TXN33128892</t>
  </si>
  <si>
    <t>TXN30682998</t>
  </si>
  <si>
    <t>TXN89702480</t>
  </si>
  <si>
    <t>TXN79545762</t>
  </si>
  <si>
    <t>TXN51060748</t>
  </si>
  <si>
    <t>TXN53428683</t>
  </si>
  <si>
    <t>TXN56556055</t>
  </si>
  <si>
    <t>TXN50031844</t>
  </si>
  <si>
    <t>TXN65223619</t>
  </si>
  <si>
    <t>TXN64406422</t>
  </si>
  <si>
    <t>TXN80127505</t>
  </si>
  <si>
    <t>TXN34132642</t>
  </si>
  <si>
    <t>TXN97103192</t>
  </si>
  <si>
    <t>TXN78949532</t>
  </si>
  <si>
    <t>TXN60865437</t>
  </si>
  <si>
    <t>TXN11248684</t>
  </si>
  <si>
    <t>TXN34923363</t>
  </si>
  <si>
    <t>TXN21707930</t>
  </si>
  <si>
    <t>TXN96763681</t>
  </si>
  <si>
    <t>TXN86052371</t>
  </si>
  <si>
    <t>TXN57688137</t>
  </si>
  <si>
    <t>TXN28132992</t>
  </si>
  <si>
    <t>TXN65447730</t>
  </si>
  <si>
    <t>TXN10875843</t>
  </si>
  <si>
    <t>TXN12791760</t>
  </si>
  <si>
    <t>TXN30486250</t>
  </si>
  <si>
    <t>TXN24153160</t>
  </si>
  <si>
    <t>TXN91469447</t>
  </si>
  <si>
    <t>TXN45034888</t>
  </si>
  <si>
    <t>TXN51704177</t>
  </si>
  <si>
    <t>TXN53782280</t>
  </si>
  <si>
    <t>TXN15619772</t>
  </si>
  <si>
    <t>TXN22004033</t>
  </si>
  <si>
    <t>TXN86544227</t>
  </si>
  <si>
    <t>TXN52880558</t>
  </si>
  <si>
    <t>TXN25226805</t>
  </si>
  <si>
    <t>TXN89327667</t>
  </si>
  <si>
    <t>TXN27364345</t>
  </si>
  <si>
    <t>TXN66672750</t>
  </si>
  <si>
    <t>TXN53584606</t>
  </si>
  <si>
    <t>TXN38405302</t>
  </si>
  <si>
    <t>TXN14315412</t>
  </si>
  <si>
    <t>TXN86905964</t>
  </si>
  <si>
    <t>TXN51800142</t>
  </si>
  <si>
    <t>TXN64652464</t>
  </si>
  <si>
    <t>TXN46396307</t>
  </si>
  <si>
    <t>TXN64915984</t>
  </si>
  <si>
    <t>TXN13823037</t>
  </si>
  <si>
    <t>TXN69236440</t>
  </si>
  <si>
    <t>TXN77092872</t>
  </si>
  <si>
    <t>TXN24970769</t>
  </si>
  <si>
    <t>TXN19857420</t>
  </si>
  <si>
    <t>TXN97860027</t>
  </si>
  <si>
    <t>TXN68687832</t>
  </si>
  <si>
    <t>TXN40504168</t>
  </si>
  <si>
    <t>TXN43899933</t>
  </si>
  <si>
    <t>TXN67033458</t>
  </si>
  <si>
    <t>TXN87948764</t>
  </si>
  <si>
    <t>TXN75255380</t>
  </si>
  <si>
    <t>TXN60402767</t>
  </si>
  <si>
    <t>TXN29073365</t>
  </si>
  <si>
    <t>TXN74760349</t>
  </si>
  <si>
    <t>TXN23919155</t>
  </si>
  <si>
    <t>TXN80469485</t>
  </si>
  <si>
    <t>TXN71668418</t>
  </si>
  <si>
    <t>TXN55266282</t>
  </si>
  <si>
    <t>TXN86738510</t>
  </si>
  <si>
    <t>TXN19468949</t>
  </si>
  <si>
    <t>TXN95138549</t>
  </si>
  <si>
    <t>TXN25859870</t>
  </si>
  <si>
    <t>TXN85103820</t>
  </si>
  <si>
    <t>TXN80123218</t>
  </si>
  <si>
    <t>TXN96070334</t>
  </si>
  <si>
    <t>TXN28713174</t>
  </si>
  <si>
    <t>TXN78801182</t>
  </si>
  <si>
    <t>TXN79172422</t>
  </si>
  <si>
    <t>TXN78706366</t>
  </si>
  <si>
    <t>TXN19274080</t>
  </si>
  <si>
    <t>TXN81220739</t>
  </si>
  <si>
    <t>TXN74868025</t>
  </si>
  <si>
    <t>TXN12992870</t>
  </si>
  <si>
    <t>TXN19339809</t>
  </si>
  <si>
    <t>TXN54483491</t>
  </si>
  <si>
    <t>TXN69024856</t>
  </si>
  <si>
    <t>TXN50379845</t>
  </si>
  <si>
    <t>TXN67026158</t>
  </si>
  <si>
    <t>TXN97911270</t>
  </si>
  <si>
    <t>TXN43614616</t>
  </si>
  <si>
    <t>TXN50405140</t>
  </si>
  <si>
    <t>TXN33833728</t>
  </si>
  <si>
    <t>TXN33005921</t>
  </si>
  <si>
    <t>TXN71657000</t>
  </si>
  <si>
    <t>TXN10535352</t>
  </si>
  <si>
    <t>TXN48841854</t>
  </si>
  <si>
    <t>TXN30036402</t>
  </si>
  <si>
    <t>TXN62754727</t>
  </si>
  <si>
    <t>TXN17721834</t>
  </si>
  <si>
    <t>TXN78670728</t>
  </si>
  <si>
    <t>TXN97829720</t>
  </si>
  <si>
    <t>TXN98784617</t>
  </si>
  <si>
    <t>TXN55168038</t>
  </si>
  <si>
    <t>TXN78588268</t>
  </si>
  <si>
    <t>TXN97697676</t>
  </si>
  <si>
    <t>TXN88515513</t>
  </si>
  <si>
    <t>TXN35951471</t>
  </si>
  <si>
    <t>TXN37402233</t>
  </si>
  <si>
    <t>TXN46126327</t>
  </si>
  <si>
    <t>TXN88748796</t>
  </si>
  <si>
    <t>TXN95938481</t>
  </si>
  <si>
    <t>TXN72549676</t>
  </si>
  <si>
    <t>TXN45066305</t>
  </si>
  <si>
    <t>TXN70514921</t>
  </si>
  <si>
    <t>TXN14161699</t>
  </si>
  <si>
    <t>TXN72451043</t>
  </si>
  <si>
    <t>TXN59326254</t>
  </si>
  <si>
    <t>TXN30778471</t>
  </si>
  <si>
    <t>TXN54872878</t>
  </si>
  <si>
    <t>TXN48720200</t>
  </si>
  <si>
    <t>TXN77325964</t>
  </si>
  <si>
    <t>TXN50576821</t>
  </si>
  <si>
    <t>TXN82162753</t>
  </si>
  <si>
    <t>TXN19481491</t>
  </si>
  <si>
    <t>TXN46755582</t>
  </si>
  <si>
    <t>TXN82032198</t>
  </si>
  <si>
    <t>TXN81169840</t>
  </si>
  <si>
    <t>TXN53602856</t>
  </si>
  <si>
    <t>TXN98954143</t>
  </si>
  <si>
    <t>TXN94603774</t>
  </si>
  <si>
    <t>TXN25953427</t>
  </si>
  <si>
    <t>TXN94803245</t>
  </si>
  <si>
    <t>TXN56218310</t>
  </si>
  <si>
    <t>TXN90953340</t>
  </si>
  <si>
    <t>TXN17534549</t>
  </si>
  <si>
    <t>TXN56939241</t>
  </si>
  <si>
    <t>TXN18048872</t>
  </si>
  <si>
    <t>TXN28131339</t>
  </si>
  <si>
    <t>TXN49693458</t>
  </si>
  <si>
    <t>TXN34315600</t>
  </si>
  <si>
    <t>TXN41909034</t>
  </si>
  <si>
    <t>TXN30669471</t>
  </si>
  <si>
    <t>TXN92760744</t>
  </si>
  <si>
    <t>TXN12153939</t>
  </si>
  <si>
    <t>TXN30630107</t>
  </si>
  <si>
    <t>TXN43346734</t>
  </si>
  <si>
    <t>TXN34589583</t>
  </si>
  <si>
    <t>TXN79830032</t>
  </si>
  <si>
    <t>TXN53034612</t>
  </si>
  <si>
    <t>TXN81417139</t>
  </si>
  <si>
    <t>TXN21315121</t>
  </si>
  <si>
    <t>TXN71938691</t>
  </si>
  <si>
    <t>TXN57302881</t>
  </si>
  <si>
    <t>TXN10387909</t>
  </si>
  <si>
    <t>TXN16473787</t>
  </si>
  <si>
    <t>TXN79545192</t>
  </si>
  <si>
    <t>TXN26186194</t>
  </si>
  <si>
    <t>TXN93746823</t>
  </si>
  <si>
    <t>TXN60948304</t>
  </si>
  <si>
    <t>TXN24506222</t>
  </si>
  <si>
    <t>TXN78049041</t>
  </si>
  <si>
    <t>TXN27357723</t>
  </si>
  <si>
    <t>TXN69444355</t>
  </si>
  <si>
    <t>TXN88901865</t>
  </si>
  <si>
    <t>TXN28917705</t>
  </si>
  <si>
    <t>TXN10701909</t>
  </si>
  <si>
    <t>TXN65682264</t>
  </si>
  <si>
    <t>TXN58173277</t>
  </si>
  <si>
    <t>TXN57650749</t>
  </si>
  <si>
    <t>TXN73899573</t>
  </si>
  <si>
    <t>TXN19452165</t>
  </si>
  <si>
    <t>TXN21286706</t>
  </si>
  <si>
    <t>TXN30845269</t>
  </si>
  <si>
    <t>TXN40134957</t>
  </si>
  <si>
    <t>TXN34888300</t>
  </si>
  <si>
    <t>TXN75768125</t>
  </si>
  <si>
    <t>TXN21009657</t>
  </si>
  <si>
    <t>TXN25519974</t>
  </si>
  <si>
    <t>TXN88901582</t>
  </si>
  <si>
    <t>TXN64199897</t>
  </si>
  <si>
    <t>TXN21544858</t>
  </si>
  <si>
    <t>TXN13951791</t>
  </si>
  <si>
    <t>TXN81540896</t>
  </si>
  <si>
    <t>TXN65475686</t>
  </si>
  <si>
    <t>TXN18397593</t>
  </si>
  <si>
    <t>TXN11522317</t>
  </si>
  <si>
    <t>TXN63167318</t>
  </si>
  <si>
    <t>TXN95111526</t>
  </si>
  <si>
    <t>TXN65635254</t>
  </si>
  <si>
    <t>TXN17966411</t>
  </si>
  <si>
    <t>TXN18683886</t>
  </si>
  <si>
    <t>TXN59017813</t>
  </si>
  <si>
    <t>TXN93702224</t>
  </si>
  <si>
    <t>TXN12466641</t>
  </si>
  <si>
    <t>TXN16065723</t>
  </si>
  <si>
    <t>TXN27648848</t>
  </si>
  <si>
    <t>TXN49452478</t>
  </si>
  <si>
    <t>TXN97545651</t>
  </si>
  <si>
    <t>TXN49714906</t>
  </si>
  <si>
    <t>TXN34299797</t>
  </si>
  <si>
    <t>TXN23396716</t>
  </si>
  <si>
    <t>TXN24870200</t>
  </si>
  <si>
    <t>TXN31256408</t>
  </si>
  <si>
    <t>TXN50284189</t>
  </si>
  <si>
    <t>TXN76508192</t>
  </si>
  <si>
    <t>TXN66161130</t>
  </si>
  <si>
    <t>TXN64627408</t>
  </si>
  <si>
    <t>TXN71075109</t>
  </si>
  <si>
    <t>TXN35539903</t>
  </si>
  <si>
    <t>TXN35182170</t>
  </si>
  <si>
    <t>TXN77443438</t>
  </si>
  <si>
    <t>TXN46531008</t>
  </si>
  <si>
    <t>TXN50372415</t>
  </si>
  <si>
    <t>TXN35959456</t>
  </si>
  <si>
    <t>TXN71816818</t>
  </si>
  <si>
    <t>TXN64603881</t>
  </si>
  <si>
    <t>TXN28417732</t>
  </si>
  <si>
    <t>TXN46097949</t>
  </si>
  <si>
    <t>TXN55446315</t>
  </si>
  <si>
    <t>TXN48363616</t>
  </si>
  <si>
    <t>TXN84893385</t>
  </si>
  <si>
    <t>TXN12766309</t>
  </si>
  <si>
    <t>TXN53248674</t>
  </si>
  <si>
    <t>TXN43994410</t>
  </si>
  <si>
    <t>TXN91750946</t>
  </si>
  <si>
    <t>TXN49744109</t>
  </si>
  <si>
    <t>TXN33664371</t>
  </si>
  <si>
    <t>TXN78675396</t>
  </si>
  <si>
    <t>TXN94590845</t>
  </si>
  <si>
    <t>TXN13516392</t>
  </si>
  <si>
    <t>TXN81454778</t>
  </si>
  <si>
    <t>TXN72011615</t>
  </si>
  <si>
    <t>TXN34115067</t>
  </si>
  <si>
    <t>TXN41697272</t>
  </si>
  <si>
    <t>TXN35622893</t>
  </si>
  <si>
    <t>TXN21008894</t>
  </si>
  <si>
    <t>TXN92990283</t>
  </si>
  <si>
    <t>TXN89347899</t>
  </si>
  <si>
    <t>TXN76222486</t>
  </si>
  <si>
    <t>TXN73610022</t>
  </si>
  <si>
    <t>TXN18140884</t>
  </si>
  <si>
    <t>TXN24300921</t>
  </si>
  <si>
    <t>TXN31270600</t>
  </si>
  <si>
    <t>TXN41574298</t>
  </si>
  <si>
    <t>TXN89532984</t>
  </si>
  <si>
    <t>TXN80099005</t>
  </si>
  <si>
    <t>TXN40054264</t>
  </si>
  <si>
    <t>TXN59500383</t>
  </si>
  <si>
    <t>TXN82743925</t>
  </si>
  <si>
    <t>TXN33042154</t>
  </si>
  <si>
    <t>TXN16925565</t>
  </si>
  <si>
    <t>TXN29100928</t>
  </si>
  <si>
    <t>TXN54731843</t>
  </si>
  <si>
    <t>TXN54277811</t>
  </si>
  <si>
    <t>TXN39293640</t>
  </si>
  <si>
    <t>TXN28773661</t>
  </si>
  <si>
    <t>TXN60595493</t>
  </si>
  <si>
    <t>TXN16927272</t>
  </si>
  <si>
    <t>TXN97918870</t>
  </si>
  <si>
    <t>TXN22692837</t>
  </si>
  <si>
    <t>TXN10811025</t>
  </si>
  <si>
    <t>TXN77156061</t>
  </si>
  <si>
    <t>TXN78570261</t>
  </si>
  <si>
    <t>TXN78697449</t>
  </si>
  <si>
    <t>TXN25121871</t>
  </si>
  <si>
    <t>TXN80529954</t>
  </si>
  <si>
    <t>TXN85745881</t>
  </si>
  <si>
    <t>TXN79764227</t>
  </si>
  <si>
    <t>TXN72684220</t>
  </si>
  <si>
    <t>TXN34518522</t>
  </si>
  <si>
    <t>TXN73712268</t>
  </si>
  <si>
    <t>TXN27142974</t>
  </si>
  <si>
    <t>TXN18108793</t>
  </si>
  <si>
    <t>TXN90217429</t>
  </si>
  <si>
    <t>TXN90728132</t>
  </si>
  <si>
    <t>TXN84723470</t>
  </si>
  <si>
    <t>TXN30977359</t>
  </si>
  <si>
    <t>TXN76473769</t>
  </si>
  <si>
    <t>TXN68096234</t>
  </si>
  <si>
    <t>TXN10676364</t>
  </si>
  <si>
    <t>TXN69810813</t>
  </si>
  <si>
    <t>TXN95785850</t>
  </si>
  <si>
    <t>TXN63402022</t>
  </si>
  <si>
    <t>TXN41965887</t>
  </si>
  <si>
    <t>TXN26306115</t>
  </si>
  <si>
    <t>TXN98858885</t>
  </si>
  <si>
    <t>TXN92670853</t>
  </si>
  <si>
    <t>TXN77237033</t>
  </si>
  <si>
    <t>TXN77975401</t>
  </si>
  <si>
    <t>TXN15070863</t>
  </si>
  <si>
    <t>TXN14713194</t>
  </si>
  <si>
    <t>TXN66289136</t>
  </si>
  <si>
    <t>TXN42797711</t>
  </si>
  <si>
    <t>TXN46063464</t>
  </si>
  <si>
    <t>TXN73226119</t>
  </si>
  <si>
    <t>TXN57078126</t>
  </si>
  <si>
    <t>TXN13301746</t>
  </si>
  <si>
    <t>TXN41864165</t>
  </si>
  <si>
    <t>TXN97440723</t>
  </si>
  <si>
    <t>TXN27208584</t>
  </si>
  <si>
    <t>TXN72274289</t>
  </si>
  <si>
    <t>TXN98762195</t>
  </si>
  <si>
    <t>TXN98003709</t>
  </si>
  <si>
    <t>TXN10271132</t>
  </si>
  <si>
    <t>TXN19237616</t>
  </si>
  <si>
    <t>TXN38128172</t>
  </si>
  <si>
    <t>TXN11973239</t>
  </si>
  <si>
    <t>TXN18819838</t>
  </si>
  <si>
    <t>TXN12936395</t>
  </si>
  <si>
    <t>TXN67580697</t>
  </si>
  <si>
    <t>TXN44413297</t>
  </si>
  <si>
    <t>TXN79826501</t>
  </si>
  <si>
    <t>TXN28567885</t>
  </si>
  <si>
    <t>TXN73678277</t>
  </si>
  <si>
    <t>TXN25106582</t>
  </si>
  <si>
    <t>TXN47038929</t>
  </si>
  <si>
    <t>TXN42683900</t>
  </si>
  <si>
    <t>TXN74817005</t>
  </si>
  <si>
    <t>TXN15811675</t>
  </si>
  <si>
    <t>TXN71655185</t>
  </si>
  <si>
    <t>TXN65873615</t>
  </si>
  <si>
    <t>TXN49141245</t>
  </si>
  <si>
    <t>TXN55347886</t>
  </si>
  <si>
    <t>TXN21936008</t>
  </si>
  <si>
    <t>TXN93123500</t>
  </si>
  <si>
    <t>TXN87139348</t>
  </si>
  <si>
    <t>TXN63864028</t>
  </si>
  <si>
    <t>TXN69688089</t>
  </si>
  <si>
    <t>TXN62780426</t>
  </si>
  <si>
    <t>TXN42243235</t>
  </si>
  <si>
    <t>TXN69857613</t>
  </si>
  <si>
    <t>TXN25079461</t>
  </si>
  <si>
    <t>TXN84506706</t>
  </si>
  <si>
    <t>TXN26829568</t>
  </si>
  <si>
    <t>TXN40056470</t>
  </si>
  <si>
    <t>TXN45526201</t>
  </si>
  <si>
    <t>TXN74478277</t>
  </si>
  <si>
    <t>TXN51589161</t>
  </si>
  <si>
    <t>TXN17756464</t>
  </si>
  <si>
    <t>TXN83848714</t>
  </si>
  <si>
    <t>TXN15608498</t>
  </si>
  <si>
    <t>TXN50957199</t>
  </si>
  <si>
    <t>TXN16723326</t>
  </si>
  <si>
    <t>TXN69183546</t>
  </si>
  <si>
    <t>TXN39830767</t>
  </si>
  <si>
    <t>TXN61371300</t>
  </si>
  <si>
    <t>TXN39914590</t>
  </si>
  <si>
    <t>TXN27237396</t>
  </si>
  <si>
    <t>TXN25402769</t>
  </si>
  <si>
    <t>TXN63466186</t>
  </si>
  <si>
    <t>TXN48537794</t>
  </si>
  <si>
    <t>TXN93651850</t>
  </si>
  <si>
    <t>TXN73499221</t>
  </si>
  <si>
    <t>TXN36464636</t>
  </si>
  <si>
    <t>TXN51757146</t>
  </si>
  <si>
    <t>TXN90738706</t>
  </si>
  <si>
    <t>TXN84900833</t>
  </si>
  <si>
    <t>TXN26634121</t>
  </si>
  <si>
    <t>TXN92664953</t>
  </si>
  <si>
    <t>TXN72016813</t>
  </si>
  <si>
    <t>TXN85333443</t>
  </si>
  <si>
    <t>TXN54864959</t>
  </si>
  <si>
    <t>TXN43248685</t>
  </si>
  <si>
    <t>TXN11885138</t>
  </si>
  <si>
    <t>TXN87312308</t>
  </si>
  <si>
    <t>TXN79481295</t>
  </si>
  <si>
    <t>TXN18946977</t>
  </si>
  <si>
    <t>TXN65454506</t>
  </si>
  <si>
    <t>TXN54264798</t>
  </si>
  <si>
    <t>TXN44425616</t>
  </si>
  <si>
    <t>TXN48406131</t>
  </si>
  <si>
    <t>TXN57206636</t>
  </si>
  <si>
    <t>TXN46284628</t>
  </si>
  <si>
    <t>TXN69365067</t>
  </si>
  <si>
    <t>TXN45591574</t>
  </si>
  <si>
    <t>TXN73837372</t>
  </si>
  <si>
    <t>TXN11330533</t>
  </si>
  <si>
    <t>TXN48742274</t>
  </si>
  <si>
    <t>TXN59702910</t>
  </si>
  <si>
    <t>TXN91931104</t>
  </si>
  <si>
    <t>TXN19508662</t>
  </si>
  <si>
    <t>TXN18282695</t>
  </si>
  <si>
    <t>TXN56796096</t>
  </si>
  <si>
    <t>TXN34894993</t>
  </si>
  <si>
    <t>TXN40693623</t>
  </si>
  <si>
    <t>TXN83071012</t>
  </si>
  <si>
    <t>TXN33502661</t>
  </si>
  <si>
    <t>TXN51470974</t>
  </si>
  <si>
    <t>TXN76074551</t>
  </si>
  <si>
    <t>TXN39001091</t>
  </si>
  <si>
    <t>TXN40334359</t>
  </si>
  <si>
    <t>TXN90221978</t>
  </si>
  <si>
    <t>TXN77885270</t>
  </si>
  <si>
    <t>TXN70377977</t>
  </si>
  <si>
    <t>TXN99747638</t>
  </si>
  <si>
    <t>TXN79636636</t>
  </si>
  <si>
    <t>TXN96791852</t>
  </si>
  <si>
    <t>TXN94099964</t>
  </si>
  <si>
    <t>TXN84510728</t>
  </si>
  <si>
    <t>TXN64119389</t>
  </si>
  <si>
    <t>TXN18656253</t>
  </si>
  <si>
    <t>TXN60813766</t>
  </si>
  <si>
    <t>TXN95862355</t>
  </si>
  <si>
    <t>TXN21337163</t>
  </si>
  <si>
    <t>TXN27702607</t>
  </si>
  <si>
    <t>TXN26863625</t>
  </si>
  <si>
    <t>TXN56689154</t>
  </si>
  <si>
    <t>TXN87783878</t>
  </si>
  <si>
    <t>TXN90884870</t>
  </si>
  <si>
    <t>TXN95720447</t>
  </si>
  <si>
    <t>TXN30287961</t>
  </si>
  <si>
    <t>TXN75409093</t>
  </si>
  <si>
    <t>TXN14452407</t>
  </si>
  <si>
    <t>TXN74439182</t>
  </si>
  <si>
    <t>TXN31636864</t>
  </si>
  <si>
    <t>TXN81599038</t>
  </si>
  <si>
    <t>TXN95536089</t>
  </si>
  <si>
    <t>TXN75378476</t>
  </si>
  <si>
    <t>TXN49489457</t>
  </si>
  <si>
    <t>TXN64350069</t>
  </si>
  <si>
    <t>TXN67238500</t>
  </si>
  <si>
    <t>TXN87118692</t>
  </si>
  <si>
    <t>TXN28644030</t>
  </si>
  <si>
    <t>TXN54310172</t>
  </si>
  <si>
    <t>TXN62648932</t>
  </si>
  <si>
    <t>TXN87731934</t>
  </si>
  <si>
    <t>TXN59977320</t>
  </si>
  <si>
    <t>TXN10961165</t>
  </si>
  <si>
    <t>TXN77796567</t>
  </si>
  <si>
    <t>TXN75812320</t>
  </si>
  <si>
    <t>TXN28048815</t>
  </si>
  <si>
    <t>TXN85218375</t>
  </si>
  <si>
    <t>TXN14025202</t>
  </si>
  <si>
    <t>TXN73614301</t>
  </si>
  <si>
    <t>TXN48370035</t>
  </si>
  <si>
    <t>TXN82901881</t>
  </si>
  <si>
    <t>TXN33542316</t>
  </si>
  <si>
    <t>TXN54349983</t>
  </si>
  <si>
    <t>TXN19418132</t>
  </si>
  <si>
    <t>TXN20255746</t>
  </si>
  <si>
    <t>TXN62169000</t>
  </si>
  <si>
    <t>TXN62044480</t>
  </si>
  <si>
    <t>TXN80734244</t>
  </si>
  <si>
    <t>TXN45808949</t>
  </si>
  <si>
    <t>TXN96260647</t>
  </si>
  <si>
    <t>TXN94810164</t>
  </si>
  <si>
    <t>TXN42577872</t>
  </si>
  <si>
    <t>TXN57694912</t>
  </si>
  <si>
    <t>TXN22089714</t>
  </si>
  <si>
    <t>TXN91119607</t>
  </si>
  <si>
    <t>TXN17248423</t>
  </si>
  <si>
    <t>TXN39210855</t>
  </si>
  <si>
    <t>TXN76454223</t>
  </si>
  <si>
    <t>TXN70678184</t>
  </si>
  <si>
    <t>TXN15062253</t>
  </si>
  <si>
    <t>TXN81634075</t>
  </si>
  <si>
    <t>TXN60579526</t>
  </si>
  <si>
    <t>TXN89076446</t>
  </si>
  <si>
    <t>TXN78771861</t>
  </si>
  <si>
    <t>TXN11778331</t>
  </si>
  <si>
    <t>TXN48257953</t>
  </si>
  <si>
    <t>TXN36243463</t>
  </si>
  <si>
    <t>TXN99909970</t>
  </si>
  <si>
    <t>TXN59423703</t>
  </si>
  <si>
    <t>TXN77664110</t>
  </si>
  <si>
    <t>TXN89124485</t>
  </si>
  <si>
    <t>TXN24089367</t>
  </si>
  <si>
    <t>TXN89801466</t>
  </si>
  <si>
    <t>TXN52121675</t>
  </si>
  <si>
    <t>TXN86067573</t>
  </si>
  <si>
    <t>TXN34939035</t>
  </si>
  <si>
    <t>TXN14441967</t>
  </si>
  <si>
    <t>TXN59507962</t>
  </si>
  <si>
    <t>TXN57065350</t>
  </si>
  <si>
    <t>TXN39299034</t>
  </si>
  <si>
    <t>TXN29886242</t>
  </si>
  <si>
    <t>TXN25161920</t>
  </si>
  <si>
    <t>TXN49051551</t>
  </si>
  <si>
    <t>TXN57365431</t>
  </si>
  <si>
    <t>TXN97615271</t>
  </si>
  <si>
    <t>TXN52379401</t>
  </si>
  <si>
    <t>TXN13428900</t>
  </si>
  <si>
    <t>TXN95630258</t>
  </si>
  <si>
    <t>TXN35788238</t>
  </si>
  <si>
    <t>TXN78150028</t>
  </si>
  <si>
    <t>TXN75976619</t>
  </si>
  <si>
    <t>TXN90510594</t>
  </si>
  <si>
    <t>TXN71921519</t>
  </si>
  <si>
    <t>TXN82509034</t>
  </si>
  <si>
    <t>TXN40816577</t>
  </si>
  <si>
    <t>TXN99047404</t>
  </si>
  <si>
    <t>TXN92859769</t>
  </si>
  <si>
    <t>TXN16945401</t>
  </si>
  <si>
    <t>TXN60046957</t>
  </si>
  <si>
    <t>TXN54250173</t>
  </si>
  <si>
    <t>TXN53735698</t>
  </si>
  <si>
    <t>TXN66214531</t>
  </si>
  <si>
    <t>TXN36672932</t>
  </si>
  <si>
    <t>TXN78001432</t>
  </si>
  <si>
    <t>TXN29493986</t>
  </si>
  <si>
    <t>TXN36454157</t>
  </si>
  <si>
    <t>TXN16106868</t>
  </si>
  <si>
    <t>TXN42993389</t>
  </si>
  <si>
    <t>TXN68996716</t>
  </si>
  <si>
    <t>TXN62821563</t>
  </si>
  <si>
    <t>TXN97503627</t>
  </si>
  <si>
    <t>TXN59453117</t>
  </si>
  <si>
    <t>TXN17891223</t>
  </si>
  <si>
    <t>TXN40003304</t>
  </si>
  <si>
    <t>TXN51713578</t>
  </si>
  <si>
    <t>TXN50871532</t>
  </si>
  <si>
    <t>TXN26170950</t>
  </si>
  <si>
    <t>TXN27533714</t>
  </si>
  <si>
    <t>TXN17106754</t>
  </si>
  <si>
    <t>TXN93833426</t>
  </si>
  <si>
    <t>TXN86240329</t>
  </si>
  <si>
    <t>TXN36217359</t>
  </si>
  <si>
    <t>TXN29320776</t>
  </si>
  <si>
    <t>TXN81667693</t>
  </si>
  <si>
    <t>TXN46244592</t>
  </si>
  <si>
    <t>TXN91308956</t>
  </si>
  <si>
    <t>TXN48377496</t>
  </si>
  <si>
    <t>TXN36552900</t>
  </si>
  <si>
    <t>TXN54080023</t>
  </si>
  <si>
    <t>TXN85306859</t>
  </si>
  <si>
    <t>TXN49208750</t>
  </si>
  <si>
    <t>TXN98662804</t>
  </si>
  <si>
    <t>TXN49061210</t>
  </si>
  <si>
    <t>TXN55094678</t>
  </si>
  <si>
    <t>TXN59469488</t>
  </si>
  <si>
    <t>TXN56402173</t>
  </si>
  <si>
    <t>TXN22303558</t>
  </si>
  <si>
    <t>TXN36151308</t>
  </si>
  <si>
    <t>TXN12853919</t>
  </si>
  <si>
    <t>TXN61592857</t>
  </si>
  <si>
    <t>TXN74859372</t>
  </si>
  <si>
    <t>TXN41960816</t>
  </si>
  <si>
    <t>TXN15402589</t>
  </si>
  <si>
    <t>TXN30966400</t>
  </si>
  <si>
    <t>TXN99289899</t>
  </si>
  <si>
    <t>TXN22140121</t>
  </si>
  <si>
    <t>TXN61324074</t>
  </si>
  <si>
    <t>TXN68169141</t>
  </si>
  <si>
    <t>TXN93827229</t>
  </si>
  <si>
    <t>TXN40624207</t>
  </si>
  <si>
    <t>TXN42490374</t>
  </si>
  <si>
    <t>TXN60305802</t>
  </si>
  <si>
    <t>TXN32584296</t>
  </si>
  <si>
    <t>TXN63561147</t>
  </si>
  <si>
    <t>TXN16411964</t>
  </si>
  <si>
    <t>TXN19672340</t>
  </si>
  <si>
    <t>TXN37501229</t>
  </si>
  <si>
    <t>TXN80364136</t>
  </si>
  <si>
    <t>TXN39108075</t>
  </si>
  <si>
    <t>TXN25984288</t>
  </si>
  <si>
    <t>TXN23336658</t>
  </si>
  <si>
    <t>TXN50761334</t>
  </si>
  <si>
    <t>TXN79522424</t>
  </si>
  <si>
    <t>TXN60141563</t>
  </si>
  <si>
    <t>TXN27553494</t>
  </si>
  <si>
    <t>TXN32533020</t>
  </si>
  <si>
    <t>TXN99942893</t>
  </si>
  <si>
    <t>TXN49312495</t>
  </si>
  <si>
    <t>TXN60329836</t>
  </si>
  <si>
    <t>TXN38575637</t>
  </si>
  <si>
    <t>TXN46554089</t>
  </si>
  <si>
    <t>TXN36539673</t>
  </si>
  <si>
    <t>TXN82848615</t>
  </si>
  <si>
    <t>TXN81303377</t>
  </si>
  <si>
    <t>TXN35286533</t>
  </si>
  <si>
    <t>TXN19518612</t>
  </si>
  <si>
    <t>TXN87898246</t>
  </si>
  <si>
    <t>TXN28060372</t>
  </si>
  <si>
    <t>TXN74722203</t>
  </si>
  <si>
    <t>TXN84734682</t>
  </si>
  <si>
    <t>TXN50868778</t>
  </si>
  <si>
    <t>TXN90475514</t>
  </si>
  <si>
    <t>TXN86283474</t>
  </si>
  <si>
    <t>TXN68055524</t>
  </si>
  <si>
    <t>TXN26864468</t>
  </si>
  <si>
    <t>TXN84293616</t>
  </si>
  <si>
    <t>TXN65137595</t>
  </si>
  <si>
    <t>TXN65790745</t>
  </si>
  <si>
    <t>TXN95403229</t>
  </si>
  <si>
    <t>TXN87345506</t>
  </si>
  <si>
    <t>TXN57250477</t>
  </si>
  <si>
    <t>TXN46244555</t>
  </si>
  <si>
    <t>TXN63798904</t>
  </si>
  <si>
    <t>TXN83100843</t>
  </si>
  <si>
    <t>TXN13502841</t>
  </si>
  <si>
    <t>TXN63100416</t>
  </si>
  <si>
    <t>TXN87373914</t>
  </si>
  <si>
    <t>TXN97303035</t>
  </si>
  <si>
    <t>TXN63355730</t>
  </si>
  <si>
    <t>TXN28785826</t>
  </si>
  <si>
    <t>TXN86093031</t>
  </si>
  <si>
    <t>TXN99038159</t>
  </si>
  <si>
    <t>TXN37402006</t>
  </si>
  <si>
    <t>TXN33771850</t>
  </si>
  <si>
    <t>TXN66315681</t>
  </si>
  <si>
    <t>TXN70025022</t>
  </si>
  <si>
    <t>TXN82222976</t>
  </si>
  <si>
    <t>TXN86271771</t>
  </si>
  <si>
    <t>TXN85583774</t>
  </si>
  <si>
    <t>TXN42787790</t>
  </si>
  <si>
    <t>TXN59436659</t>
  </si>
  <si>
    <t>TXN48765485</t>
  </si>
  <si>
    <t>TXN36695965</t>
  </si>
  <si>
    <t>TXN32763215</t>
  </si>
  <si>
    <t>TXN62616265</t>
  </si>
  <si>
    <t>TXN24767667</t>
  </si>
  <si>
    <t>TXN26062768</t>
  </si>
  <si>
    <t>TXN20416784</t>
  </si>
  <si>
    <t>TXN95556919</t>
  </si>
  <si>
    <t>TXN58547832</t>
  </si>
  <si>
    <t>TXN24351093</t>
  </si>
  <si>
    <t>TXN50017016</t>
  </si>
  <si>
    <t>TXN24764087</t>
  </si>
  <si>
    <t>TXN34091324</t>
  </si>
  <si>
    <t>TXN82165960</t>
  </si>
  <si>
    <t>TXN94761397</t>
  </si>
  <si>
    <t>TXN60925334</t>
  </si>
  <si>
    <t>TXN17044337</t>
  </si>
  <si>
    <t>TXN71755000</t>
  </si>
  <si>
    <t>TXN72591773</t>
  </si>
  <si>
    <t>TXN51810341</t>
  </si>
  <si>
    <t>TXN97028681</t>
  </si>
  <si>
    <t>TXN36365542</t>
  </si>
  <si>
    <t>TXN34138863</t>
  </si>
  <si>
    <t>TXN87227173</t>
  </si>
  <si>
    <t>TXN32220233</t>
  </si>
  <si>
    <t>TXN61522903</t>
  </si>
  <si>
    <t>TXN96519486</t>
  </si>
  <si>
    <t>TXN39871211</t>
  </si>
  <si>
    <t>TXN56145517</t>
  </si>
  <si>
    <t>TXN38781188</t>
  </si>
  <si>
    <t>TXN43166220</t>
  </si>
  <si>
    <t>TXN43396715</t>
  </si>
  <si>
    <t>TXN62212002</t>
  </si>
  <si>
    <t>TXN30389341</t>
  </si>
  <si>
    <t>TXN63953323</t>
  </si>
  <si>
    <t>TXN89507739</t>
  </si>
  <si>
    <t>TXN68974786</t>
  </si>
  <si>
    <t>TXN53888531</t>
  </si>
  <si>
    <t>TXN64676537</t>
  </si>
  <si>
    <t>TXN33646152</t>
  </si>
  <si>
    <t>TXN24979128</t>
  </si>
  <si>
    <t>TXN70184548</t>
  </si>
  <si>
    <t>TXN58283387</t>
  </si>
  <si>
    <t>TXN91453256</t>
  </si>
  <si>
    <t>TXN89536201</t>
  </si>
  <si>
    <t>TXN25240712</t>
  </si>
  <si>
    <t>TXN85768850</t>
  </si>
  <si>
    <t>TXN73045790</t>
  </si>
  <si>
    <t>TXN39140556</t>
  </si>
  <si>
    <t>TXN95099424</t>
  </si>
  <si>
    <t>TXN15984181</t>
  </si>
  <si>
    <t>TXN60686181</t>
  </si>
  <si>
    <t>TXN80398066</t>
  </si>
  <si>
    <t>TXN69451768</t>
  </si>
  <si>
    <t>TXN20411026</t>
  </si>
  <si>
    <t>TXN43151479</t>
  </si>
  <si>
    <t>TXN40965144</t>
  </si>
  <si>
    <t>TXN97371501</t>
  </si>
  <si>
    <t>TXN92667883</t>
  </si>
  <si>
    <t>TXN73860714</t>
  </si>
  <si>
    <t>TXN74759671</t>
  </si>
  <si>
    <t>TXN48793332</t>
  </si>
  <si>
    <t>TXN76045370</t>
  </si>
  <si>
    <t>TXN34618714</t>
  </si>
  <si>
    <t>TXN27462265</t>
  </si>
  <si>
    <t>TXN25923918</t>
  </si>
  <si>
    <t>TXN15174722</t>
  </si>
  <si>
    <t>TXN71707067</t>
  </si>
  <si>
    <t>TXN58077321</t>
  </si>
  <si>
    <t>TXN57764987</t>
  </si>
  <si>
    <t>TXN95225640</t>
  </si>
  <si>
    <t>TXN91686356</t>
  </si>
  <si>
    <t>TXN74640001</t>
  </si>
  <si>
    <t>TXN20739343</t>
  </si>
  <si>
    <t>TXN28319733</t>
  </si>
  <si>
    <t>TXN80383793</t>
  </si>
  <si>
    <t>TXN89034626</t>
  </si>
  <si>
    <t>TXN13090917</t>
  </si>
  <si>
    <t>TXN26800920</t>
  </si>
  <si>
    <t>TXN78820966</t>
  </si>
  <si>
    <t>TXN68357640</t>
  </si>
  <si>
    <t>TXN74086288</t>
  </si>
  <si>
    <t>TXN92644131</t>
  </si>
  <si>
    <t>TXN25013803</t>
  </si>
  <si>
    <t>TXN49573809</t>
  </si>
  <si>
    <t>TXN48370930</t>
  </si>
  <si>
    <t>TXN87015398</t>
  </si>
  <si>
    <t>TXN72462489</t>
  </si>
  <si>
    <t>TXN18092296</t>
  </si>
  <si>
    <t>TXN43043491</t>
  </si>
  <si>
    <t>TXN39897522</t>
  </si>
  <si>
    <t>TXN14662061</t>
  </si>
  <si>
    <t>TXN15602168</t>
  </si>
  <si>
    <t>TXN19884772</t>
  </si>
  <si>
    <t>TXN18942247</t>
  </si>
  <si>
    <t>TXN85134686</t>
  </si>
  <si>
    <t>TXN33698976</t>
  </si>
  <si>
    <t>TXN78692953</t>
  </si>
  <si>
    <t>TXN85599347</t>
  </si>
  <si>
    <t>TXN50863809</t>
  </si>
  <si>
    <t>TXN66679294</t>
  </si>
  <si>
    <t>TXN71522334</t>
  </si>
  <si>
    <t>TXN25541463</t>
  </si>
  <si>
    <t>TXN36003429</t>
  </si>
  <si>
    <t>TXN28993423</t>
  </si>
  <si>
    <t>TXN88006484</t>
  </si>
  <si>
    <t>TXN35183001</t>
  </si>
  <si>
    <t>TXN76388848</t>
  </si>
  <si>
    <t>TXN79709289</t>
  </si>
  <si>
    <t>TXN80174827</t>
  </si>
  <si>
    <t>TXN50554487</t>
  </si>
  <si>
    <t>TXN46881398</t>
  </si>
  <si>
    <t>TXN92061506</t>
  </si>
  <si>
    <t>TXN92744348</t>
  </si>
  <si>
    <t>TXN70502917</t>
  </si>
  <si>
    <t>TXN25681105</t>
  </si>
  <si>
    <t>TXN37629825</t>
  </si>
  <si>
    <t>TXN63797857</t>
  </si>
  <si>
    <t>TXN90432121</t>
  </si>
  <si>
    <t>TXN11998175</t>
  </si>
  <si>
    <t>TXN51323209</t>
  </si>
  <si>
    <t>TXN33566155</t>
  </si>
  <si>
    <t>TXN58837782</t>
  </si>
  <si>
    <t>TXN77466688</t>
  </si>
  <si>
    <t>TXN52611168</t>
  </si>
  <si>
    <t>TXN15182975</t>
  </si>
  <si>
    <t>TXN81774257</t>
  </si>
  <si>
    <t>TXN48367378</t>
  </si>
  <si>
    <t>TXN96104198</t>
  </si>
  <si>
    <t>TXN79710983</t>
  </si>
  <si>
    <t>TXN70991537</t>
  </si>
  <si>
    <t>TXN19002968</t>
  </si>
  <si>
    <t>TXN20141510</t>
  </si>
  <si>
    <t>TXN41781215</t>
  </si>
  <si>
    <t>TXN48885218</t>
  </si>
  <si>
    <t>TXN44840435</t>
  </si>
  <si>
    <t>TXN93634215</t>
  </si>
  <si>
    <t>TXN93557537</t>
  </si>
  <si>
    <t>TXN16118649</t>
  </si>
  <si>
    <t>TXN29102290</t>
  </si>
  <si>
    <t>TXN77246264</t>
  </si>
  <si>
    <t>TXN90129452</t>
  </si>
  <si>
    <t>TXN73629832</t>
  </si>
  <si>
    <t>TXN97871852</t>
  </si>
  <si>
    <t>TXN52380972</t>
  </si>
  <si>
    <t>TXN87133891</t>
  </si>
  <si>
    <t>TXN69442876</t>
  </si>
  <si>
    <t>TXN77877588</t>
  </si>
  <si>
    <t>TXN37509127</t>
  </si>
  <si>
    <t>TXN14216838</t>
  </si>
  <si>
    <t>TXN38906406</t>
  </si>
  <si>
    <t>TXN54628314</t>
  </si>
  <si>
    <t>TXN36594208</t>
  </si>
  <si>
    <t>TXN69535248</t>
  </si>
  <si>
    <t>TXN70774239</t>
  </si>
  <si>
    <t>TXN27199107</t>
  </si>
  <si>
    <t>TXN62732250</t>
  </si>
  <si>
    <t>TXN63785014</t>
  </si>
  <si>
    <t>TXN11968860</t>
  </si>
  <si>
    <t>TXN50489644</t>
  </si>
  <si>
    <t>TXN45492980</t>
  </si>
  <si>
    <t>TXN48596624</t>
  </si>
  <si>
    <t>TXN18304191</t>
  </si>
  <si>
    <t>TXN35000554</t>
  </si>
  <si>
    <t>TXN97849078</t>
  </si>
  <si>
    <t>TXN23196458</t>
  </si>
  <si>
    <t>TXN91459431</t>
  </si>
  <si>
    <t>TXN13239572</t>
  </si>
  <si>
    <t>TXN64744849</t>
  </si>
  <si>
    <t>TXN48241366</t>
  </si>
  <si>
    <t>TXN23772524</t>
  </si>
  <si>
    <t>TXN82726366</t>
  </si>
  <si>
    <t>TXN79600707</t>
  </si>
  <si>
    <t>TXN71239650</t>
  </si>
  <si>
    <t>TXN47890820</t>
  </si>
  <si>
    <t>TXN95916732</t>
  </si>
  <si>
    <t>TXN10352982</t>
  </si>
  <si>
    <t>TXN31396963</t>
  </si>
  <si>
    <t>TXN22219491</t>
  </si>
  <si>
    <t>TXN14400289</t>
  </si>
  <si>
    <t>TXN76695324</t>
  </si>
  <si>
    <t>TXN19295478</t>
  </si>
  <si>
    <t>TXN28248402</t>
  </si>
  <si>
    <t>TXN27925668</t>
  </si>
  <si>
    <t>TXN92409193</t>
  </si>
  <si>
    <t>TXN94143819</t>
  </si>
  <si>
    <t>TXN90695066</t>
  </si>
  <si>
    <t>TXN15149130</t>
  </si>
  <si>
    <t>TXN72066669</t>
  </si>
  <si>
    <t>TXN38186070</t>
  </si>
  <si>
    <t>TXN76234236</t>
  </si>
  <si>
    <t>TXN71285079</t>
  </si>
  <si>
    <t>TXN53048775</t>
  </si>
  <si>
    <t>TXN30324908</t>
  </si>
  <si>
    <t>TXN82219053</t>
  </si>
  <si>
    <t>TXN38980638</t>
  </si>
  <si>
    <t>TXN12776677</t>
  </si>
  <si>
    <t>TXN43432841</t>
  </si>
  <si>
    <t>TXN39141283</t>
  </si>
  <si>
    <t>TXN33102756</t>
  </si>
  <si>
    <t>TXN37997064</t>
  </si>
  <si>
    <t>TXN58080593</t>
  </si>
  <si>
    <t>TXN50402024</t>
  </si>
  <si>
    <t>TXN61768066</t>
  </si>
  <si>
    <t>TXN28312799</t>
  </si>
  <si>
    <t>TXN66796256</t>
  </si>
  <si>
    <t>TXN28164079</t>
  </si>
  <si>
    <t>TXN80148327</t>
  </si>
  <si>
    <t>TXN74142048</t>
  </si>
  <si>
    <t>TXN48669106</t>
  </si>
  <si>
    <t>TXN89403576</t>
  </si>
  <si>
    <t>TXN88993066</t>
  </si>
  <si>
    <t>TXN18264422</t>
  </si>
  <si>
    <t>TXN39485679</t>
  </si>
  <si>
    <t>TXN83072389</t>
  </si>
  <si>
    <t>TXN87378107</t>
  </si>
  <si>
    <t>TXN29247552</t>
  </si>
  <si>
    <t>TXN29144243</t>
  </si>
  <si>
    <t>TXN53846260</t>
  </si>
  <si>
    <t>TXN27255749</t>
  </si>
  <si>
    <t>TXN91023427</t>
  </si>
  <si>
    <t>TXN57676071</t>
  </si>
  <si>
    <t>TXN61172269</t>
  </si>
  <si>
    <t>TXN73522523</t>
  </si>
  <si>
    <t>TXN46682682</t>
  </si>
  <si>
    <t>TXN23849272</t>
  </si>
  <si>
    <t>TXN17159545</t>
  </si>
  <si>
    <t>TXN75220348</t>
  </si>
  <si>
    <t>TXN74262722</t>
  </si>
  <si>
    <t>TXN83298933</t>
  </si>
  <si>
    <t>TXN94178753</t>
  </si>
  <si>
    <t>TXN54402860</t>
  </si>
  <si>
    <t>TXN56833997</t>
  </si>
  <si>
    <t>TXN71511184</t>
  </si>
  <si>
    <t>TXN25870256</t>
  </si>
  <si>
    <t>TXN20115230</t>
  </si>
  <si>
    <t>TXN82774094</t>
  </si>
  <si>
    <t>TXN15949059</t>
  </si>
  <si>
    <t>TXN54620672</t>
  </si>
  <si>
    <t>TXN32699629</t>
  </si>
  <si>
    <t>TXN11943074</t>
  </si>
  <si>
    <t>TXN49423999</t>
  </si>
  <si>
    <t>TXN72618415</t>
  </si>
  <si>
    <t>TXN84127040</t>
  </si>
  <si>
    <t>TXN70473079</t>
  </si>
  <si>
    <t>TXN94930126</t>
  </si>
  <si>
    <t>TXN55215453</t>
  </si>
  <si>
    <t>TXN59030997</t>
  </si>
  <si>
    <t>TXN59506247</t>
  </si>
  <si>
    <t>TXN68005111</t>
  </si>
  <si>
    <t>TXN40263061</t>
  </si>
  <si>
    <t>TXN52184357</t>
  </si>
  <si>
    <t>TXN70511232</t>
  </si>
  <si>
    <t>TXN47116994</t>
  </si>
  <si>
    <t>TXN22028040</t>
  </si>
  <si>
    <t>TXN73052444</t>
  </si>
  <si>
    <t>TXN57651954</t>
  </si>
  <si>
    <t>TXN71999928</t>
  </si>
  <si>
    <t>TXN94985484</t>
  </si>
  <si>
    <t>TXN87074666</t>
  </si>
  <si>
    <t>TXN49029581</t>
  </si>
  <si>
    <t>TXN89637463</t>
  </si>
  <si>
    <t>TXN11037693</t>
  </si>
  <si>
    <t>TXN54953357</t>
  </si>
  <si>
    <t>TXN40471496</t>
  </si>
  <si>
    <t>TXN67678344</t>
  </si>
  <si>
    <t>TXN83110199</t>
  </si>
  <si>
    <t>TXN42016677</t>
  </si>
  <si>
    <t>TXN55188515</t>
  </si>
  <si>
    <t>TXN57567616</t>
  </si>
  <si>
    <t>TXN44779526</t>
  </si>
  <si>
    <t>TXN83220665</t>
  </si>
  <si>
    <t>TXN65187142</t>
  </si>
  <si>
    <t>TXN89918979</t>
  </si>
  <si>
    <t>TXN12052784</t>
  </si>
  <si>
    <t>TXN24219232</t>
  </si>
  <si>
    <t>TXN71645430</t>
  </si>
  <si>
    <t>TXN74331908</t>
  </si>
  <si>
    <t>TXN53201518</t>
  </si>
  <si>
    <t>TXN40047596</t>
  </si>
  <si>
    <t>TXN56975837</t>
  </si>
  <si>
    <t>TXN40881710</t>
  </si>
  <si>
    <t>TXN69817616</t>
  </si>
  <si>
    <t>TXN17050768</t>
  </si>
  <si>
    <t>TXN86765394</t>
  </si>
  <si>
    <t>TXN92642367</t>
  </si>
  <si>
    <t>TXN42494691</t>
  </si>
  <si>
    <t>TXN80747091</t>
  </si>
  <si>
    <t>TXN84311506</t>
  </si>
  <si>
    <t>TXN56644039</t>
  </si>
  <si>
    <t>TXN54268526</t>
  </si>
  <si>
    <t>TXN53252855</t>
  </si>
  <si>
    <t>TXN16778874</t>
  </si>
  <si>
    <t>TXN18512922</t>
  </si>
  <si>
    <t>TXN20214703</t>
  </si>
  <si>
    <t>TXN30576521</t>
  </si>
  <si>
    <t>TXN77942026</t>
  </si>
  <si>
    <t>TXN10227807</t>
  </si>
  <si>
    <t>TXN68863335</t>
  </si>
  <si>
    <t>TXN91273098</t>
  </si>
  <si>
    <t>TXN36842964</t>
  </si>
  <si>
    <t>TXN37852308</t>
  </si>
  <si>
    <t>TXN83637902</t>
  </si>
  <si>
    <t>TXN51896612</t>
  </si>
  <si>
    <t>TXN32364156</t>
  </si>
  <si>
    <t>TXN70863741</t>
  </si>
  <si>
    <t>TXN96204434</t>
  </si>
  <si>
    <t>TXN50678253</t>
  </si>
  <si>
    <t>TXN92365878</t>
  </si>
  <si>
    <t>TXN82167579</t>
  </si>
  <si>
    <t>TXN74991580</t>
  </si>
  <si>
    <t>TXN40661541</t>
  </si>
  <si>
    <t>TXN41162389</t>
  </si>
  <si>
    <t>TXN82712864</t>
  </si>
  <si>
    <t>TXN81293580</t>
  </si>
  <si>
    <t>TXN58499325</t>
  </si>
  <si>
    <t>TXN63502981</t>
  </si>
  <si>
    <t>TXN69233166</t>
  </si>
  <si>
    <t>TXN71913510</t>
  </si>
  <si>
    <t>TXN14892781</t>
  </si>
  <si>
    <t>TXN81968239</t>
  </si>
  <si>
    <t>TXN15231683</t>
  </si>
  <si>
    <t>TXN50182063</t>
  </si>
  <si>
    <t>TXN94004062</t>
  </si>
  <si>
    <t>TXN83557541</t>
  </si>
  <si>
    <t>TXN65343065</t>
  </si>
  <si>
    <t>TXN41911689</t>
  </si>
  <si>
    <t>TXN35934702</t>
  </si>
  <si>
    <t>TXN52451485</t>
  </si>
  <si>
    <t>TXN40650771</t>
  </si>
  <si>
    <t>TXN37346526</t>
  </si>
  <si>
    <t>TXN85857397</t>
  </si>
  <si>
    <t>TXN20220204</t>
  </si>
  <si>
    <t>TXN65158034</t>
  </si>
  <si>
    <t>TXN14250529</t>
  </si>
  <si>
    <t>TXN53453407</t>
  </si>
  <si>
    <t>TXN67608563</t>
  </si>
  <si>
    <t>TXN11234899</t>
  </si>
  <si>
    <t>TXN92430721</t>
  </si>
  <si>
    <t>TXN85631425</t>
  </si>
  <si>
    <t>TXN60375638</t>
  </si>
  <si>
    <t>TXN61051125</t>
  </si>
  <si>
    <t>TXN23591366</t>
  </si>
  <si>
    <t>TXN36138273</t>
  </si>
  <si>
    <t>TXN56400261</t>
  </si>
  <si>
    <t>TXN64049356</t>
  </si>
  <si>
    <t>TXN88326922</t>
  </si>
  <si>
    <t>TXN95684148</t>
  </si>
  <si>
    <t>TXN87728105</t>
  </si>
  <si>
    <t>TXN20658134</t>
  </si>
  <si>
    <t>TXN39249706</t>
  </si>
  <si>
    <t>TXN71405912</t>
  </si>
  <si>
    <t>TXN18588480</t>
  </si>
  <si>
    <t>TXN26861004</t>
  </si>
  <si>
    <t>TXN46422311</t>
  </si>
  <si>
    <t>TXN55941880</t>
  </si>
  <si>
    <t>TXN59005335</t>
  </si>
  <si>
    <t>TXN78591431</t>
  </si>
  <si>
    <t>TXN56353746</t>
  </si>
  <si>
    <t>TXN29735108</t>
  </si>
  <si>
    <t>TXN94720786</t>
  </si>
  <si>
    <t>TXN71967427</t>
  </si>
  <si>
    <t>TXN41732876</t>
  </si>
  <si>
    <t>TXN54153681</t>
  </si>
  <si>
    <t>TXN47775636</t>
  </si>
  <si>
    <t>TXN54066014</t>
  </si>
  <si>
    <t>TXN11710006</t>
  </si>
  <si>
    <t>TXN92902984</t>
  </si>
  <si>
    <t>TXN86253819</t>
  </si>
  <si>
    <t>TXN69848725</t>
  </si>
  <si>
    <t>TXN97007331</t>
  </si>
  <si>
    <t>TXN79251237</t>
  </si>
  <si>
    <t>TXN37941899</t>
  </si>
  <si>
    <t>TXN43005526</t>
  </si>
  <si>
    <t>TXN92406336</t>
  </si>
  <si>
    <t>TXN61952603</t>
  </si>
  <si>
    <t>TXN48895929</t>
  </si>
  <si>
    <t>TXN69651739</t>
  </si>
  <si>
    <t>TXN59744347</t>
  </si>
  <si>
    <t>TXN16341841</t>
  </si>
  <si>
    <t>TXN98745745</t>
  </si>
  <si>
    <t>TXN33822397</t>
  </si>
  <si>
    <t>TXN10144756</t>
  </si>
  <si>
    <t>TXN59945026</t>
  </si>
  <si>
    <t>TXN91415153</t>
  </si>
  <si>
    <t>TXN66521322</t>
  </si>
  <si>
    <t>TXN70298093</t>
  </si>
  <si>
    <t>TXN87043678</t>
  </si>
  <si>
    <t>TXN35181836</t>
  </si>
  <si>
    <t>TXN14077698</t>
  </si>
  <si>
    <t>TXN72953628</t>
  </si>
  <si>
    <t>TXN20291400</t>
  </si>
  <si>
    <t>TXN84579910</t>
  </si>
  <si>
    <t>TXN94384451</t>
  </si>
  <si>
    <t>TXN26424449</t>
  </si>
  <si>
    <t>TXN90913964</t>
  </si>
  <si>
    <t>TXN50612685</t>
  </si>
  <si>
    <t>TXN76616850</t>
  </si>
  <si>
    <t>TXN45946576</t>
  </si>
  <si>
    <t>TXN81854503</t>
  </si>
  <si>
    <t>TXN30917929</t>
  </si>
  <si>
    <t>TXN26514357</t>
  </si>
  <si>
    <t>TXN63310770</t>
  </si>
  <si>
    <t>TXN31204642</t>
  </si>
  <si>
    <t>TXN15794908</t>
  </si>
  <si>
    <t>TXN17815381</t>
  </si>
  <si>
    <t>TXN58384236</t>
  </si>
  <si>
    <t>TXN33676304</t>
  </si>
  <si>
    <t>TXN22123426</t>
  </si>
  <si>
    <t>TXN10570308</t>
  </si>
  <si>
    <t>TXN33226396</t>
  </si>
  <si>
    <t>TXN93926638</t>
  </si>
  <si>
    <t>TXN92208689</t>
  </si>
  <si>
    <t>TXN39120736</t>
  </si>
  <si>
    <t>TXN53294346</t>
  </si>
  <si>
    <t>TXN51325082</t>
  </si>
  <si>
    <t>TXN48058390</t>
  </si>
  <si>
    <t>TXN64778170</t>
  </si>
  <si>
    <t>TXN57809301</t>
  </si>
  <si>
    <t>TXN78971272</t>
  </si>
  <si>
    <t>TXN45440722</t>
  </si>
  <si>
    <t>TXN71462236</t>
  </si>
  <si>
    <t>TXN24370219</t>
  </si>
  <si>
    <t>TXN79795401</t>
  </si>
  <si>
    <t>TXN14027993</t>
  </si>
  <si>
    <t>TXN11836873</t>
  </si>
  <si>
    <t>TXN66928394</t>
  </si>
  <si>
    <t>TXN34291162</t>
  </si>
  <si>
    <t>TXN62145942</t>
  </si>
  <si>
    <t>TXN51510913</t>
  </si>
  <si>
    <t>TXN66479025</t>
  </si>
  <si>
    <t>TXN72073609</t>
  </si>
  <si>
    <t>TXN92550941</t>
  </si>
  <si>
    <t>TXN69764489</t>
  </si>
  <si>
    <t>TXN55897123</t>
  </si>
  <si>
    <t>TXN67685962</t>
  </si>
  <si>
    <t>TXN58895326</t>
  </si>
  <si>
    <t>TXN15137158</t>
  </si>
  <si>
    <t>TXN57597333</t>
  </si>
  <si>
    <t>TXN98525508</t>
  </si>
  <si>
    <t>TXN48577570</t>
  </si>
  <si>
    <t>TXN90314436</t>
  </si>
  <si>
    <t>TXN40193025</t>
  </si>
  <si>
    <t>TXN37948498</t>
  </si>
  <si>
    <t>TXN66704207</t>
  </si>
  <si>
    <t>TXN81180872</t>
  </si>
  <si>
    <t>TXN91306373</t>
  </si>
  <si>
    <t>TXN41199826</t>
  </si>
  <si>
    <t>TXN36858293</t>
  </si>
  <si>
    <t>TXN57032247</t>
  </si>
  <si>
    <t>TXN20295224</t>
  </si>
  <si>
    <t>TXN11598844</t>
  </si>
  <si>
    <t>TXN93164495</t>
  </si>
  <si>
    <t>TXN76457704</t>
  </si>
  <si>
    <t>TXN64043357</t>
  </si>
  <si>
    <t>TXN45003100</t>
  </si>
  <si>
    <t>TXN76067766</t>
  </si>
  <si>
    <t>TXN46376710</t>
  </si>
  <si>
    <t>TXN64042852</t>
  </si>
  <si>
    <t>TXN21497020</t>
  </si>
  <si>
    <t>TXN23057488</t>
  </si>
  <si>
    <t>TXN61915819</t>
  </si>
  <si>
    <t>TXN91566630</t>
  </si>
  <si>
    <t>TXN79155937</t>
  </si>
  <si>
    <t>TXN83020962</t>
  </si>
  <si>
    <t>TXN76263921</t>
  </si>
  <si>
    <t>TXN24221077</t>
  </si>
  <si>
    <t>TXN18949174</t>
  </si>
  <si>
    <t>TXN36123952</t>
  </si>
  <si>
    <t>TXN70312702</t>
  </si>
  <si>
    <t>TXN13354036</t>
  </si>
  <si>
    <t>TXN97527635</t>
  </si>
  <si>
    <t>TXN25286425</t>
  </si>
  <si>
    <t>TXN56233966</t>
  </si>
  <si>
    <t>TXN28418503</t>
  </si>
  <si>
    <t>TXN30922734</t>
  </si>
  <si>
    <t>TXN92833789</t>
  </si>
  <si>
    <t>TXN13120755</t>
  </si>
  <si>
    <t>TXN19832061</t>
  </si>
  <si>
    <t>TXN84551309</t>
  </si>
  <si>
    <t>TXN30556459</t>
  </si>
  <si>
    <t>TXN25205218</t>
  </si>
  <si>
    <t>TXN86963158</t>
  </si>
  <si>
    <t>TXN75557207</t>
  </si>
  <si>
    <t>TXN56754234</t>
  </si>
  <si>
    <t>TXN32683775</t>
  </si>
  <si>
    <t>TXN17990446</t>
  </si>
  <si>
    <t>TXN81222307</t>
  </si>
  <si>
    <t>TXN22283357</t>
  </si>
  <si>
    <t>TXN43298640</t>
  </si>
  <si>
    <t>TXN32121121</t>
  </si>
  <si>
    <t>TXN84444677</t>
  </si>
  <si>
    <t>TXN72512325</t>
  </si>
  <si>
    <t>TXN94732414</t>
  </si>
  <si>
    <t>TXN40439998</t>
  </si>
  <si>
    <t>TXN87566282</t>
  </si>
  <si>
    <t>TXN11645355</t>
  </si>
  <si>
    <t>TXN57274521</t>
  </si>
  <si>
    <t>TXN44616661</t>
  </si>
  <si>
    <t>TXN50910399</t>
  </si>
  <si>
    <t>TXN49400378</t>
  </si>
  <si>
    <t>TXN44945119</t>
  </si>
  <si>
    <t>TXN43290725</t>
  </si>
  <si>
    <t>TXN85862029</t>
  </si>
  <si>
    <t>TXN38489965</t>
  </si>
  <si>
    <t>TXN31106066</t>
  </si>
  <si>
    <t>TXN77471598</t>
  </si>
  <si>
    <t>TXN42647243</t>
  </si>
  <si>
    <t>TXN12691989</t>
  </si>
  <si>
    <t>TXN54581109</t>
  </si>
  <si>
    <t>TXN83303194</t>
  </si>
  <si>
    <t>TXN35056763</t>
  </si>
  <si>
    <t>TXN28318767</t>
  </si>
  <si>
    <t>TXN61452328</t>
  </si>
  <si>
    <t>TXN11808041</t>
  </si>
  <si>
    <t>TXN22969023</t>
  </si>
  <si>
    <t>TXN62708403</t>
  </si>
  <si>
    <t>TXN11375592</t>
  </si>
  <si>
    <t>TXN87842031</t>
  </si>
  <si>
    <t>TXN86159281</t>
  </si>
  <si>
    <t>TXN70807198</t>
  </si>
  <si>
    <t>TXN70242912</t>
  </si>
  <si>
    <t>TXN32918280</t>
  </si>
  <si>
    <t>TXN69884046</t>
  </si>
  <si>
    <t>TXN39548558</t>
  </si>
  <si>
    <t>TXN17072031</t>
  </si>
  <si>
    <t>TXN85935551</t>
  </si>
  <si>
    <t>TXN28101339</t>
  </si>
  <si>
    <t>TXN47477375</t>
  </si>
  <si>
    <t>TXN75972457</t>
  </si>
  <si>
    <t>TXN97355039</t>
  </si>
  <si>
    <t>TXN16521422</t>
  </si>
  <si>
    <t>TXN59556580</t>
  </si>
  <si>
    <t>TXN24845805</t>
  </si>
  <si>
    <t>TXN57026328</t>
  </si>
  <si>
    <t>TXN68497314</t>
  </si>
  <si>
    <t>TXN85414877</t>
  </si>
  <si>
    <t>TXN18691848</t>
  </si>
  <si>
    <t>TXN18249150</t>
  </si>
  <si>
    <t>TXN23704777</t>
  </si>
  <si>
    <t>TXN47935509</t>
  </si>
  <si>
    <t>TXN51558171</t>
  </si>
  <si>
    <t>TXN94921820</t>
  </si>
  <si>
    <t>TXN11865678</t>
  </si>
  <si>
    <t>TXN54778124</t>
  </si>
  <si>
    <t>TXN53325362</t>
  </si>
  <si>
    <t>TXN54069835</t>
  </si>
  <si>
    <t>TXN31196003</t>
  </si>
  <si>
    <t>TXN59256586</t>
  </si>
  <si>
    <t>TXN23300006</t>
  </si>
  <si>
    <t>TXN43974752</t>
  </si>
  <si>
    <t>TXN45095407</t>
  </si>
  <si>
    <t>TXN32548577</t>
  </si>
  <si>
    <t>TXN60925500</t>
  </si>
  <si>
    <t>TXN66684533</t>
  </si>
  <si>
    <t>TXN62832921</t>
  </si>
  <si>
    <t>TXN69797710</t>
  </si>
  <si>
    <t>TXN48681850</t>
  </si>
  <si>
    <t>TXN87246853</t>
  </si>
  <si>
    <t>TXN84961491</t>
  </si>
  <si>
    <t>TXN28431812</t>
  </si>
  <si>
    <t>TXN90253666</t>
  </si>
  <si>
    <t>TXN17574025</t>
  </si>
  <si>
    <t>TXN75415908</t>
  </si>
  <si>
    <t>TXN65828480</t>
  </si>
  <si>
    <t>TXN18282514</t>
  </si>
  <si>
    <t>TXN17583081</t>
  </si>
  <si>
    <t>TXN13247061</t>
  </si>
  <si>
    <t>TXN83467348</t>
  </si>
  <si>
    <t>TXN10178357</t>
  </si>
  <si>
    <t>TXN49998640</t>
  </si>
  <si>
    <t>TXN93907895</t>
  </si>
  <si>
    <t>TXN28363987</t>
  </si>
  <si>
    <t>TXN61992717</t>
  </si>
  <si>
    <t>TXN35437289</t>
  </si>
  <si>
    <t>TXN67303759</t>
  </si>
  <si>
    <t>TXN99003381</t>
  </si>
  <si>
    <t>TXN78057529</t>
  </si>
  <si>
    <t>TXN24897840</t>
  </si>
  <si>
    <t>TXN34534742</t>
  </si>
  <si>
    <t>TXN49168548</t>
  </si>
  <si>
    <t>TXN64724535</t>
  </si>
  <si>
    <t>TXN36396546</t>
  </si>
  <si>
    <t>TXN29779852</t>
  </si>
  <si>
    <t>TXN25363249</t>
  </si>
  <si>
    <t>TXN61420738</t>
  </si>
  <si>
    <t>TXN47346983</t>
  </si>
  <si>
    <t>TXN36234769</t>
  </si>
  <si>
    <t>TXN84768347</t>
  </si>
  <si>
    <t>TXN14660949</t>
  </si>
  <si>
    <t>TXN88155255</t>
  </si>
  <si>
    <t>TXN24739225</t>
  </si>
  <si>
    <t>TXN85469906</t>
  </si>
  <si>
    <t>TXN14636001</t>
  </si>
  <si>
    <t>TXN14949486</t>
  </si>
  <si>
    <t>TXN31889874</t>
  </si>
  <si>
    <t>TXN41986626</t>
  </si>
  <si>
    <t>TXN16693492</t>
  </si>
  <si>
    <t>TXN15595117</t>
  </si>
  <si>
    <t>TXN98664410</t>
  </si>
  <si>
    <t>TXN11186788</t>
  </si>
  <si>
    <t>TXN73067801</t>
  </si>
  <si>
    <t>TXN50775402</t>
  </si>
  <si>
    <t>TXN69434791</t>
  </si>
  <si>
    <t>TXN44945343</t>
  </si>
  <si>
    <t>TXN39048823</t>
  </si>
  <si>
    <t>TXN48405406</t>
  </si>
  <si>
    <t>TXN20081724</t>
  </si>
  <si>
    <t>TXN46434936</t>
  </si>
  <si>
    <t>TXN23167694</t>
  </si>
  <si>
    <t>TXN34255198</t>
  </si>
  <si>
    <t>TXN17979130</t>
  </si>
  <si>
    <t>TXN76837653</t>
  </si>
  <si>
    <t>TXN86484750</t>
  </si>
  <si>
    <t>TXN58562155</t>
  </si>
  <si>
    <t>TXN79172337</t>
  </si>
  <si>
    <t>TXN12585121</t>
  </si>
  <si>
    <t>TXN40316484</t>
  </si>
  <si>
    <t>TXN47277895</t>
  </si>
  <si>
    <t>TXN54352396</t>
  </si>
  <si>
    <t>TXN97760536</t>
  </si>
  <si>
    <t>TXN71921483</t>
  </si>
  <si>
    <t>TXN70581107</t>
  </si>
  <si>
    <t>TXN32053375</t>
  </si>
  <si>
    <t>TXN71754591</t>
  </si>
  <si>
    <t>TXN70536179</t>
  </si>
  <si>
    <t>TXN77018200</t>
  </si>
  <si>
    <t>TXN81774426</t>
  </si>
  <si>
    <t>TXN24890509</t>
  </si>
  <si>
    <t>TXN93754601</t>
  </si>
  <si>
    <t>TXN74932557</t>
  </si>
  <si>
    <t>TXN21075791</t>
  </si>
  <si>
    <t>TXN59667030</t>
  </si>
  <si>
    <t>TXN17777266</t>
  </si>
  <si>
    <t>TXN20392038</t>
  </si>
  <si>
    <t>TXN33831892</t>
  </si>
  <si>
    <t>TXN54354333</t>
  </si>
  <si>
    <t>TXN29097716</t>
  </si>
  <si>
    <t>TXN37256834</t>
  </si>
  <si>
    <t>TXN44500741</t>
  </si>
  <si>
    <t>TXN74994943</t>
  </si>
  <si>
    <t>TXN35766226</t>
  </si>
  <si>
    <t>TXN88872313</t>
  </si>
  <si>
    <t>TXN76624996</t>
  </si>
  <si>
    <t>TXN92349554</t>
  </si>
  <si>
    <t>TXN86003314</t>
  </si>
  <si>
    <t>TXN93434148</t>
  </si>
  <si>
    <t>TXN20516457</t>
  </si>
  <si>
    <t>TXN38366583</t>
  </si>
  <si>
    <t>TXN84963610</t>
  </si>
  <si>
    <t>TXN66866903</t>
  </si>
  <si>
    <t>TXN30774849</t>
  </si>
  <si>
    <t>TXN48222083</t>
  </si>
  <si>
    <t>TXN39293301</t>
  </si>
  <si>
    <t>TXN25919666</t>
  </si>
  <si>
    <t>TXN68577478</t>
  </si>
  <si>
    <t>TXN80950236</t>
  </si>
  <si>
    <t>TXN27004659</t>
  </si>
  <si>
    <t>TXN77379711</t>
  </si>
  <si>
    <t>TXN71304789</t>
  </si>
  <si>
    <t>TXN13765723</t>
  </si>
  <si>
    <t>TXN71672992</t>
  </si>
  <si>
    <t>TXN55191756</t>
  </si>
  <si>
    <t>TXN55866921</t>
  </si>
  <si>
    <t>TXN54346072</t>
  </si>
  <si>
    <t>TXN60511850</t>
  </si>
  <si>
    <t>TXN37990817</t>
  </si>
  <si>
    <t>TXN42736248</t>
  </si>
  <si>
    <t>TXN32686296</t>
  </si>
  <si>
    <t>TXN46590211</t>
  </si>
  <si>
    <t>TXN20848419</t>
  </si>
  <si>
    <t>TXN67246042</t>
  </si>
  <si>
    <t>TXN83864705</t>
  </si>
  <si>
    <t>TXN12952125</t>
  </si>
  <si>
    <t>TXN99808619</t>
  </si>
  <si>
    <t>TXN75595950</t>
  </si>
  <si>
    <t>TXN79837528</t>
  </si>
  <si>
    <t>TXN18052433</t>
  </si>
  <si>
    <t>TXN98658334</t>
  </si>
  <si>
    <t>TXN40699221</t>
  </si>
  <si>
    <t>TXN92687678</t>
  </si>
  <si>
    <t>TXN33444685</t>
  </si>
  <si>
    <t>TXN47800029</t>
  </si>
  <si>
    <t>TXN91074215</t>
  </si>
  <si>
    <t>TXN66655783</t>
  </si>
  <si>
    <t>TXN62882281</t>
  </si>
  <si>
    <t>TXN39912343</t>
  </si>
  <si>
    <t>TXN69453449</t>
  </si>
  <si>
    <t>TXN80742568</t>
  </si>
  <si>
    <t>TXN39420684</t>
  </si>
  <si>
    <t>TXN49300774</t>
  </si>
  <si>
    <t>TXN85197407</t>
  </si>
  <si>
    <t>TXN48306465</t>
  </si>
  <si>
    <t>TXN60536110</t>
  </si>
  <si>
    <t>TXN13323491</t>
  </si>
  <si>
    <t>TXN36194783</t>
  </si>
  <si>
    <t>TXN24743004</t>
  </si>
  <si>
    <t>TXN54899222</t>
  </si>
  <si>
    <t>TXN38714063</t>
  </si>
  <si>
    <t>TXN63870867</t>
  </si>
  <si>
    <t>TXN59636278</t>
  </si>
  <si>
    <t>TXN94040577</t>
  </si>
  <si>
    <t>TXN30178623</t>
  </si>
  <si>
    <t>TXN37442296</t>
  </si>
  <si>
    <t>TXN80935787</t>
  </si>
  <si>
    <t>TXN45605714</t>
  </si>
  <si>
    <t>TXN50865302</t>
  </si>
  <si>
    <t>TXN99865325</t>
  </si>
  <si>
    <t>TXN59912022</t>
  </si>
  <si>
    <t>TXN82025527</t>
  </si>
  <si>
    <t>TXN62966268</t>
  </si>
  <si>
    <t>TXN38209212</t>
  </si>
  <si>
    <t>TXN82137083</t>
  </si>
  <si>
    <t>TXN91379909</t>
  </si>
  <si>
    <t>TXN72109947</t>
  </si>
  <si>
    <t>TXN61360626</t>
  </si>
  <si>
    <t>TXN87228188</t>
  </si>
  <si>
    <t>TXN97150601</t>
  </si>
  <si>
    <t>TXN22957518</t>
  </si>
  <si>
    <t>TXN78375152</t>
  </si>
  <si>
    <t>TXN57903922</t>
  </si>
  <si>
    <t>TXN54466985</t>
  </si>
  <si>
    <t>TXN97583493</t>
  </si>
  <si>
    <t>TXN43029028</t>
  </si>
  <si>
    <t>TXN58381833</t>
  </si>
  <si>
    <t>TXN68341669</t>
  </si>
  <si>
    <t>TXN17440318</t>
  </si>
  <si>
    <t>TXN13326269</t>
  </si>
  <si>
    <t>TXN68456963</t>
  </si>
  <si>
    <t>TXN97492725</t>
  </si>
  <si>
    <t>TXN55262600</t>
  </si>
  <si>
    <t>TXN92547784</t>
  </si>
  <si>
    <t>TXN27818327</t>
  </si>
  <si>
    <t>TXN14787366</t>
  </si>
  <si>
    <t>TXN24869135</t>
  </si>
  <si>
    <t>TXN18161392</t>
  </si>
  <si>
    <t>TXN22325202</t>
  </si>
  <si>
    <t>TXN20142972</t>
  </si>
  <si>
    <t>TXN42381909</t>
  </si>
  <si>
    <t>TXN18401345</t>
  </si>
  <si>
    <t>TXN85660257</t>
  </si>
  <si>
    <t>TXN25168456</t>
  </si>
  <si>
    <t>TXN99673660</t>
  </si>
  <si>
    <t>TXN98968330</t>
  </si>
  <si>
    <t>TXN56575466</t>
  </si>
  <si>
    <t>TXN44211705</t>
  </si>
  <si>
    <t>TXN46143225</t>
  </si>
  <si>
    <t>TXN18464636</t>
  </si>
  <si>
    <t>TXN77640165</t>
  </si>
  <si>
    <t>TXN72464253</t>
  </si>
  <si>
    <t>TXN29840921</t>
  </si>
  <si>
    <t>TXN52450512</t>
  </si>
  <si>
    <t>TXN52007933</t>
  </si>
  <si>
    <t>TXN70286476</t>
  </si>
  <si>
    <t>TXN74391587</t>
  </si>
  <si>
    <t>TXN77224429</t>
  </si>
  <si>
    <t>TXN21775501</t>
  </si>
  <si>
    <t>TXN61227728</t>
  </si>
  <si>
    <t>TXN66300818</t>
  </si>
  <si>
    <t>TXN64409507</t>
  </si>
  <si>
    <t>TXN76656490</t>
  </si>
  <si>
    <t>TXN82073347</t>
  </si>
  <si>
    <t>TXN51637610</t>
  </si>
  <si>
    <t>TXN67182394</t>
  </si>
  <si>
    <t>TXN21812352</t>
  </si>
  <si>
    <t>TXN99980602</t>
  </si>
  <si>
    <t>TXN67802372</t>
  </si>
  <si>
    <t>TXN79913270</t>
  </si>
  <si>
    <t>TXN91972116</t>
  </si>
  <si>
    <t>TXN30082559</t>
  </si>
  <si>
    <t>TXN94174241</t>
  </si>
  <si>
    <t>TXN44829587</t>
  </si>
  <si>
    <t>TXN71476353</t>
  </si>
  <si>
    <t>TXN49763241</t>
  </si>
  <si>
    <t>TXN86889331</t>
  </si>
  <si>
    <t>TXN54967279</t>
  </si>
  <si>
    <t>TXN78303063</t>
  </si>
  <si>
    <t>TXN38031935</t>
  </si>
  <si>
    <t>TXN19287681</t>
  </si>
  <si>
    <t>TXN15177280</t>
  </si>
  <si>
    <t>TXN79903811</t>
  </si>
  <si>
    <t>TXN72931469</t>
  </si>
  <si>
    <t>TXN31973154</t>
  </si>
  <si>
    <t>TXN25612117</t>
  </si>
  <si>
    <t>TXN35542994</t>
  </si>
  <si>
    <t>TXN97375551</t>
  </si>
  <si>
    <t>TXN80495543</t>
  </si>
  <si>
    <t>TXN78372765</t>
  </si>
  <si>
    <t>TXN87304829</t>
  </si>
  <si>
    <t>TXN71958195</t>
  </si>
  <si>
    <t>TXN27844144</t>
  </si>
  <si>
    <t>TXN39578058</t>
  </si>
  <si>
    <t>TXN26157857</t>
  </si>
  <si>
    <t>TXN42601667</t>
  </si>
  <si>
    <t>TXN66689964</t>
  </si>
  <si>
    <t>TXN42012626</t>
  </si>
  <si>
    <t>TXN89506151</t>
  </si>
  <si>
    <t>TXN56698060</t>
  </si>
  <si>
    <t>TXN89553126</t>
  </si>
  <si>
    <t>TXN71988132</t>
  </si>
  <si>
    <t>TXN40797125</t>
  </si>
  <si>
    <t>TXN72208594</t>
  </si>
  <si>
    <t>TXN48201567</t>
  </si>
  <si>
    <t>TXN59380026</t>
  </si>
  <si>
    <t>TXN43940141</t>
  </si>
  <si>
    <t>TXN11734836</t>
  </si>
  <si>
    <t>TXN98280871</t>
  </si>
  <si>
    <t>TXN82539944</t>
  </si>
  <si>
    <t>TXN49081969</t>
  </si>
  <si>
    <t>TXN16854869</t>
  </si>
  <si>
    <t>TXN83214448</t>
  </si>
  <si>
    <t>TXN80201938</t>
  </si>
  <si>
    <t>TXN46777781</t>
  </si>
  <si>
    <t>TXN99470574</t>
  </si>
  <si>
    <t>TXN36422082</t>
  </si>
  <si>
    <t>TXN63340380</t>
  </si>
  <si>
    <t>TXN37016150</t>
  </si>
  <si>
    <t>TXN62042707</t>
  </si>
  <si>
    <t>TXN37662153</t>
  </si>
  <si>
    <t>TXN33032739</t>
  </si>
  <si>
    <t>TXN89638045</t>
  </si>
  <si>
    <t>TXN33203629</t>
  </si>
  <si>
    <t>TXN22261162</t>
  </si>
  <si>
    <t>TXN63952455</t>
  </si>
  <si>
    <t>TXN13934872</t>
  </si>
  <si>
    <t>TXN33902216</t>
  </si>
  <si>
    <t>TXN50974060</t>
  </si>
  <si>
    <t>TXN25410551</t>
  </si>
  <si>
    <t>TXN72255015</t>
  </si>
  <si>
    <t>TXN28396960</t>
  </si>
  <si>
    <t>TXN57429670</t>
  </si>
  <si>
    <t>TXN37130532</t>
  </si>
  <si>
    <t>TXN24249670</t>
  </si>
  <si>
    <t>TXN88682764</t>
  </si>
  <si>
    <t>TXN41552278</t>
  </si>
  <si>
    <t>TXN66059386</t>
  </si>
  <si>
    <t>TXN91991123</t>
  </si>
  <si>
    <t>TXN95090143</t>
  </si>
  <si>
    <t>TXN48413944</t>
  </si>
  <si>
    <t>TXN21479947</t>
  </si>
  <si>
    <t>TXN76940149</t>
  </si>
  <si>
    <t>TXN67425041</t>
  </si>
  <si>
    <t>TXN58896551</t>
  </si>
  <si>
    <t>TXN75914732</t>
  </si>
  <si>
    <t>TXN15339383</t>
  </si>
  <si>
    <t>TXN99736175</t>
  </si>
  <si>
    <t>TXN69491390</t>
  </si>
  <si>
    <t>TXN33079222</t>
  </si>
  <si>
    <t>TXN14042811</t>
  </si>
  <si>
    <t>TXN84533258</t>
  </si>
  <si>
    <t>TXN19199919</t>
  </si>
  <si>
    <t>TXN14357399</t>
  </si>
  <si>
    <t>TXN95203995</t>
  </si>
  <si>
    <t>TXN63489071</t>
  </si>
  <si>
    <t>TXN89159257</t>
  </si>
  <si>
    <t>TXN59107773</t>
  </si>
  <si>
    <t>TXN80502992</t>
  </si>
  <si>
    <t>TXN42527714</t>
  </si>
  <si>
    <t>TXN92692748</t>
  </si>
  <si>
    <t>TXN42965366</t>
  </si>
  <si>
    <t>TXN32923444</t>
  </si>
  <si>
    <t>TXN32601688</t>
  </si>
  <si>
    <t>TXN37561755</t>
  </si>
  <si>
    <t>TXN57426457</t>
  </si>
  <si>
    <t>TXN44564553</t>
  </si>
  <si>
    <t>TXN39491282</t>
  </si>
  <si>
    <t>TXN71026705</t>
  </si>
  <si>
    <t>TXN81282135</t>
  </si>
  <si>
    <t>TXN42226167</t>
  </si>
  <si>
    <t>TXN84883600</t>
  </si>
  <si>
    <t>TXN41943912</t>
  </si>
  <si>
    <t>TXN97791982</t>
  </si>
  <si>
    <t>TXN95388733</t>
  </si>
  <si>
    <t>TXN98956651</t>
  </si>
  <si>
    <t>TXN98688981</t>
  </si>
  <si>
    <t>TXN43706788</t>
  </si>
  <si>
    <t>TXN56423201</t>
  </si>
  <si>
    <t>TXN90128909</t>
  </si>
  <si>
    <t>TXN35463637</t>
  </si>
  <si>
    <t>TXN99989973</t>
  </si>
  <si>
    <t>TXN79819515</t>
  </si>
  <si>
    <t>TXN14258081</t>
  </si>
  <si>
    <t>TXN59702126</t>
  </si>
  <si>
    <t>TXN89668896</t>
  </si>
  <si>
    <t>TXN22116182</t>
  </si>
  <si>
    <t>TXN99512758</t>
  </si>
  <si>
    <t>TXN94127209</t>
  </si>
  <si>
    <t>TXN71898231</t>
  </si>
  <si>
    <t>TXN10926300</t>
  </si>
  <si>
    <t>TXN35995423</t>
  </si>
  <si>
    <t>TXN52032583</t>
  </si>
  <si>
    <t>TXN85673758</t>
  </si>
  <si>
    <t>TXN17912471</t>
  </si>
  <si>
    <t>TXN53208040</t>
  </si>
  <si>
    <t>TXN96106566</t>
  </si>
  <si>
    <t>TXN60340393</t>
  </si>
  <si>
    <t>TXN15732244</t>
  </si>
  <si>
    <t>TXN10217895</t>
  </si>
  <si>
    <t>TXN14511825</t>
  </si>
  <si>
    <t>TXN41933108</t>
  </si>
  <si>
    <t>TXN95046697</t>
  </si>
  <si>
    <t>TXN50971949</t>
  </si>
  <si>
    <t>TXN47396045</t>
  </si>
  <si>
    <t>TXN34682188</t>
  </si>
  <si>
    <t>TXN45193967</t>
  </si>
  <si>
    <t>TXN63744544</t>
  </si>
  <si>
    <t>TXN22157674</t>
  </si>
  <si>
    <t>TXN41241899</t>
  </si>
  <si>
    <t>TXN97534323</t>
  </si>
  <si>
    <t>TXN61766368</t>
  </si>
  <si>
    <t>TXN19167844</t>
  </si>
  <si>
    <t>TXN25528185</t>
  </si>
  <si>
    <t>TXN85447605</t>
  </si>
  <si>
    <t>TXN63229215</t>
  </si>
  <si>
    <t>TXN34075738</t>
  </si>
  <si>
    <t>TXN90907451</t>
  </si>
  <si>
    <t>TXN23675215</t>
  </si>
  <si>
    <t>TXN17401868</t>
  </si>
  <si>
    <t>TXN28031162</t>
  </si>
  <si>
    <t>TXN12917300</t>
  </si>
  <si>
    <t>TXN73862087</t>
  </si>
  <si>
    <t>TXN94984000</t>
  </si>
  <si>
    <t>TXN29839491</t>
  </si>
  <si>
    <t>TXN68091417</t>
  </si>
  <si>
    <t>TXN21151362</t>
  </si>
  <si>
    <t>TXN26770253</t>
  </si>
  <si>
    <t>TXN33246519</t>
  </si>
  <si>
    <t>TXN22840617</t>
  </si>
  <si>
    <t>TXN35464217</t>
  </si>
  <si>
    <t>TXN51908434</t>
  </si>
  <si>
    <t>TXN40533632</t>
  </si>
  <si>
    <t>TXN12107813</t>
  </si>
  <si>
    <t>TXN96842446</t>
  </si>
  <si>
    <t>TXN18909240</t>
  </si>
  <si>
    <t>TXN17178694</t>
  </si>
  <si>
    <t>TXN33308910</t>
  </si>
  <si>
    <t>TXN22937769</t>
  </si>
  <si>
    <t>TXN56938803</t>
  </si>
  <si>
    <t>TXN99255460</t>
  </si>
  <si>
    <t>TXN62943749</t>
  </si>
  <si>
    <t>TXN83333385</t>
  </si>
  <si>
    <t>TXN80249295</t>
  </si>
  <si>
    <t>TXN75073470</t>
  </si>
  <si>
    <t>TXN57966313</t>
  </si>
  <si>
    <t>TXN52819676</t>
  </si>
  <si>
    <t>TXN36075105</t>
  </si>
  <si>
    <t>TXN91339565</t>
  </si>
  <si>
    <t>TXN83290411</t>
  </si>
  <si>
    <t>TXN99630565</t>
  </si>
  <si>
    <t>TXN78924054</t>
  </si>
  <si>
    <t>TXN25928176</t>
  </si>
  <si>
    <t>TXN47450036</t>
  </si>
  <si>
    <t>TXN41336044</t>
  </si>
  <si>
    <t>TXN91038685</t>
  </si>
  <si>
    <t>TXN99887046</t>
  </si>
  <si>
    <t>TXN34408960</t>
  </si>
  <si>
    <t>TXN44358604</t>
  </si>
  <si>
    <t>TXN95096719</t>
  </si>
  <si>
    <t>TXN57895237</t>
  </si>
  <si>
    <t>TXN20200821</t>
  </si>
  <si>
    <t>TXN43329788</t>
  </si>
  <si>
    <t>TXN72619948</t>
  </si>
  <si>
    <t>TXN22589037</t>
  </si>
  <si>
    <t>TXN67123632</t>
  </si>
  <si>
    <t>TXN65500809</t>
  </si>
  <si>
    <t>TXN44799532</t>
  </si>
  <si>
    <t>TXN20785885</t>
  </si>
  <si>
    <t>TXN51801809</t>
  </si>
  <si>
    <t>TXN64166023</t>
  </si>
  <si>
    <t>TXN55939782</t>
  </si>
  <si>
    <t>TXN34499835</t>
  </si>
  <si>
    <t>TXN25377709</t>
  </si>
  <si>
    <t>TXN35851297</t>
  </si>
  <si>
    <t>TXN84877891</t>
  </si>
  <si>
    <t>TXN16071894</t>
  </si>
  <si>
    <t>TXN55043521</t>
  </si>
  <si>
    <t>TXN28296682</t>
  </si>
  <si>
    <t>TXN22657458</t>
  </si>
  <si>
    <t>TXN91101071</t>
  </si>
  <si>
    <t>TXN53447789</t>
  </si>
  <si>
    <t>TXN69069264</t>
  </si>
  <si>
    <t>TXN10723778</t>
  </si>
  <si>
    <t>TXN46019960</t>
  </si>
  <si>
    <t>TXN85937796</t>
  </si>
  <si>
    <t>TXN88556736</t>
  </si>
  <si>
    <t>TXN34562545</t>
  </si>
  <si>
    <t>TXN49658221</t>
  </si>
  <si>
    <t>TXN29564216</t>
  </si>
  <si>
    <t>TXN73611319</t>
  </si>
  <si>
    <t>TXN15017175</t>
  </si>
  <si>
    <t>TXN27439377</t>
  </si>
  <si>
    <t>TXN21893637</t>
  </si>
  <si>
    <t>TXN45121185</t>
  </si>
  <si>
    <t>TXN88623629</t>
  </si>
  <si>
    <t>TXN30744724</t>
  </si>
  <si>
    <t>TXN31108220</t>
  </si>
  <si>
    <t>TXN38055178</t>
  </si>
  <si>
    <t>TXN28563549</t>
  </si>
  <si>
    <t>TXN20829932</t>
  </si>
  <si>
    <t>TXN80779633</t>
  </si>
  <si>
    <t>TXN17260093</t>
  </si>
  <si>
    <t>TXN63487869</t>
  </si>
  <si>
    <t>TXN79316150</t>
  </si>
  <si>
    <t>TXN19909935</t>
  </si>
  <si>
    <t>TXN79438824</t>
  </si>
  <si>
    <t>TXN67359702</t>
  </si>
  <si>
    <t>TXN59768360</t>
  </si>
  <si>
    <t>TXN99187770</t>
  </si>
  <si>
    <t>TXN52922173</t>
  </si>
  <si>
    <t>TXN57034652</t>
  </si>
  <si>
    <t>TXN18181360</t>
  </si>
  <si>
    <t>TXN95663821</t>
  </si>
  <si>
    <t>TXN61113210</t>
  </si>
  <si>
    <t>TXN18928888</t>
  </si>
  <si>
    <t>TXN55510052</t>
  </si>
  <si>
    <t>TXN97372316</t>
  </si>
  <si>
    <t>TXN90816983</t>
  </si>
  <si>
    <t>TXN12994056</t>
  </si>
  <si>
    <t>TXN32914422</t>
  </si>
  <si>
    <t>TXN23505544</t>
  </si>
  <si>
    <t>TXN13325641</t>
  </si>
  <si>
    <t>TXN61202775</t>
  </si>
  <si>
    <t>TXN55856495</t>
  </si>
  <si>
    <t>TXN71534545</t>
  </si>
  <si>
    <t>TXN43778793</t>
  </si>
  <si>
    <t>TXN20644069</t>
  </si>
  <si>
    <t>TXN63093259</t>
  </si>
  <si>
    <t>TXN52659750</t>
  </si>
  <si>
    <t>TXN28990981</t>
  </si>
  <si>
    <t>TXN47633169</t>
  </si>
  <si>
    <t>TXN21762766</t>
  </si>
  <si>
    <t>TXN50379946</t>
  </si>
  <si>
    <t>TXN99441722</t>
  </si>
  <si>
    <t>TXN52616930</t>
  </si>
  <si>
    <t>TXN15805399</t>
  </si>
  <si>
    <t>TXN42311855</t>
  </si>
  <si>
    <t>TXN60559107</t>
  </si>
  <si>
    <t>TXN94587562</t>
  </si>
  <si>
    <t>TXN72257688</t>
  </si>
  <si>
    <t>TXN28857520</t>
  </si>
  <si>
    <t>TXN16608834</t>
  </si>
  <si>
    <t>TXN63041800</t>
  </si>
  <si>
    <t>TXN51338916</t>
  </si>
  <si>
    <t>TXN49569059</t>
  </si>
  <si>
    <t>TXN65078751</t>
  </si>
  <si>
    <t>TXN42744936</t>
  </si>
  <si>
    <t>TXN87882544</t>
  </si>
  <si>
    <t>TXN36218793</t>
  </si>
  <si>
    <t>TXN77699848</t>
  </si>
  <si>
    <t>TXN14206498</t>
  </si>
  <si>
    <t>TXN57726470</t>
  </si>
  <si>
    <t>TXN28827690</t>
  </si>
  <si>
    <t>TXN54704602</t>
  </si>
  <si>
    <t>TXN15319937</t>
  </si>
  <si>
    <t>TXN15314638</t>
  </si>
  <si>
    <t>TXN89476287</t>
  </si>
  <si>
    <t>TXN55325838</t>
  </si>
  <si>
    <t>TXN91810283</t>
  </si>
  <si>
    <t>TXN90904032</t>
  </si>
  <si>
    <t>TXN19192552</t>
  </si>
  <si>
    <t>TXN78490133</t>
  </si>
  <si>
    <t>TXN93580580</t>
  </si>
  <si>
    <t>TXN85923801</t>
  </si>
  <si>
    <t>TXN97968099</t>
  </si>
  <si>
    <t>TXN16721747</t>
  </si>
  <si>
    <t>TXN38827702</t>
  </si>
  <si>
    <t>TXN26000329</t>
  </si>
  <si>
    <t>TXN56088214</t>
  </si>
  <si>
    <t>TXN65921697</t>
  </si>
  <si>
    <t>TXN20179852</t>
  </si>
  <si>
    <t>TXN43520624</t>
  </si>
  <si>
    <t>TXN94948196</t>
  </si>
  <si>
    <t>TXN14594714</t>
  </si>
  <si>
    <t>TXN64289411</t>
  </si>
  <si>
    <t>TXN87629811</t>
  </si>
  <si>
    <t>TXN46942084</t>
  </si>
  <si>
    <t>TXN78165696</t>
  </si>
  <si>
    <t>TXN35636477</t>
  </si>
  <si>
    <t>TXN44396002</t>
  </si>
  <si>
    <t>TXN61581394</t>
  </si>
  <si>
    <t>TXN78941243</t>
  </si>
  <si>
    <t>TXN76137818</t>
  </si>
  <si>
    <t>TXN37794015</t>
  </si>
  <si>
    <t>TXN66938563</t>
  </si>
  <si>
    <t>TXN81378174</t>
  </si>
  <si>
    <t>TXN46003342</t>
  </si>
  <si>
    <t>TXN38004060</t>
  </si>
  <si>
    <t>TXN60174082</t>
  </si>
  <si>
    <t>TXN62650824</t>
  </si>
  <si>
    <t>TXN25116425</t>
  </si>
  <si>
    <t>TXN96995947</t>
  </si>
  <si>
    <t>TXN36794689</t>
  </si>
  <si>
    <t>TXN71132504</t>
  </si>
  <si>
    <t>TXN98006019</t>
  </si>
  <si>
    <t>TXN39748228</t>
  </si>
  <si>
    <t>TXN27805901</t>
  </si>
  <si>
    <t>TXN96749784</t>
  </si>
  <si>
    <t>TXN23869557</t>
  </si>
  <si>
    <t>TXN38342613</t>
  </si>
  <si>
    <t>TXN58471167</t>
  </si>
  <si>
    <t>TXN79067974</t>
  </si>
  <si>
    <t>TXN48312030</t>
  </si>
  <si>
    <t>TXN17036837</t>
  </si>
  <si>
    <t>TXN98418419</t>
  </si>
  <si>
    <t>TXN49768109</t>
  </si>
  <si>
    <t>TXN30492762</t>
  </si>
  <si>
    <t>TXN92078283</t>
  </si>
  <si>
    <t>TXN30745803</t>
  </si>
  <si>
    <t>TXN76493138</t>
  </si>
  <si>
    <t>TXN18268507</t>
  </si>
  <si>
    <t>TXN25281733</t>
  </si>
  <si>
    <t>TXN42376291</t>
  </si>
  <si>
    <t>TXN77174525</t>
  </si>
  <si>
    <t>TXN31108766</t>
  </si>
  <si>
    <t>TXN95655311</t>
  </si>
  <si>
    <t>TXN67072161</t>
  </si>
  <si>
    <t>TXN98413455</t>
  </si>
  <si>
    <t>TXN50135372</t>
  </si>
  <si>
    <t>TXN13383199</t>
  </si>
  <si>
    <t>TXN41165850</t>
  </si>
  <si>
    <t>TXN74631162</t>
  </si>
  <si>
    <t>TXN90798124</t>
  </si>
  <si>
    <t>TXN15287943</t>
  </si>
  <si>
    <t>TXN81290702</t>
  </si>
  <si>
    <t>TXN77326898</t>
  </si>
  <si>
    <t>TXN92194364</t>
  </si>
  <si>
    <t>TXN36348961</t>
  </si>
  <si>
    <t>TXN57320911</t>
  </si>
  <si>
    <t>TXN43006100</t>
  </si>
  <si>
    <t>TXN28604825</t>
  </si>
  <si>
    <t>TXN45272458</t>
  </si>
  <si>
    <t>TXN71682184</t>
  </si>
  <si>
    <t>TXN98582764</t>
  </si>
  <si>
    <t>TXN60861960</t>
  </si>
  <si>
    <t>TXN58352656</t>
  </si>
  <si>
    <t>TXN46164555</t>
  </si>
  <si>
    <t>TXN20264185</t>
  </si>
  <si>
    <t>TXN41346345</t>
  </si>
  <si>
    <t>TXN65670234</t>
  </si>
  <si>
    <t>TXN60983650</t>
  </si>
  <si>
    <t>TXN60948257</t>
  </si>
  <si>
    <t>TXN19980005</t>
  </si>
  <si>
    <t>TXN29018803</t>
  </si>
  <si>
    <t>TXN68200154</t>
  </si>
  <si>
    <t>TXN86236837</t>
  </si>
  <si>
    <t>TXN43870146</t>
  </si>
  <si>
    <t>TXN87009615</t>
  </si>
  <si>
    <t>TXN37388862</t>
  </si>
  <si>
    <t>TXN26906563</t>
  </si>
  <si>
    <t>TXN67706888</t>
  </si>
  <si>
    <t>TXN23609384</t>
  </si>
  <si>
    <t>TXN28315070</t>
  </si>
  <si>
    <t>TXN69432909</t>
  </si>
  <si>
    <t>TXN56251944</t>
  </si>
  <si>
    <t>TXN12113577</t>
  </si>
  <si>
    <t>TXN93803860</t>
  </si>
  <si>
    <t>TXN75778059</t>
  </si>
  <si>
    <t>TXN45791838</t>
  </si>
  <si>
    <t>TXN90301173</t>
  </si>
  <si>
    <t>TXN32392939</t>
  </si>
  <si>
    <t>TXN10216807</t>
  </si>
  <si>
    <t>TXN90842346</t>
  </si>
  <si>
    <t>TXN24810085</t>
  </si>
  <si>
    <t>TXN72621373</t>
  </si>
  <si>
    <t>TXN68840740</t>
  </si>
  <si>
    <t>TXN62566817</t>
  </si>
  <si>
    <t>TXN72035916</t>
  </si>
  <si>
    <t>TXN20026492</t>
  </si>
  <si>
    <t>TXN78359920</t>
  </si>
  <si>
    <t>TXN13906153</t>
  </si>
  <si>
    <t>TXN15431673</t>
  </si>
  <si>
    <t>TXN44297545</t>
  </si>
  <si>
    <t>TXN98236281</t>
  </si>
  <si>
    <t>TXN45260591</t>
  </si>
  <si>
    <t>TXN26825555</t>
  </si>
  <si>
    <t>TXN19383827</t>
  </si>
  <si>
    <t>TXN93330467</t>
  </si>
  <si>
    <t>TXN89989062</t>
  </si>
  <si>
    <t>TXN59850945</t>
  </si>
  <si>
    <t>TXN35054548</t>
  </si>
  <si>
    <t>TXN98391722</t>
  </si>
  <si>
    <t>TXN94926591</t>
  </si>
  <si>
    <t>TXN25588471</t>
  </si>
  <si>
    <t>TXN33275403</t>
  </si>
  <si>
    <t>TXN60639985</t>
  </si>
  <si>
    <t>TXN79988934</t>
  </si>
  <si>
    <t>TXN50746222</t>
  </si>
  <si>
    <t>TXN76768795</t>
  </si>
  <si>
    <t>TXN33627699</t>
  </si>
  <si>
    <t>TXN88427059</t>
  </si>
  <si>
    <t>TXN43793141</t>
  </si>
  <si>
    <t>TXN52925600</t>
  </si>
  <si>
    <t>TXN86793368</t>
  </si>
  <si>
    <t>TXN22712666</t>
  </si>
  <si>
    <t>TXN43969671</t>
  </si>
  <si>
    <t>TXN90619628</t>
  </si>
  <si>
    <t>TXN73346481</t>
  </si>
  <si>
    <t>TXN26479337</t>
  </si>
  <si>
    <t>TXN19650477</t>
  </si>
  <si>
    <t>TXN56053718</t>
  </si>
  <si>
    <t>TXN17367445</t>
  </si>
  <si>
    <t>TXN25241734</t>
  </si>
  <si>
    <t>TXN27961360</t>
  </si>
  <si>
    <t>TXN62218086</t>
  </si>
  <si>
    <t>TXN62793782</t>
  </si>
  <si>
    <t>TXN87567757</t>
  </si>
  <si>
    <t>TXN10887732</t>
  </si>
  <si>
    <t>TXN42994065</t>
  </si>
  <si>
    <t>TXN52025874</t>
  </si>
  <si>
    <t>TXN69261915</t>
  </si>
  <si>
    <t>TXN61514203</t>
  </si>
  <si>
    <t>TXN57647813</t>
  </si>
  <si>
    <t>TXN22937470</t>
  </si>
  <si>
    <t>TXN53386902</t>
  </si>
  <si>
    <t>TXN99909169</t>
  </si>
  <si>
    <t>TXN58276256</t>
  </si>
  <si>
    <t>TXN41076013</t>
  </si>
  <si>
    <t>TXN43017018</t>
  </si>
  <si>
    <t>TXN62547422</t>
  </si>
  <si>
    <t>TXN92418357</t>
  </si>
  <si>
    <t>TXN26151042</t>
  </si>
  <si>
    <t>TXN36449395</t>
  </si>
  <si>
    <t>TXN10266728</t>
  </si>
  <si>
    <t>TXN61053103</t>
  </si>
  <si>
    <t>TXN58525965</t>
  </si>
  <si>
    <t>TXN41410267</t>
  </si>
  <si>
    <t>TXN20886137</t>
  </si>
  <si>
    <t>TXN22713097</t>
  </si>
  <si>
    <t>TXN18940995</t>
  </si>
  <si>
    <t>TXN78080034</t>
  </si>
  <si>
    <t>TXN38667649</t>
  </si>
  <si>
    <t>TXN80714253</t>
  </si>
  <si>
    <t>TXN86837235</t>
  </si>
  <si>
    <t>TXN39130017</t>
  </si>
  <si>
    <t>TXN48055519</t>
  </si>
  <si>
    <t>TXN48842040</t>
  </si>
  <si>
    <t>TXN19384037</t>
  </si>
  <si>
    <t>TXN93436324</t>
  </si>
  <si>
    <t>TXN97105851</t>
  </si>
  <si>
    <t>TXN25660368</t>
  </si>
  <si>
    <t>TXN19632526</t>
  </si>
  <si>
    <t>TXN58084066</t>
  </si>
  <si>
    <t>TXN50199841</t>
  </si>
  <si>
    <t>TXN84753025</t>
  </si>
  <si>
    <t>TXN81589804</t>
  </si>
  <si>
    <t>TXN87996249</t>
  </si>
  <si>
    <t>TXN31556683</t>
  </si>
  <si>
    <t>TXN67075736</t>
  </si>
  <si>
    <t>TXN89388691</t>
  </si>
  <si>
    <t>TXN77666704</t>
  </si>
  <si>
    <t>TXN36053006</t>
  </si>
  <si>
    <t>TXN27014706</t>
  </si>
  <si>
    <t>TXN16728002</t>
  </si>
  <si>
    <t>TXN90702057</t>
  </si>
  <si>
    <t>TXN41806222</t>
  </si>
  <si>
    <t>TXN67583088</t>
  </si>
  <si>
    <t>TXN61255873</t>
  </si>
  <si>
    <t>TXN99183046</t>
  </si>
  <si>
    <t>TXN48080053</t>
  </si>
  <si>
    <t>TXN15378669</t>
  </si>
  <si>
    <t>TXN38550326</t>
  </si>
  <si>
    <t>TXN28616126</t>
  </si>
  <si>
    <t>TXN19949146</t>
  </si>
  <si>
    <t>TXN72795466</t>
  </si>
  <si>
    <t>TXN89666707</t>
  </si>
  <si>
    <t>TXN70626490</t>
  </si>
  <si>
    <t>TXN93830439</t>
  </si>
  <si>
    <t>TXN31495699</t>
  </si>
  <si>
    <t>TXN42263487</t>
  </si>
  <si>
    <t>TXN28579253</t>
  </si>
  <si>
    <t>TXN23697073</t>
  </si>
  <si>
    <t>TXN51910786</t>
  </si>
  <si>
    <t>TXN94211780</t>
  </si>
  <si>
    <t>TXN92149774</t>
  </si>
  <si>
    <t>TXN94884472</t>
  </si>
  <si>
    <t>TXN69584242</t>
  </si>
  <si>
    <t>TXN13771201</t>
  </si>
  <si>
    <t>TXN79569884</t>
  </si>
  <si>
    <t>TXN27189967</t>
  </si>
  <si>
    <t>TXN98275549</t>
  </si>
  <si>
    <t>TXN77668224</t>
  </si>
  <si>
    <t>TXN21725104</t>
  </si>
  <si>
    <t>TXN12200487</t>
  </si>
  <si>
    <t>TXN58164122</t>
  </si>
  <si>
    <t>TXN78926221</t>
  </si>
  <si>
    <t>TXN80149116</t>
  </si>
  <si>
    <t>TXN91277854</t>
  </si>
  <si>
    <t>TXN13987190</t>
  </si>
  <si>
    <t>TXN96239538</t>
  </si>
  <si>
    <t>TXN88543875</t>
  </si>
  <si>
    <t>TXN85961794</t>
  </si>
  <si>
    <t>TXN69013353</t>
  </si>
  <si>
    <t>TXN63007958</t>
  </si>
  <si>
    <t>TXN26328873</t>
  </si>
  <si>
    <t>TXN87530577</t>
  </si>
  <si>
    <t>TXN84680074</t>
  </si>
  <si>
    <t>TXN88552128</t>
  </si>
  <si>
    <t>TXN26641440</t>
  </si>
  <si>
    <t>TXN51379301</t>
  </si>
  <si>
    <t>TXN43478374</t>
  </si>
  <si>
    <t>TXN70771590</t>
  </si>
  <si>
    <t>TXN35729761</t>
  </si>
  <si>
    <t>TXN61951272</t>
  </si>
  <si>
    <t>TXN57135270</t>
  </si>
  <si>
    <t>TXN59750499</t>
  </si>
  <si>
    <t>TXN89078053</t>
  </si>
  <si>
    <t>TXN67357141</t>
  </si>
  <si>
    <t>TXN69178692</t>
  </si>
  <si>
    <t>TXN62561410</t>
  </si>
  <si>
    <t>TXN83748540</t>
  </si>
  <si>
    <t>TXN48166978</t>
  </si>
  <si>
    <t>TXN42622864</t>
  </si>
  <si>
    <t>TXN50499687</t>
  </si>
  <si>
    <t>TXN72737183</t>
  </si>
  <si>
    <t>TXN75568183</t>
  </si>
  <si>
    <t>TXN35925126</t>
  </si>
  <si>
    <t>TXN34208549</t>
  </si>
  <si>
    <t>TXN76365826</t>
  </si>
  <si>
    <t>TXN73719053</t>
  </si>
  <si>
    <t>TXN66244935</t>
  </si>
  <si>
    <t>TXN76648125</t>
  </si>
  <si>
    <t>TXN43503283</t>
  </si>
  <si>
    <t>TXN39527566</t>
  </si>
  <si>
    <t>TXN57784064</t>
  </si>
  <si>
    <t>TXN80627376</t>
  </si>
  <si>
    <t>TXN84971067</t>
  </si>
  <si>
    <t>TXN70356359</t>
  </si>
  <si>
    <t>TXN45452501</t>
  </si>
  <si>
    <t>TXN96448280</t>
  </si>
  <si>
    <t>TXN43928915</t>
  </si>
  <si>
    <t>TXN33707831</t>
  </si>
  <si>
    <t>TXN52283312</t>
  </si>
  <si>
    <t>TXN48186153</t>
  </si>
  <si>
    <t>TXN36339413</t>
  </si>
  <si>
    <t>TXN12964286</t>
  </si>
  <si>
    <t>TXN12146383</t>
  </si>
  <si>
    <t>TXN73533205</t>
  </si>
  <si>
    <t>TXN76562710</t>
  </si>
  <si>
    <t>TXN26443989</t>
  </si>
  <si>
    <t>TXN80223017</t>
  </si>
  <si>
    <t>TXN16909993</t>
  </si>
  <si>
    <t>TXN66593884</t>
  </si>
  <si>
    <t>TXN51939882</t>
  </si>
  <si>
    <t>TXN93058493</t>
  </si>
  <si>
    <t>TXN55563321</t>
  </si>
  <si>
    <t>TXN57570513</t>
  </si>
  <si>
    <t>TXN95073673</t>
  </si>
  <si>
    <t>TXN81210747</t>
  </si>
  <si>
    <t>TXN70218022</t>
  </si>
  <si>
    <t>TXN35793354</t>
  </si>
  <si>
    <t>TXN52199466</t>
  </si>
  <si>
    <t>TXN17517218</t>
  </si>
  <si>
    <t>TXN13413531</t>
  </si>
  <si>
    <t>TXN11600664</t>
  </si>
  <si>
    <t>TXN58826472</t>
  </si>
  <si>
    <t>TXN10712531</t>
  </si>
  <si>
    <t>TXN58569075</t>
  </si>
  <si>
    <t>TXN76517466</t>
  </si>
  <si>
    <t>TXN83184952</t>
  </si>
  <si>
    <t>TXN75562702</t>
  </si>
  <si>
    <t>TXN86742196</t>
  </si>
  <si>
    <t>TXN91017231</t>
  </si>
  <si>
    <t>TXN37300737</t>
  </si>
  <si>
    <t>TXN52275833</t>
  </si>
  <si>
    <t>TXN39033741</t>
  </si>
  <si>
    <t>TXN40062886</t>
  </si>
  <si>
    <t>TXN58433317</t>
  </si>
  <si>
    <t>TXN13050000</t>
  </si>
  <si>
    <t>TXN27967736</t>
  </si>
  <si>
    <t>TXN50656553</t>
  </si>
  <si>
    <t>TXN64094986</t>
  </si>
  <si>
    <t>TXN17776975</t>
  </si>
  <si>
    <t>TXN83890132</t>
  </si>
  <si>
    <t>TXN80316422</t>
  </si>
  <si>
    <t>TXN51255448</t>
  </si>
  <si>
    <t>TXN15152048</t>
  </si>
  <si>
    <t>TXN31941093</t>
  </si>
  <si>
    <t>TXN99722252</t>
  </si>
  <si>
    <t>TXN38469027</t>
  </si>
  <si>
    <t>TXN36780384</t>
  </si>
  <si>
    <t>TXN79384238</t>
  </si>
  <si>
    <t>TXN31321593</t>
  </si>
  <si>
    <t>TXN54060343</t>
  </si>
  <si>
    <t>TXN86544973</t>
  </si>
  <si>
    <t>TXN61684270</t>
  </si>
  <si>
    <t>TXN51306431</t>
  </si>
  <si>
    <t>TXN59966385</t>
  </si>
  <si>
    <t>TXN46921911</t>
  </si>
  <si>
    <t>TXN95155965</t>
  </si>
  <si>
    <t>TXN39527797</t>
  </si>
  <si>
    <t>TXN61109413</t>
  </si>
  <si>
    <t>TXN75747648</t>
  </si>
  <si>
    <t>TXN71168060</t>
  </si>
  <si>
    <t>TXN39160148</t>
  </si>
  <si>
    <t>TXN61392653</t>
  </si>
  <si>
    <t>TXN57270363</t>
  </si>
  <si>
    <t>TXN71898439</t>
  </si>
  <si>
    <t>TXN54836216</t>
  </si>
  <si>
    <t>TXN61026703</t>
  </si>
  <si>
    <t>TXN72214451</t>
  </si>
  <si>
    <t>TXN13991191</t>
  </si>
  <si>
    <t>TXN19740296</t>
  </si>
  <si>
    <t>TXN20751424</t>
  </si>
  <si>
    <t>TXN77239569</t>
  </si>
  <si>
    <t>TXN81174967</t>
  </si>
  <si>
    <t>TXN78386491</t>
  </si>
  <si>
    <t>TXN49481612</t>
  </si>
  <si>
    <t>TXN83748281</t>
  </si>
  <si>
    <t>TXN29364724</t>
  </si>
  <si>
    <t>TXN14074535</t>
  </si>
  <si>
    <t>TXN53573459</t>
  </si>
  <si>
    <t>TXN86620431</t>
  </si>
  <si>
    <t>TXN18045106</t>
  </si>
  <si>
    <t>TXN96597892</t>
  </si>
  <si>
    <t>TXN93075061</t>
  </si>
  <si>
    <t>TXN46045916</t>
  </si>
  <si>
    <t>TXN26210727</t>
  </si>
  <si>
    <t>TXN80002773</t>
  </si>
  <si>
    <t>TXN51440069</t>
  </si>
  <si>
    <t>TXN33720214</t>
  </si>
  <si>
    <t>TXN91019128</t>
  </si>
  <si>
    <t>TXN92663008</t>
  </si>
  <si>
    <t>TXN11975668</t>
  </si>
  <si>
    <t>TXN47946841</t>
  </si>
  <si>
    <t>TXN49992173</t>
  </si>
  <si>
    <t>TXN92498445</t>
  </si>
  <si>
    <t>TXN34170930</t>
  </si>
  <si>
    <t>TXN67545289</t>
  </si>
  <si>
    <t>TXN37373392</t>
  </si>
  <si>
    <t>TXN83595736</t>
  </si>
  <si>
    <t>TXN28332431</t>
  </si>
  <si>
    <t>TXN49521207</t>
  </si>
  <si>
    <t>TXN88634199</t>
  </si>
  <si>
    <t>TXN59568179</t>
  </si>
  <si>
    <t>TXN60444367</t>
  </si>
  <si>
    <t>TXN73322724</t>
  </si>
  <si>
    <t>TXN56439288</t>
  </si>
  <si>
    <t>TXN41514916</t>
  </si>
  <si>
    <t>TXN80050495</t>
  </si>
  <si>
    <t>TXN66274246</t>
  </si>
  <si>
    <t>TXN21226497</t>
  </si>
  <si>
    <t>TXN49405808</t>
  </si>
  <si>
    <t>TXN45684193</t>
  </si>
  <si>
    <t>TXN71020930</t>
  </si>
  <si>
    <t>TXN81970918</t>
  </si>
  <si>
    <t>TXN52405849</t>
  </si>
  <si>
    <t>TXN20586445</t>
  </si>
  <si>
    <t>TXN13548323</t>
  </si>
  <si>
    <t>TXN66886652</t>
  </si>
  <si>
    <t>TXN17081703</t>
  </si>
  <si>
    <t>TXN60620682</t>
  </si>
  <si>
    <t>TXN56004153</t>
  </si>
  <si>
    <t>TXN90249892</t>
  </si>
  <si>
    <t>TXN55885297</t>
  </si>
  <si>
    <t>TXN91896434</t>
  </si>
  <si>
    <t>TXN25459895</t>
  </si>
  <si>
    <t>TXN85681837</t>
  </si>
  <si>
    <t>TXN15022395</t>
  </si>
  <si>
    <t>TXN44490972</t>
  </si>
  <si>
    <t>TXN70610813</t>
  </si>
  <si>
    <t>TXN31660878</t>
  </si>
  <si>
    <t>TXN37028536</t>
  </si>
  <si>
    <t>TXN37034904</t>
  </si>
  <si>
    <t>TXN65678237</t>
  </si>
  <si>
    <t>TXN89195905</t>
  </si>
  <si>
    <t>TXN11876311</t>
  </si>
  <si>
    <t>TXN90312631</t>
  </si>
  <si>
    <t>TXN28786637</t>
  </si>
  <si>
    <t>TXN57790912</t>
  </si>
  <si>
    <t>TXN53819004</t>
  </si>
  <si>
    <t>TXN33843575</t>
  </si>
  <si>
    <t>TXN25813948</t>
  </si>
  <si>
    <t>TXN43661482</t>
  </si>
  <si>
    <t>TXN39441992</t>
  </si>
  <si>
    <t>TXN58837902</t>
  </si>
  <si>
    <t>TXN66021580</t>
  </si>
  <si>
    <t>TXN33266841</t>
  </si>
  <si>
    <t>TXN18916955</t>
  </si>
  <si>
    <t>TXN92474581</t>
  </si>
  <si>
    <t>TXN38660872</t>
  </si>
  <si>
    <t>TXN86563440</t>
  </si>
  <si>
    <t>TXN82902138</t>
  </si>
  <si>
    <t>TXN63027102</t>
  </si>
  <si>
    <t>TXN32241471</t>
  </si>
  <si>
    <t>TXN85841319</t>
  </si>
  <si>
    <t>TXN44990003</t>
  </si>
  <si>
    <t>TXN92436236</t>
  </si>
  <si>
    <t>TXN77537914</t>
  </si>
  <si>
    <t>TXN32703298</t>
  </si>
  <si>
    <t>TXN23784687</t>
  </si>
  <si>
    <t>TXN56823650</t>
  </si>
  <si>
    <t>TXN34363534</t>
  </si>
  <si>
    <t>TXN81743238</t>
  </si>
  <si>
    <t>TXN58897978</t>
  </si>
  <si>
    <t>TXN13953995</t>
  </si>
  <si>
    <t>TXN60981048</t>
  </si>
  <si>
    <t>TXN21720428</t>
  </si>
  <si>
    <t>TXN39657929</t>
  </si>
  <si>
    <t>TXN84667285</t>
  </si>
  <si>
    <t>TXN48353011</t>
  </si>
  <si>
    <t>TXN17582518</t>
  </si>
  <si>
    <t>TXN37123173</t>
  </si>
  <si>
    <t>TXN61559602</t>
  </si>
  <si>
    <t>TXN57710652</t>
  </si>
  <si>
    <t>TXN69416358</t>
  </si>
  <si>
    <t>TXN30044228</t>
  </si>
  <si>
    <t>TXN86324376</t>
  </si>
  <si>
    <t>TXN65451913</t>
  </si>
  <si>
    <t>TXN94131054</t>
  </si>
  <si>
    <t>TXN41988082</t>
  </si>
  <si>
    <t>TXN79449594</t>
  </si>
  <si>
    <t>TXN95572361</t>
  </si>
  <si>
    <t>TXN13397230</t>
  </si>
  <si>
    <t>TXN11419197</t>
  </si>
  <si>
    <t>TXN26123851</t>
  </si>
  <si>
    <t>TXN27735957</t>
  </si>
  <si>
    <t>TXN94239946</t>
  </si>
  <si>
    <t>TXN45816745</t>
  </si>
  <si>
    <t>TXN17707121</t>
  </si>
  <si>
    <t>TXN49399316</t>
  </si>
  <si>
    <t>TXN55831768</t>
  </si>
  <si>
    <t>TXN54711074</t>
  </si>
  <si>
    <t>TXN81147562</t>
  </si>
  <si>
    <t>TXN88204741</t>
  </si>
  <si>
    <t>TXN73047164</t>
  </si>
  <si>
    <t>TXN70430905</t>
  </si>
  <si>
    <t>TXN54871200</t>
  </si>
  <si>
    <t>TXN73214659</t>
  </si>
  <si>
    <t>TXN50039452</t>
  </si>
  <si>
    <t>TXN72379185</t>
  </si>
  <si>
    <t>TXN24402615</t>
  </si>
  <si>
    <t>TXN92381461</t>
  </si>
  <si>
    <t>TXN55049348</t>
  </si>
  <si>
    <t>TXN75787527</t>
  </si>
  <si>
    <t>TXN91494620</t>
  </si>
  <si>
    <t>TXN61862133</t>
  </si>
  <si>
    <t>TXN14222910</t>
  </si>
  <si>
    <t>TXN74288706</t>
  </si>
  <si>
    <t>TXN36353142</t>
  </si>
  <si>
    <t>TXN49242846</t>
  </si>
  <si>
    <t>TXN62238248</t>
  </si>
  <si>
    <t>TXN13505117</t>
  </si>
  <si>
    <t>TXN78531072</t>
  </si>
  <si>
    <t>TXN13602684</t>
  </si>
  <si>
    <t>TXN22170152</t>
  </si>
  <si>
    <t>TXN41648496</t>
  </si>
  <si>
    <t>TXN48002629</t>
  </si>
  <si>
    <t>TXN80680059</t>
  </si>
  <si>
    <t>TXN30636061</t>
  </si>
  <si>
    <t>TXN68828901</t>
  </si>
  <si>
    <t>TXN33257552</t>
  </si>
  <si>
    <t>TXN30853114</t>
  </si>
  <si>
    <t>TXN33040265</t>
  </si>
  <si>
    <t>TXN73073441</t>
  </si>
  <si>
    <t>TXN43914428</t>
  </si>
  <si>
    <t>TXN88057423</t>
  </si>
  <si>
    <t>TXN50072620</t>
  </si>
  <si>
    <t>TXN61636668</t>
  </si>
  <si>
    <t>TXN29038413</t>
  </si>
  <si>
    <t>TXN48368315</t>
  </si>
  <si>
    <t>TXN68515470</t>
  </si>
  <si>
    <t>TXN26388661</t>
  </si>
  <si>
    <t>TXN67219224</t>
  </si>
  <si>
    <t>TXN10430457</t>
  </si>
  <si>
    <t>TXN92837648</t>
  </si>
  <si>
    <t>TXN49482167</t>
  </si>
  <si>
    <t>TXN12056236</t>
  </si>
  <si>
    <t>TXN65768405</t>
  </si>
  <si>
    <t>TXN64091711</t>
  </si>
  <si>
    <t>TXN74461546</t>
  </si>
  <si>
    <t>TXN73953272</t>
  </si>
  <si>
    <t>TXN13610538</t>
  </si>
  <si>
    <t>TXN90966034</t>
  </si>
  <si>
    <t>TXN62877709</t>
  </si>
  <si>
    <t>TXN29389252</t>
  </si>
  <si>
    <t>TXN12175889</t>
  </si>
  <si>
    <t>TXN95469176</t>
  </si>
  <si>
    <t>TXN74386767</t>
  </si>
  <si>
    <t>TXN86601301</t>
  </si>
  <si>
    <t>TXN14842630</t>
  </si>
  <si>
    <t>TXN52596920</t>
  </si>
  <si>
    <t>TXN70995522</t>
  </si>
  <si>
    <t>TXN27780978</t>
  </si>
  <si>
    <t>TXN11730646</t>
  </si>
  <si>
    <t>TXN73398615</t>
  </si>
  <si>
    <t>TXN55139955</t>
  </si>
  <si>
    <t>TXN59125219</t>
  </si>
  <si>
    <t>TXN63280469</t>
  </si>
  <si>
    <t>TXN17295628</t>
  </si>
  <si>
    <t>TXN36874442</t>
  </si>
  <si>
    <t>TXN39562979</t>
  </si>
  <si>
    <t>TXN83584268</t>
  </si>
  <si>
    <t>TXN90225834</t>
  </si>
  <si>
    <t>TXN43164605</t>
  </si>
  <si>
    <t>TXN28184672</t>
  </si>
  <si>
    <t>TXN89797557</t>
  </si>
  <si>
    <t>TXN12929627</t>
  </si>
  <si>
    <t>TXN24568013</t>
  </si>
  <si>
    <t>TXN90376023</t>
  </si>
  <si>
    <t>TXN19272977</t>
  </si>
  <si>
    <t>TXN30364074</t>
  </si>
  <si>
    <t>TXN14634876</t>
  </si>
  <si>
    <t>TXN48159644</t>
  </si>
  <si>
    <t>TXN87395621</t>
  </si>
  <si>
    <t>TXN20809279</t>
  </si>
  <si>
    <t>TXN32945598</t>
  </si>
  <si>
    <t>TXN72631066</t>
  </si>
  <si>
    <t>TXN42867108</t>
  </si>
  <si>
    <t>TXN39253033</t>
  </si>
  <si>
    <t>TXN60929074</t>
  </si>
  <si>
    <t>TXN33122815</t>
  </si>
  <si>
    <t>TXN24660706</t>
  </si>
  <si>
    <t>TXN89473286</t>
  </si>
  <si>
    <t>TXN88420587</t>
  </si>
  <si>
    <t>TXN34698807</t>
  </si>
  <si>
    <t>TXN12825813</t>
  </si>
  <si>
    <t>TXN51632201</t>
  </si>
  <si>
    <t>TXN25639432</t>
  </si>
  <si>
    <t>TXN60048011</t>
  </si>
  <si>
    <t>TXN46517773</t>
  </si>
  <si>
    <t>TXN37840977</t>
  </si>
  <si>
    <t>TXN70726642</t>
  </si>
  <si>
    <t>TXN87307823</t>
  </si>
  <si>
    <t>TXN81149457</t>
  </si>
  <si>
    <t>TXN30093906</t>
  </si>
  <si>
    <t>TXN53932825</t>
  </si>
  <si>
    <t>TXN15156020</t>
  </si>
  <si>
    <t>TXN73120590</t>
  </si>
  <si>
    <t>TXN45169904</t>
  </si>
  <si>
    <t>TXN86938224</t>
  </si>
  <si>
    <t>TXN60637710</t>
  </si>
  <si>
    <t>TXN60725650</t>
  </si>
  <si>
    <t>TXN12475448</t>
  </si>
  <si>
    <t>TXN38896274</t>
  </si>
  <si>
    <t>TXN11154246</t>
  </si>
  <si>
    <t>TXN93571393</t>
  </si>
  <si>
    <t>TXN29019054</t>
  </si>
  <si>
    <t>TXN34599597</t>
  </si>
  <si>
    <t>TXN30901355</t>
  </si>
  <si>
    <t>TXN93778578</t>
  </si>
  <si>
    <t>TXN24709996</t>
  </si>
  <si>
    <t>TXN71840680</t>
  </si>
  <si>
    <t>TXN95810097</t>
  </si>
  <si>
    <t>TXN31901330</t>
  </si>
  <si>
    <t>TXN78996875</t>
  </si>
  <si>
    <t>TXN54263980</t>
  </si>
  <si>
    <t>TXN79730398</t>
  </si>
  <si>
    <t>TXN39982047</t>
  </si>
  <si>
    <t>TXN93825965</t>
  </si>
  <si>
    <t>TXN56024117</t>
  </si>
  <si>
    <t>TXN11368140</t>
  </si>
  <si>
    <t>TXN58270070</t>
  </si>
  <si>
    <t>TXN93416371</t>
  </si>
  <si>
    <t>TXN24719247</t>
  </si>
  <si>
    <t>TXN34951226</t>
  </si>
  <si>
    <t>TXN33288186</t>
  </si>
  <si>
    <t>TXN24638384</t>
  </si>
  <si>
    <t>TXN16237455</t>
  </si>
  <si>
    <t>TXN83082023</t>
  </si>
  <si>
    <t>TXN34530153</t>
  </si>
  <si>
    <t>TXN40438034</t>
  </si>
  <si>
    <t>TXN57998977</t>
  </si>
  <si>
    <t>TXN94080545</t>
  </si>
  <si>
    <t>TXN73338391</t>
  </si>
  <si>
    <t>TXN84971656</t>
  </si>
  <si>
    <t>TXN17077586</t>
  </si>
  <si>
    <t>TXN52713597</t>
  </si>
  <si>
    <t>TXN88462742</t>
  </si>
  <si>
    <t>TXN78981142</t>
  </si>
  <si>
    <t>TXN28266370</t>
  </si>
  <si>
    <t>TXN81341730</t>
  </si>
  <si>
    <t>TXN44522949</t>
  </si>
  <si>
    <t>TXN75050180</t>
  </si>
  <si>
    <t>TXN67472594</t>
  </si>
  <si>
    <t>TXN99381882</t>
  </si>
  <si>
    <t>TXN21972044</t>
  </si>
  <si>
    <t>TXN80332741</t>
  </si>
  <si>
    <t>TXN98541973</t>
  </si>
  <si>
    <t>TXN75654650</t>
  </si>
  <si>
    <t>TXN30136856</t>
  </si>
  <si>
    <t>TXN47335510</t>
  </si>
  <si>
    <t>TXN17605846</t>
  </si>
  <si>
    <t>TXN18715816</t>
  </si>
  <si>
    <t>TXN31358790</t>
  </si>
  <si>
    <t>TXN24787433</t>
  </si>
  <si>
    <t>TXN27526365</t>
  </si>
  <si>
    <t>TXN32693447</t>
  </si>
  <si>
    <t>TXN20983022</t>
  </si>
  <si>
    <t>TXN12947621</t>
  </si>
  <si>
    <t>TXN51181109</t>
  </si>
  <si>
    <t>TXN39851956</t>
  </si>
  <si>
    <t>TXN98824170</t>
  </si>
  <si>
    <t>TXN91491780</t>
  </si>
  <si>
    <t>TXN48201616</t>
  </si>
  <si>
    <t>TXN81615943</t>
  </si>
  <si>
    <t>TXN99674924</t>
  </si>
  <si>
    <t>TXN55814179</t>
  </si>
  <si>
    <t>TXN44892417</t>
  </si>
  <si>
    <t>TXN23849072</t>
  </si>
  <si>
    <t>TXN17034353</t>
  </si>
  <si>
    <t>TXN89582403</t>
  </si>
  <si>
    <t>TXN58911119</t>
  </si>
  <si>
    <t>TXN27905605</t>
  </si>
  <si>
    <t>TXN11801522</t>
  </si>
  <si>
    <t>TXN15697252</t>
  </si>
  <si>
    <t>TXN22748518</t>
  </si>
  <si>
    <t>TXN64833239</t>
  </si>
  <si>
    <t>TXN64483886</t>
  </si>
  <si>
    <t>TXN43625107</t>
  </si>
  <si>
    <t>TXN49002349</t>
  </si>
  <si>
    <t>TXN94271187</t>
  </si>
  <si>
    <t>TXN63497026</t>
  </si>
  <si>
    <t>TXN26194750</t>
  </si>
  <si>
    <t>TXN11906456</t>
  </si>
  <si>
    <t>TXN52788293</t>
  </si>
  <si>
    <t>TXN96416347</t>
  </si>
  <si>
    <t>TXN93989593</t>
  </si>
  <si>
    <t>TXN58680429</t>
  </si>
  <si>
    <t>TXN64900063</t>
  </si>
  <si>
    <t>TXN66732863</t>
  </si>
  <si>
    <t>TXN14136831</t>
  </si>
  <si>
    <t>TXN88970598</t>
  </si>
  <si>
    <t>TXN97400471</t>
  </si>
  <si>
    <t>TXN14214820</t>
  </si>
  <si>
    <t>TXN32671343</t>
  </si>
  <si>
    <t>TXN59878923</t>
  </si>
  <si>
    <t>TXN39802864</t>
  </si>
  <si>
    <t>TXN27938235</t>
  </si>
  <si>
    <t>TXN32998695</t>
  </si>
  <si>
    <t>TXN18098409</t>
  </si>
  <si>
    <t>TXN16507976</t>
  </si>
  <si>
    <t>TXN99180490</t>
  </si>
  <si>
    <t>TXN22156003</t>
  </si>
  <si>
    <t>TXN99857611</t>
  </si>
  <si>
    <t>TXN30500933</t>
  </si>
  <si>
    <t>TXN93953073</t>
  </si>
  <si>
    <t>TXN20302352</t>
  </si>
  <si>
    <t>TXN14078599</t>
  </si>
  <si>
    <t>TXN72370065</t>
  </si>
  <si>
    <t>TXN51856822</t>
  </si>
  <si>
    <t>TXN69167866</t>
  </si>
  <si>
    <t>TXN65477618</t>
  </si>
  <si>
    <t>TXN80539722</t>
  </si>
  <si>
    <t>TXN96788560</t>
  </si>
  <si>
    <t>TXN76490631</t>
  </si>
  <si>
    <t>TXN43051094</t>
  </si>
  <si>
    <t>TXN50471122</t>
  </si>
  <si>
    <t>TXN53667453</t>
  </si>
  <si>
    <t>TXN63042362</t>
  </si>
  <si>
    <t>TXN93012552</t>
  </si>
  <si>
    <t>TXN68488539</t>
  </si>
  <si>
    <t>TXN74544670</t>
  </si>
  <si>
    <t>TXN56074118</t>
  </si>
  <si>
    <t>TXN78934883</t>
  </si>
  <si>
    <t>TXN64205077</t>
  </si>
  <si>
    <t>TXN52551742</t>
  </si>
  <si>
    <t>TXN41619113</t>
  </si>
  <si>
    <t>TXN66675525</t>
  </si>
  <si>
    <t>TXN25514732</t>
  </si>
  <si>
    <t>TXN26118486</t>
  </si>
  <si>
    <t>TXN74866914</t>
  </si>
  <si>
    <t>TXN26697092</t>
  </si>
  <si>
    <t>TXN78728881</t>
  </si>
  <si>
    <t>TXN98714274</t>
  </si>
  <si>
    <t>TXN56809305</t>
  </si>
  <si>
    <t>TXN29430186</t>
  </si>
  <si>
    <t>TXN84289612</t>
  </si>
  <si>
    <t>TXN78995506</t>
  </si>
  <si>
    <t>TXN67987869</t>
  </si>
  <si>
    <t>TXN86259696</t>
  </si>
  <si>
    <t>TXN77447271</t>
  </si>
  <si>
    <t>TXN60007137</t>
  </si>
  <si>
    <t>TXN73244990</t>
  </si>
  <si>
    <t>TXN61272177</t>
  </si>
  <si>
    <t>TXN91344606</t>
  </si>
  <si>
    <t>TXN41406107</t>
  </si>
  <si>
    <t>TXN13554788</t>
  </si>
  <si>
    <t>TXN23257586</t>
  </si>
  <si>
    <t>TXN76613166</t>
  </si>
  <si>
    <t>TXN83719104</t>
  </si>
  <si>
    <t>TXN70525025</t>
  </si>
  <si>
    <t>TXN45286946</t>
  </si>
  <si>
    <t>TXN63002730</t>
  </si>
  <si>
    <t>TXN84460291</t>
  </si>
  <si>
    <t>TXN17698291</t>
  </si>
  <si>
    <t>TXN19719143</t>
  </si>
  <si>
    <t>TXN95200333</t>
  </si>
  <si>
    <t>TXN29390999</t>
  </si>
  <si>
    <t>TXN46694209</t>
  </si>
  <si>
    <t>TXN57417082</t>
  </si>
  <si>
    <t>TXN14104060</t>
  </si>
  <si>
    <t>TXN69560785</t>
  </si>
  <si>
    <t>TXN93497877</t>
  </si>
  <si>
    <t>TXN24077811</t>
  </si>
  <si>
    <t>TXN74524767</t>
  </si>
  <si>
    <t>TXN28320273</t>
  </si>
  <si>
    <t>TXN63263623</t>
  </si>
  <si>
    <t>TXN71149442</t>
  </si>
  <si>
    <t>TXN65501801</t>
  </si>
  <si>
    <t>TXN81071307</t>
  </si>
  <si>
    <t>TXN27087986</t>
  </si>
  <si>
    <t>TXN79640341</t>
  </si>
  <si>
    <t>TXN54572694</t>
  </si>
  <si>
    <t>TXN35105809</t>
  </si>
  <si>
    <t>TXN63488969</t>
  </si>
  <si>
    <t>TXN97943070</t>
  </si>
  <si>
    <t>TXN80623782</t>
  </si>
  <si>
    <t>TXN40735492</t>
  </si>
  <si>
    <t>TXN83562193</t>
  </si>
  <si>
    <t>TXN31881985</t>
  </si>
  <si>
    <t>TXN23870719</t>
  </si>
  <si>
    <t>TXN38874912</t>
  </si>
  <si>
    <t>TXN61309638</t>
  </si>
  <si>
    <t>TXN96808309</t>
  </si>
  <si>
    <t>TXN77092036</t>
  </si>
  <si>
    <t>TXN18223063</t>
  </si>
  <si>
    <t>TXN91657547</t>
  </si>
  <si>
    <t>TXN62146738</t>
  </si>
  <si>
    <t>TXN62058083</t>
  </si>
  <si>
    <t>TXN10177305</t>
  </si>
  <si>
    <t>TXN24975487</t>
  </si>
  <si>
    <t>TXN78318859</t>
  </si>
  <si>
    <t>TXN38921797</t>
  </si>
  <si>
    <t>TXN51891111</t>
  </si>
  <si>
    <t>TXN13521475</t>
  </si>
  <si>
    <t>TXN64132898</t>
  </si>
  <si>
    <t>TXN31484007</t>
  </si>
  <si>
    <t>TXN52761261</t>
  </si>
  <si>
    <t>TXN23987842</t>
  </si>
  <si>
    <t>TXN99986138</t>
  </si>
  <si>
    <t>TXN72711560</t>
  </si>
  <si>
    <t>TXN81978658</t>
  </si>
  <si>
    <t>TXN40386888</t>
  </si>
  <si>
    <t>TXN38754398</t>
  </si>
  <si>
    <t>TXN58274897</t>
  </si>
  <si>
    <t>TXN39840781</t>
  </si>
  <si>
    <t>TXN18147001</t>
  </si>
  <si>
    <t>TXN64649688</t>
  </si>
  <si>
    <t>TXN48006306</t>
  </si>
  <si>
    <t>TXN17037843</t>
  </si>
  <si>
    <t>TXN39379386</t>
  </si>
  <si>
    <t>TXN26006187</t>
  </si>
  <si>
    <t>TXN85120096</t>
  </si>
  <si>
    <t>TXN67242441</t>
  </si>
  <si>
    <t>TXN79234628</t>
  </si>
  <si>
    <t>TXN79398563</t>
  </si>
  <si>
    <t>TXN93171044</t>
  </si>
  <si>
    <t>TXN96177809</t>
  </si>
  <si>
    <t>TXN54422334</t>
  </si>
  <si>
    <t>TXN93144494</t>
  </si>
  <si>
    <t>TXN21409685</t>
  </si>
  <si>
    <t>TXN28112906</t>
  </si>
  <si>
    <t>TXN38489147</t>
  </si>
  <si>
    <t>TXN55071352</t>
  </si>
  <si>
    <t>TXN41594052</t>
  </si>
  <si>
    <t>TXN33902100</t>
  </si>
  <si>
    <t>TXN69392464</t>
  </si>
  <si>
    <t>TXN86410822</t>
  </si>
  <si>
    <t>TXN76202955</t>
  </si>
  <si>
    <t>TXN37016524</t>
  </si>
  <si>
    <t>TXN18949763</t>
  </si>
  <si>
    <t>TXN35111681</t>
  </si>
  <si>
    <t>TXN40784709</t>
  </si>
  <si>
    <t>TXN73194785</t>
  </si>
  <si>
    <t>TXN34066428</t>
  </si>
  <si>
    <t>TXN29085069</t>
  </si>
  <si>
    <t>TXN52609200</t>
  </si>
  <si>
    <t>TXN66208193</t>
  </si>
  <si>
    <t>TXN36412155</t>
  </si>
  <si>
    <t>TXN92245998</t>
  </si>
  <si>
    <t>TXN93350994</t>
  </si>
  <si>
    <t>TXN98337305</t>
  </si>
  <si>
    <t>TXN31246533</t>
  </si>
  <si>
    <t>TXN93477244</t>
  </si>
  <si>
    <t>TXN88330139</t>
  </si>
  <si>
    <t>TXN47469449</t>
  </si>
  <si>
    <t>TXN69858258</t>
  </si>
  <si>
    <t>TXN95288837</t>
  </si>
  <si>
    <t>TXN77151573</t>
  </si>
  <si>
    <t>TXN19307871</t>
  </si>
  <si>
    <t>TXN94400702</t>
  </si>
  <si>
    <t>TXN62583679</t>
  </si>
  <si>
    <t>TXN76413811</t>
  </si>
  <si>
    <t>TXN34165289</t>
  </si>
  <si>
    <t>TXN32060798</t>
  </si>
  <si>
    <t>TXN57123314</t>
  </si>
  <si>
    <t>TXN58658703</t>
  </si>
  <si>
    <t>TXN38988968</t>
  </si>
  <si>
    <t>TXN29698135</t>
  </si>
  <si>
    <t>TXN71129471</t>
  </si>
  <si>
    <t>TXN29893801</t>
  </si>
  <si>
    <t>TXN71959801</t>
  </si>
  <si>
    <t>TXN70306041</t>
  </si>
  <si>
    <t>TXN22495494</t>
  </si>
  <si>
    <t>TXN66050032</t>
  </si>
  <si>
    <t>TXN21004064</t>
  </si>
  <si>
    <t>TXN78147519</t>
  </si>
  <si>
    <t>TXN50062415</t>
  </si>
  <si>
    <t>TXN73024999</t>
  </si>
  <si>
    <t>TXN97573142</t>
  </si>
  <si>
    <t>TXN90417702</t>
  </si>
  <si>
    <t>TXN75339485</t>
  </si>
  <si>
    <t>TXN19576581</t>
  </si>
  <si>
    <t>TXN27462909</t>
  </si>
  <si>
    <t>TXN45339620</t>
  </si>
  <si>
    <t>TXN57538077</t>
  </si>
  <si>
    <t>TXN88379122</t>
  </si>
  <si>
    <t>TXN80437139</t>
  </si>
  <si>
    <t>TXN80851830</t>
  </si>
  <si>
    <t>TXN71951213</t>
  </si>
  <si>
    <t>TXN17239594</t>
  </si>
  <si>
    <t>TXN95067734</t>
  </si>
  <si>
    <t>TXN20381680</t>
  </si>
  <si>
    <t>TXN14222924</t>
  </si>
  <si>
    <t>TXN14309056</t>
  </si>
  <si>
    <t>TXN11071331</t>
  </si>
  <si>
    <t>TXN13459232</t>
  </si>
  <si>
    <t>TXN67200742</t>
  </si>
  <si>
    <t>TXN70554886</t>
  </si>
  <si>
    <t>TXN70857875</t>
  </si>
  <si>
    <t>TXN15627147</t>
  </si>
  <si>
    <t>TXN36204744</t>
  </si>
  <si>
    <t>TXN28677095</t>
  </si>
  <si>
    <t>TXN43427696</t>
  </si>
  <si>
    <t>TXN11757360</t>
  </si>
  <si>
    <t>TXN49301447</t>
  </si>
  <si>
    <t>TXN46389099</t>
  </si>
  <si>
    <t>TXN70982752</t>
  </si>
  <si>
    <t>TXN56704983</t>
  </si>
  <si>
    <t>TXN30757908</t>
  </si>
  <si>
    <t>TXN28552198</t>
  </si>
  <si>
    <t>TXN72487607</t>
  </si>
  <si>
    <t>TXN38479233</t>
  </si>
  <si>
    <t>TXN73907757</t>
  </si>
  <si>
    <t>TXN63836491</t>
  </si>
  <si>
    <t>TXN92774350</t>
  </si>
  <si>
    <t>TXN19587937</t>
  </si>
  <si>
    <t>TXN63776661</t>
  </si>
  <si>
    <t>TXN66659929</t>
  </si>
  <si>
    <t>TXN85783566</t>
  </si>
  <si>
    <t>TXN54118173</t>
  </si>
  <si>
    <t>TXN93241615</t>
  </si>
  <si>
    <t>TXN34624979</t>
  </si>
  <si>
    <t>TXN61060533</t>
  </si>
  <si>
    <t>TXN15025945</t>
  </si>
  <si>
    <t>TXN85879790</t>
  </si>
  <si>
    <t>TXN85367925</t>
  </si>
  <si>
    <t>TXN80562668</t>
  </si>
  <si>
    <t>TXN94922951</t>
  </si>
  <si>
    <t>TXN74862075</t>
  </si>
  <si>
    <t>TXN30982971</t>
  </si>
  <si>
    <t>TXN30378424</t>
  </si>
  <si>
    <t>TXN64542237</t>
  </si>
  <si>
    <t>TXN19392679</t>
  </si>
  <si>
    <t>TXN58266246</t>
  </si>
  <si>
    <t>TXN64430016</t>
  </si>
  <si>
    <t>TXN71299091</t>
  </si>
  <si>
    <t>TXN17041177</t>
  </si>
  <si>
    <t>TXN48378744</t>
  </si>
  <si>
    <t>TXN75899469</t>
  </si>
  <si>
    <t>TXN97278318</t>
  </si>
  <si>
    <t>TXN97635612</t>
  </si>
  <si>
    <t>TXN23173180</t>
  </si>
  <si>
    <t>TXN75020845</t>
  </si>
  <si>
    <t>TXN19352178</t>
  </si>
  <si>
    <t>TXN75599425</t>
  </si>
  <si>
    <t>TXN63436707</t>
  </si>
  <si>
    <t>TXN68431404</t>
  </si>
  <si>
    <t>TXN60755914</t>
  </si>
  <si>
    <t>TXN26369809</t>
  </si>
  <si>
    <t>TXN42570102</t>
  </si>
  <si>
    <t>TXN53560764</t>
  </si>
  <si>
    <t>TXN47248217</t>
  </si>
  <si>
    <t>TXN98543422</t>
  </si>
  <si>
    <t>TXN86250857</t>
  </si>
  <si>
    <t>TXN94720459</t>
  </si>
  <si>
    <t>TXN22449145</t>
  </si>
  <si>
    <t>TXN56508530</t>
  </si>
  <si>
    <t>TXN39371103</t>
  </si>
  <si>
    <t>TXN21144393</t>
  </si>
  <si>
    <t>TXN31913372</t>
  </si>
  <si>
    <t>TXN43705396</t>
  </si>
  <si>
    <t>TXN38801267</t>
  </si>
  <si>
    <t>TXN95702329</t>
  </si>
  <si>
    <t>TXN82616338</t>
  </si>
  <si>
    <t>TXN17777610</t>
  </si>
  <si>
    <t>TXN29626199</t>
  </si>
  <si>
    <t>TXN39428890</t>
  </si>
  <si>
    <t>TXN32363184</t>
  </si>
  <si>
    <t>TXN17315566</t>
  </si>
  <si>
    <t>TXN30658272</t>
  </si>
  <si>
    <t>TXN61990751</t>
  </si>
  <si>
    <t>TXN96487177</t>
  </si>
  <si>
    <t>TXN66671928</t>
  </si>
  <si>
    <t>TXN75002980</t>
  </si>
  <si>
    <t>TXN26587484</t>
  </si>
  <si>
    <t>TXN37233973</t>
  </si>
  <si>
    <t>TXN63830006</t>
  </si>
  <si>
    <t>TXN20183843</t>
  </si>
  <si>
    <t>TXN67372901</t>
  </si>
  <si>
    <t>TXN26353868</t>
  </si>
  <si>
    <t>TXN52248769</t>
  </si>
  <si>
    <t>TXN82997171</t>
  </si>
  <si>
    <t>TXN78695478</t>
  </si>
  <si>
    <t>TXN49455565</t>
  </si>
  <si>
    <t>TXN55835634</t>
  </si>
  <si>
    <t>TXN50723887</t>
  </si>
  <si>
    <t>TXN76504716</t>
  </si>
  <si>
    <t>TXN77247853</t>
  </si>
  <si>
    <t>TXN15935874</t>
  </si>
  <si>
    <t>TXN13700332</t>
  </si>
  <si>
    <t>TXN16624654</t>
  </si>
  <si>
    <t>TXN31722051</t>
  </si>
  <si>
    <t>TXN33443594</t>
  </si>
  <si>
    <t>TXN51300521</t>
  </si>
  <si>
    <t>TXN85908431</t>
  </si>
  <si>
    <t>TXN99229959</t>
  </si>
  <si>
    <t>TXN84743681</t>
  </si>
  <si>
    <t>TXN10213302</t>
  </si>
  <si>
    <t>TXN57673832</t>
  </si>
  <si>
    <t>TXN57207796</t>
  </si>
  <si>
    <t>TXN95514958</t>
  </si>
  <si>
    <t>TXN63084290</t>
  </si>
  <si>
    <t>TXN72012026</t>
  </si>
  <si>
    <t>TXN63227416</t>
  </si>
  <si>
    <t>TXN22344546</t>
  </si>
  <si>
    <t>TXN46538079</t>
  </si>
  <si>
    <t>TXN73437629</t>
  </si>
  <si>
    <t>TXN54765379</t>
  </si>
  <si>
    <t>TXN96106518</t>
  </si>
  <si>
    <t>TXN86766010</t>
  </si>
  <si>
    <t>TXN57444675</t>
  </si>
  <si>
    <t>TXN76713040</t>
  </si>
  <si>
    <t>TXN52558162</t>
  </si>
  <si>
    <t>TXN29063881</t>
  </si>
  <si>
    <t>TXN36131728</t>
  </si>
  <si>
    <t>TXN81497249</t>
  </si>
  <si>
    <t>TXN99344286</t>
  </si>
  <si>
    <t>TXN18486747</t>
  </si>
  <si>
    <t>TXN51419149</t>
  </si>
  <si>
    <t>TXN72106585</t>
  </si>
  <si>
    <t>TXN48736101</t>
  </si>
  <si>
    <t>TXN29030313</t>
  </si>
  <si>
    <t>TXN86447425</t>
  </si>
  <si>
    <t>TXN73647886</t>
  </si>
  <si>
    <t>TXN31202894</t>
  </si>
  <si>
    <t>TXN77104478</t>
  </si>
  <si>
    <t>TXN29209724</t>
  </si>
  <si>
    <t>TXN46176702</t>
  </si>
  <si>
    <t>TXN95379377</t>
  </si>
  <si>
    <t>TXN60195582</t>
  </si>
  <si>
    <t>TXN41433325</t>
  </si>
  <si>
    <t>TXN76366907</t>
  </si>
  <si>
    <t>TXN46274303</t>
  </si>
  <si>
    <t>TXN21312655</t>
  </si>
  <si>
    <t>TXN80480352</t>
  </si>
  <si>
    <t>TXN24594476</t>
  </si>
  <si>
    <t>TXN93218435</t>
  </si>
  <si>
    <t>TXN93832814</t>
  </si>
  <si>
    <t>TXN12115537</t>
  </si>
  <si>
    <t>TXN24039639</t>
  </si>
  <si>
    <t>TXN25836250</t>
  </si>
  <si>
    <t>TXN14861137</t>
  </si>
  <si>
    <t>TXN49104350</t>
  </si>
  <si>
    <t>TXN97781544</t>
  </si>
  <si>
    <t>TXN21563099</t>
  </si>
  <si>
    <t>TXN60722429</t>
  </si>
  <si>
    <t>TXN57003277</t>
  </si>
  <si>
    <t>TXN64708313</t>
  </si>
  <si>
    <t>TXN15310419</t>
  </si>
  <si>
    <t>TXN71795843</t>
  </si>
  <si>
    <t>TXN36060978</t>
  </si>
  <si>
    <t>TXN22279785</t>
  </si>
  <si>
    <t>TXN63348720</t>
  </si>
  <si>
    <t>TXN54088546</t>
  </si>
  <si>
    <t>TXN33548254</t>
  </si>
  <si>
    <t>TXN79505562</t>
  </si>
  <si>
    <t>TXN74447374</t>
  </si>
  <si>
    <t>TXN12498926</t>
  </si>
  <si>
    <t>TXN79904960</t>
  </si>
  <si>
    <t>TXN83497883</t>
  </si>
  <si>
    <t>TXN32338673</t>
  </si>
  <si>
    <t>TXN40935770</t>
  </si>
  <si>
    <t>TXN50594406</t>
  </si>
  <si>
    <t>TXN62233960</t>
  </si>
  <si>
    <t>TXN55674830</t>
  </si>
  <si>
    <t>TXN91305137</t>
  </si>
  <si>
    <t>TXN99118890</t>
  </si>
  <si>
    <t>TXN31385300</t>
  </si>
  <si>
    <t>TXN13235705</t>
  </si>
  <si>
    <t>TXN72436466</t>
  </si>
  <si>
    <t>TXN14796003</t>
  </si>
  <si>
    <t>TXN68821173</t>
  </si>
  <si>
    <t>TXN19763801</t>
  </si>
  <si>
    <t>TXN81640710</t>
  </si>
  <si>
    <t>TXN61781985</t>
  </si>
  <si>
    <t>TXN76518478</t>
  </si>
  <si>
    <t>TXN93634573</t>
  </si>
  <si>
    <t>TXN37518739</t>
  </si>
  <si>
    <t>TXN20473313</t>
  </si>
  <si>
    <t>TXN81579550</t>
  </si>
  <si>
    <t>TXN43680466</t>
  </si>
  <si>
    <t>TXN21799285</t>
  </si>
  <si>
    <t>TXN19195464</t>
  </si>
  <si>
    <t>TXN37787974</t>
  </si>
  <si>
    <t>TXN84738028</t>
  </si>
  <si>
    <t>TXN69314134</t>
  </si>
  <si>
    <t>TXN64611235</t>
  </si>
  <si>
    <t>TXN33627325</t>
  </si>
  <si>
    <t>TXN61796316</t>
  </si>
  <si>
    <t>TXN36326400</t>
  </si>
  <si>
    <t>TXN54133517</t>
  </si>
  <si>
    <t>TXN25644818</t>
  </si>
  <si>
    <t>TXN45910352</t>
  </si>
  <si>
    <t>TXN81993401</t>
  </si>
  <si>
    <t>TXN21629685</t>
  </si>
  <si>
    <t>TXN80112945</t>
  </si>
  <si>
    <t>TXN84178405</t>
  </si>
  <si>
    <t>TXN17988610</t>
  </si>
  <si>
    <t>TXN30322351</t>
  </si>
  <si>
    <t>TXN41234674</t>
  </si>
  <si>
    <t>TXN33301664</t>
  </si>
  <si>
    <t>TXN91065708</t>
  </si>
  <si>
    <t>TXN52189887</t>
  </si>
  <si>
    <t>TXN58360194</t>
  </si>
  <si>
    <t>TXN24472404</t>
  </si>
  <si>
    <t>TXN11069214</t>
  </si>
  <si>
    <t>TXN75763768</t>
  </si>
  <si>
    <t>TXN54954316</t>
  </si>
  <si>
    <t>TXN53277249</t>
  </si>
  <si>
    <t>TXN16346424</t>
  </si>
  <si>
    <t>TXN77008861</t>
  </si>
  <si>
    <t>TXN28482530</t>
  </si>
  <si>
    <t>TXN26117643</t>
  </si>
  <si>
    <t>TXN47567967</t>
  </si>
  <si>
    <t>TXN72505704</t>
  </si>
  <si>
    <t>TXN86265869</t>
  </si>
  <si>
    <t>TXN27332295</t>
  </si>
  <si>
    <t>TXN88239223</t>
  </si>
  <si>
    <t>TXN82286302</t>
  </si>
  <si>
    <t>TXN34566891</t>
  </si>
  <si>
    <t>TXN71608328</t>
  </si>
  <si>
    <t>TXN59999313</t>
  </si>
  <si>
    <t>TXN78813947</t>
  </si>
  <si>
    <t>TXN18434826</t>
  </si>
  <si>
    <t>TXN53111587</t>
  </si>
  <si>
    <t>TXN93335544</t>
  </si>
  <si>
    <t>TXN98574242</t>
  </si>
  <si>
    <t>TXN74979907</t>
  </si>
  <si>
    <t>TXN32186562</t>
  </si>
  <si>
    <t>TXN68824574</t>
  </si>
  <si>
    <t>TXN96202334</t>
  </si>
  <si>
    <t>TXN39631753</t>
  </si>
  <si>
    <t>TXN92483899</t>
  </si>
  <si>
    <t>TXN20038682</t>
  </si>
  <si>
    <t>TXN22612335</t>
  </si>
  <si>
    <t>TXN58725788</t>
  </si>
  <si>
    <t>TXN53171707</t>
  </si>
  <si>
    <t>TXN97094552</t>
  </si>
  <si>
    <t>TXN12386268</t>
  </si>
  <si>
    <t>TXN19159940</t>
  </si>
  <si>
    <t>TXN95316671</t>
  </si>
  <si>
    <t>TXN97286205</t>
  </si>
  <si>
    <t>TXN79919575</t>
  </si>
  <si>
    <t>TXN87656149</t>
  </si>
  <si>
    <t>TXN70252806</t>
  </si>
  <si>
    <t>TXN11210784</t>
  </si>
  <si>
    <t>TXN42231036</t>
  </si>
  <si>
    <t>TXN78513060</t>
  </si>
  <si>
    <t>TXN63619146</t>
  </si>
  <si>
    <t>TXN46204691</t>
  </si>
  <si>
    <t>TXN15586396</t>
  </si>
  <si>
    <t>TXN56314290</t>
  </si>
  <si>
    <t>TXN76549373</t>
  </si>
  <si>
    <t>TXN74248396</t>
  </si>
  <si>
    <t>TXN98835597</t>
  </si>
  <si>
    <t>TXN72280457</t>
  </si>
  <si>
    <t>TXN83805066</t>
  </si>
  <si>
    <t>TXN36654483</t>
  </si>
  <si>
    <t>TXN25058536</t>
  </si>
  <si>
    <t>TXN48979286</t>
  </si>
  <si>
    <t>TXN65704000</t>
  </si>
  <si>
    <t>TXN23469196</t>
  </si>
  <si>
    <t>TXN24929993</t>
  </si>
  <si>
    <t>TXN66313809</t>
  </si>
  <si>
    <t>TXN18165200</t>
  </si>
  <si>
    <t>TXN78332499</t>
  </si>
  <si>
    <t>TXN51704922</t>
  </si>
  <si>
    <t>TXN74613970</t>
  </si>
  <si>
    <t>TXN12185038</t>
  </si>
  <si>
    <t>TXN58068572</t>
  </si>
  <si>
    <t>TXN38428915</t>
  </si>
  <si>
    <t>TXN83049738</t>
  </si>
  <si>
    <t>TXN40167876</t>
  </si>
  <si>
    <t>TXN21530389</t>
  </si>
  <si>
    <t>TXN95810413</t>
  </si>
  <si>
    <t>TXN20834219</t>
  </si>
  <si>
    <t>TXN11193514</t>
  </si>
  <si>
    <t>TXN83645041</t>
  </si>
  <si>
    <t>TXN43996896</t>
  </si>
  <si>
    <t>TXN35799675</t>
  </si>
  <si>
    <t>TXN53866694</t>
  </si>
  <si>
    <t>TXN53360443</t>
  </si>
  <si>
    <t>TXN51099095</t>
  </si>
  <si>
    <t>TXN34135316</t>
  </si>
  <si>
    <t>TXN32462634</t>
  </si>
  <si>
    <t>TXN23644851</t>
  </si>
  <si>
    <t>TXN68762880</t>
  </si>
  <si>
    <t>TXN48786919</t>
  </si>
  <si>
    <t>TXN83305520</t>
  </si>
  <si>
    <t>TXN98308926</t>
  </si>
  <si>
    <t>TXN95079333</t>
  </si>
  <si>
    <t>TXN34596593</t>
  </si>
  <si>
    <t>TXN64377457</t>
  </si>
  <si>
    <t>TXN68311299</t>
  </si>
  <si>
    <t>TXN55040960</t>
  </si>
  <si>
    <t>TXN63883706</t>
  </si>
  <si>
    <t>TXN43399919</t>
  </si>
  <si>
    <t>TXN54486905</t>
  </si>
  <si>
    <t>TXN61981871</t>
  </si>
  <si>
    <t>TXN34699668</t>
  </si>
  <si>
    <t>TXN79295349</t>
  </si>
  <si>
    <t>TXN72684883</t>
  </si>
  <si>
    <t>TXN43275530</t>
  </si>
  <si>
    <t>TXN32244778</t>
  </si>
  <si>
    <t>TXN12576338</t>
  </si>
  <si>
    <t>TXN96305463</t>
  </si>
  <si>
    <t>TXN22579462</t>
  </si>
  <si>
    <t>TXN72411837</t>
  </si>
  <si>
    <t>TXN82789549</t>
  </si>
  <si>
    <t>TXN68889737</t>
  </si>
  <si>
    <t>TXN44515976</t>
  </si>
  <si>
    <t>TXN42717569</t>
  </si>
  <si>
    <t>TXN31822183</t>
  </si>
  <si>
    <t>TXN51285395</t>
  </si>
  <si>
    <t>TXN70637689</t>
  </si>
  <si>
    <t>TXN58577546</t>
  </si>
  <si>
    <t>TXN80332340</t>
  </si>
  <si>
    <t>TXN34453604</t>
  </si>
  <si>
    <t>TXN56969053</t>
  </si>
  <si>
    <t>TXN47108093</t>
  </si>
  <si>
    <t>TXN27614491</t>
  </si>
  <si>
    <t>TXN50869723</t>
  </si>
  <si>
    <t>TXN14179855</t>
  </si>
  <si>
    <t>TXN63159135</t>
  </si>
  <si>
    <t>TXN22937132</t>
  </si>
  <si>
    <t>TXN92067004</t>
  </si>
  <si>
    <t>TXN66231822</t>
  </si>
  <si>
    <t>TXN45465614</t>
  </si>
  <si>
    <t>TXN26470154</t>
  </si>
  <si>
    <t>TXN92626502</t>
  </si>
  <si>
    <t>TXN78158703</t>
  </si>
  <si>
    <t>TXN72768158</t>
  </si>
  <si>
    <t>TXN35125287</t>
  </si>
  <si>
    <t>TXN94085703</t>
  </si>
  <si>
    <t>TXN74296319</t>
  </si>
  <si>
    <t>TXN78742606</t>
  </si>
  <si>
    <t>TXN32318948</t>
  </si>
  <si>
    <t>TXN31260047</t>
  </si>
  <si>
    <t>TXN69683643</t>
  </si>
  <si>
    <t>TXN30534783</t>
  </si>
  <si>
    <t>TXN55761380</t>
  </si>
  <si>
    <t>TXN76913131</t>
  </si>
  <si>
    <t>TXN31467829</t>
  </si>
  <si>
    <t>TXN82041540</t>
  </si>
  <si>
    <t>TXN65229493</t>
  </si>
  <si>
    <t>TXN97221140</t>
  </si>
  <si>
    <t>TXN79030357</t>
  </si>
  <si>
    <t>TXN59765057</t>
  </si>
  <si>
    <t>TXN69554049</t>
  </si>
  <si>
    <t>TXN11911611</t>
  </si>
  <si>
    <t>TXN12138041</t>
  </si>
  <si>
    <t>TXN20476918</t>
  </si>
  <si>
    <t>TXN72185639</t>
  </si>
  <si>
    <t>TXN11786288</t>
  </si>
  <si>
    <t>TXN43596828</t>
  </si>
  <si>
    <t>TXN60962610</t>
  </si>
  <si>
    <t>TXN47776022</t>
  </si>
  <si>
    <t>TXN24451523</t>
  </si>
  <si>
    <t>TXN15626562</t>
  </si>
  <si>
    <t>TXN86274987</t>
  </si>
  <si>
    <t>TXN31229085</t>
  </si>
  <si>
    <t>TXN87378286</t>
  </si>
  <si>
    <t>TXN59183253</t>
  </si>
  <si>
    <t>TXN54368906</t>
  </si>
  <si>
    <t>TXN84463669</t>
  </si>
  <si>
    <t>TXN94659152</t>
  </si>
  <si>
    <t>TXN85962623</t>
  </si>
  <si>
    <t>TXN31390334</t>
  </si>
  <si>
    <t>TXN79730638</t>
  </si>
  <si>
    <t>TXN24533757</t>
  </si>
  <si>
    <t>TXN48919748</t>
  </si>
  <si>
    <t>TXN82594987</t>
  </si>
  <si>
    <t>TXN34438066</t>
  </si>
  <si>
    <t>TXN80316763</t>
  </si>
  <si>
    <t>TXN10550204</t>
  </si>
  <si>
    <t>TXN36047172</t>
  </si>
  <si>
    <t>TXN89594502</t>
  </si>
  <si>
    <t>TXN40636706</t>
  </si>
  <si>
    <t>TXN48802121</t>
  </si>
  <si>
    <t>TXN18308133</t>
  </si>
  <si>
    <t>TXN93222718</t>
  </si>
  <si>
    <t>TXN73369191</t>
  </si>
  <si>
    <t>TXN18892620</t>
  </si>
  <si>
    <t>TXN87868840</t>
  </si>
  <si>
    <t>TXN59651566</t>
  </si>
  <si>
    <t>TXN70906756</t>
  </si>
  <si>
    <t>TXN48024706</t>
  </si>
  <si>
    <t>TXN27873568</t>
  </si>
  <si>
    <t>TXN45518334</t>
  </si>
  <si>
    <t>TXN62908799</t>
  </si>
  <si>
    <t>TXN43942545</t>
  </si>
  <si>
    <t>TXN40889150</t>
  </si>
  <si>
    <t>TXN51348619</t>
  </si>
  <si>
    <t>TXN87406177</t>
  </si>
  <si>
    <t>TXN49992932</t>
  </si>
  <si>
    <t>TXN69871231</t>
  </si>
  <si>
    <t>TXN89864098</t>
  </si>
  <si>
    <t>TXN82936026</t>
  </si>
  <si>
    <t>TXN52035839</t>
  </si>
  <si>
    <t>TXN63914030</t>
  </si>
  <si>
    <t>TXN15849602</t>
  </si>
  <si>
    <t>TXN29899886</t>
  </si>
  <si>
    <t>TXN57912530</t>
  </si>
  <si>
    <t>TXN55231296</t>
  </si>
  <si>
    <t>TXN66843240</t>
  </si>
  <si>
    <t>TXN19596474</t>
  </si>
  <si>
    <t>TXN59544926</t>
  </si>
  <si>
    <t>TXN21852023</t>
  </si>
  <si>
    <t>TXN57669286</t>
  </si>
  <si>
    <t>TXN21920009</t>
  </si>
  <si>
    <t>TXN35717292</t>
  </si>
  <si>
    <t>Count of Transaction_ID</t>
  </si>
  <si>
    <t>Sum of Service_Charge</t>
  </si>
  <si>
    <t>Sum of Commission_Earned</t>
  </si>
  <si>
    <t>Sum of Net_Revenue</t>
  </si>
  <si>
    <t>Sum of Amount</t>
  </si>
  <si>
    <t>Apr</t>
  </si>
  <si>
    <t>May</t>
  </si>
  <si>
    <t>Jun</t>
  </si>
  <si>
    <t>Jan</t>
  </si>
  <si>
    <t>Feb</t>
  </si>
  <si>
    <t>Mar</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</si>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</sst>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TK&quot;\ #.000,,\ &quot;M&quot;"/>
    <numFmt numFmtId="165" formatCode="#.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NumberFormat="1"/>
    <xf numFmtId="164" fontId="0" fillId="0" borderId="0" xfId="0" applyNumberFormat="1"/>
    <xf numFmtId="0" fontId="0" fillId="0" borderId="0" xfId="0" pivotButton="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4">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0" formatCode="General"/>
    </dxf>
    <dxf>
      <numFmt numFmtId="27" formatCode="dd/mm/yyyy\ hh:mm"/>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font>
        <sz val="11"/>
        <color theme="1"/>
      </font>
      <fill>
        <patternFill>
          <f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43CB844F-1FDF-4A3A-A550-A07296A6D7F0}">
      <tableStyleElement type="wholeTable" dxfId="303"/>
      <tableStyleElement type="headerRow" dxfId="302"/>
    </tableStyle>
  </tableStyles>
  <colors>
    <mruColors>
      <color rgb="FFFCE8F1"/>
      <color rgb="FFE2136E"/>
      <color rgb="FFCC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theme="4" tint="0.59999389629810485"/>
              <bgColor rgb="FFE2136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[bkash_advanced_dummy_data.xlsx]Pivot Table!PivotTable6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1.4711614173228346E-2"/>
              <c:y val="-4.2777413240011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202209098862641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4771106736657918E-2"/>
              <c:y val="8.903032954214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schemeClr>
          </a:solidFill>
          <a:ln w="19050">
            <a:solidFill>
              <a:schemeClr val="lt1"/>
            </a:solidFill>
          </a:ln>
          <a:effectLst/>
        </c:spPr>
        <c:dLbl>
          <c:idx val="0"/>
          <c:layout>
            <c:manualLayout>
              <c:x val="3.3485345581802273E-2"/>
              <c:y val="-1.1435549722951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schemeClr>
          </a:solidFill>
          <a:ln w="19050">
            <a:solidFill>
              <a:schemeClr val="lt1"/>
            </a:solidFill>
          </a:ln>
          <a:effectLst/>
        </c:spPr>
        <c:dLbl>
          <c:idx val="0"/>
          <c:layout>
            <c:manualLayout>
              <c:x val="-1.1782589676290463E-3"/>
              <c:y val="-2.067074948964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schemeClr>
          </a:solidFill>
          <a:ln w="19050">
            <a:solidFill>
              <a:schemeClr val="lt1"/>
            </a:solidFill>
          </a:ln>
          <a:effectLst/>
        </c:spPr>
        <c:dLbl>
          <c:idx val="0"/>
          <c:layout>
            <c:manualLayout>
              <c:x val="1.171587926509186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3.0618219597550306E-2"/>
              <c:y val="-3.636920384951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9.6995844269466315E-3"/>
              <c:y val="1.8190799066783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4771106736657918E-2"/>
              <c:y val="8.903032954214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202209098862641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4711614173228346E-2"/>
              <c:y val="-4.2777413240011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9.6995844269466315E-3"/>
              <c:y val="1.8190799066783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0618219597550306E-2"/>
              <c:y val="-3.636920384951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171587926509186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1782589676290463E-3"/>
              <c:y val="-2.067074948964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3.3485345581802273E-2"/>
              <c:y val="-1.1435549722951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4771106736657918E-2"/>
              <c:y val="8.903032954214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9.202209098862641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1.4711614173228346E-2"/>
              <c:y val="-4.2777413240011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dLbl>
          <c:idx val="0"/>
          <c:layout>
            <c:manualLayout>
              <c:x val="9.6995844269466315E-3"/>
              <c:y val="1.8190799066783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0618219597550306E-2"/>
              <c:y val="-3.636920384951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1.171587926509186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1.1782589676290463E-3"/>
              <c:y val="-2.067074948964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3.3485345581802273E-2"/>
              <c:y val="-1.1435549722951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CE8F1"/>
          </a:solidFill>
          <a:ln w="19050">
            <a:noFill/>
          </a:ln>
          <a:effectLst>
            <a:outerShdw blurRad="50800" dist="38100" dir="2700000" algn="tl" rotWithShape="0">
              <a:prstClr val="black">
                <a:alpha val="40000"/>
              </a:prstClr>
            </a:outerShdw>
          </a:effectLst>
        </c:spPr>
        <c:dLbl>
          <c:idx val="0"/>
          <c:layout>
            <c:manualLayout>
              <c:x val="1.4771106736657918E-2"/>
              <c:y val="8.90303295421405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40000"/>
              <a:lumOff val="60000"/>
            </a:schemeClr>
          </a:solidFill>
          <a:ln w="19050">
            <a:noFill/>
          </a:ln>
          <a:effectLst>
            <a:outerShdw blurRad="50800" dist="38100" dir="2700000" algn="tl" rotWithShape="0">
              <a:prstClr val="black">
                <a:alpha val="40000"/>
              </a:prstClr>
            </a:outerShdw>
          </a:effectLst>
        </c:spPr>
        <c:dLbl>
          <c:idx val="0"/>
          <c:layout>
            <c:manualLayout>
              <c:x val="-9.202209098862641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w="19050">
            <a:noFill/>
          </a:ln>
          <a:effectLst>
            <a:outerShdw blurRad="50800" dist="38100" dir="2700000" algn="tl" rotWithShape="0">
              <a:prstClr val="black">
                <a:alpha val="40000"/>
              </a:prstClr>
            </a:outerShdw>
          </a:effectLst>
        </c:spPr>
        <c:dLbl>
          <c:idx val="0"/>
          <c:layout>
            <c:manualLayout>
              <c:x val="-1.4711614173228346E-2"/>
              <c:y val="-4.277741324001174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w="19050">
            <a:noFill/>
          </a:ln>
          <a:effectLst>
            <a:outerShdw blurRad="50800" dist="38100" dir="2700000" algn="tl" rotWithShape="0">
              <a:prstClr val="black">
                <a:alpha val="40000"/>
              </a:prstClr>
            </a:outerShdw>
          </a:effectLst>
        </c:spPr>
      </c:pivotFmt>
      <c:pivotFmt>
        <c:idx val="34"/>
        <c:spPr>
          <a:solidFill>
            <a:schemeClr val="accent5"/>
          </a:solidFill>
          <a:ln w="19050">
            <a:noFill/>
          </a:ln>
          <a:effectLst>
            <a:outerShdw blurRad="50800" dist="38100" dir="2700000" algn="tl" rotWithShape="0">
              <a:prstClr val="black">
                <a:alpha val="40000"/>
              </a:prstClr>
            </a:outerShdw>
          </a:effectLst>
        </c:spPr>
        <c:dLbl>
          <c:idx val="0"/>
          <c:layout>
            <c:manualLayout>
              <c:x val="9.6995844269466315E-3"/>
              <c:y val="1.819079906678331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2136E"/>
          </a:solidFill>
          <a:ln w="19050">
            <a:noFill/>
          </a:ln>
          <a:effectLst>
            <a:outerShdw blurRad="50800" dist="38100" dir="2700000" algn="tl" rotWithShape="0">
              <a:prstClr val="black">
                <a:alpha val="40000"/>
              </a:prstClr>
            </a:outerShdw>
          </a:effectLst>
        </c:spPr>
        <c:dLbl>
          <c:idx val="0"/>
          <c:layout>
            <c:manualLayout>
              <c:x val="-3.0618219597550306E-2"/>
              <c:y val="-3.636920384951881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2">
              <a:lumMod val="90000"/>
            </a:schemeClr>
          </a:solidFill>
          <a:ln w="19050">
            <a:noFill/>
          </a:ln>
          <a:effectLst>
            <a:outerShdw blurRad="50800" dist="38100" dir="2700000" algn="tl" rotWithShape="0">
              <a:prstClr val="black">
                <a:alpha val="40000"/>
              </a:prstClr>
            </a:outerShdw>
          </a:effectLst>
        </c:spPr>
        <c:dLbl>
          <c:idx val="0"/>
          <c:layout>
            <c:manualLayout>
              <c:x val="1.1715879265091864E-3"/>
              <c:y val="-2.135498687664041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40000"/>
              <a:lumOff val="60000"/>
            </a:schemeClr>
          </a:solidFill>
          <a:ln w="19050">
            <a:noFill/>
          </a:ln>
          <a:effectLst>
            <a:outerShdw blurRad="50800" dist="38100" dir="2700000" algn="tl" rotWithShape="0">
              <a:prstClr val="black">
                <a:alpha val="40000"/>
              </a:prstClr>
            </a:outerShdw>
          </a:effectLst>
        </c:spPr>
        <c:dLbl>
          <c:idx val="0"/>
          <c:layout>
            <c:manualLayout>
              <c:x val="-1.1782589676290463E-3"/>
              <c:y val="-2.06707494896471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lumMod val="60000"/>
            </a:schemeClr>
          </a:solidFill>
          <a:ln w="19050">
            <a:noFill/>
          </a:ln>
          <a:effectLst>
            <a:outerShdw blurRad="50800" dist="38100" dir="2700000" algn="tl" rotWithShape="0">
              <a:prstClr val="black">
                <a:alpha val="40000"/>
              </a:prstClr>
            </a:outerShdw>
          </a:effectLst>
        </c:spPr>
        <c:dLbl>
          <c:idx val="0"/>
          <c:layout>
            <c:manualLayout>
              <c:x val="3.3485345581802273E-2"/>
              <c:y val="-1.14355497229512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48350781747238"/>
          <c:y val="0.26024171065361273"/>
          <c:w val="0.4303625954663452"/>
          <c:h val="0.73975828934638721"/>
        </c:manualLayout>
      </c:layout>
      <c:pieChart>
        <c:varyColors val="1"/>
        <c:ser>
          <c:idx val="0"/>
          <c:order val="0"/>
          <c:tx>
            <c:strRef>
              <c:f>'Pivot Table'!$R$3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FCE8F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E59-459C-8FA8-E4EAEB67A34A}"/>
              </c:ext>
            </c:extLst>
          </c:dPt>
          <c:dPt>
            <c:idx val="1"/>
            <c:bubble3D val="0"/>
            <c:spPr>
              <a:solidFill>
                <a:schemeClr val="accent6">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E59-459C-8FA8-E4EAEB67A34A}"/>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E59-459C-8FA8-E4EAEB67A34A}"/>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E59-459C-8FA8-E4EAEB67A34A}"/>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7E59-459C-8FA8-E4EAEB67A34A}"/>
              </c:ext>
            </c:extLst>
          </c:dPt>
          <c:dPt>
            <c:idx val="5"/>
            <c:bubble3D val="0"/>
            <c:spPr>
              <a:solidFill>
                <a:srgbClr val="E2136E"/>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7E59-459C-8FA8-E4EAEB67A34A}"/>
              </c:ext>
            </c:extLst>
          </c:dPt>
          <c:dPt>
            <c:idx val="6"/>
            <c:bubble3D val="0"/>
            <c:spPr>
              <a:solidFill>
                <a:schemeClr val="bg2">
                  <a:lumMod val="9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7E59-459C-8FA8-E4EAEB67A34A}"/>
              </c:ext>
            </c:extLst>
          </c:dPt>
          <c:dPt>
            <c:idx val="7"/>
            <c:bubble3D val="0"/>
            <c:spPr>
              <a:solidFill>
                <a:schemeClr val="accent2">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7E59-459C-8FA8-E4EAEB67A34A}"/>
              </c:ext>
            </c:extLst>
          </c:dPt>
          <c:dPt>
            <c:idx val="8"/>
            <c:bubble3D val="0"/>
            <c:spPr>
              <a:solidFill>
                <a:schemeClr val="accent3">
                  <a:lumMod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1-7E59-459C-8FA8-E4EAEB67A34A}"/>
              </c:ext>
            </c:extLst>
          </c:dPt>
          <c:dLbls>
            <c:dLbl>
              <c:idx val="0"/>
              <c:layout>
                <c:manualLayout>
                  <c:x val="1.4771106736657918E-2"/>
                  <c:y val="8.9030329542140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59-459C-8FA8-E4EAEB67A34A}"/>
                </c:ext>
              </c:extLst>
            </c:dLbl>
            <c:dLbl>
              <c:idx val="1"/>
              <c:layout>
                <c:manualLayout>
                  <c:x val="-9.2022090988626414E-3"/>
                  <c:y val="2.13549868766404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59-459C-8FA8-E4EAEB67A34A}"/>
                </c:ext>
              </c:extLst>
            </c:dLbl>
            <c:dLbl>
              <c:idx val="2"/>
              <c:layout>
                <c:manualLayout>
                  <c:x val="-1.4711614173228346E-2"/>
                  <c:y val="-4.27774132400117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59-459C-8FA8-E4EAEB67A34A}"/>
                </c:ext>
              </c:extLst>
            </c:dLbl>
            <c:dLbl>
              <c:idx val="4"/>
              <c:layout>
                <c:manualLayout>
                  <c:x val="9.6995844269466315E-3"/>
                  <c:y val="1.81907990667833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59-459C-8FA8-E4EAEB67A34A}"/>
                </c:ext>
              </c:extLst>
            </c:dLbl>
            <c:dLbl>
              <c:idx val="5"/>
              <c:layout>
                <c:manualLayout>
                  <c:x val="-3.0618219597550306E-2"/>
                  <c:y val="-3.63692038495188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59-459C-8FA8-E4EAEB67A34A}"/>
                </c:ext>
              </c:extLst>
            </c:dLbl>
            <c:dLbl>
              <c:idx val="6"/>
              <c:layout>
                <c:manualLayout>
                  <c:x val="1.1715879265091864E-3"/>
                  <c:y val="-2.13549868766404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E59-459C-8FA8-E4EAEB67A34A}"/>
                </c:ext>
              </c:extLst>
            </c:dLbl>
            <c:dLbl>
              <c:idx val="7"/>
              <c:layout>
                <c:manualLayout>
                  <c:x val="-1.1782589676290463E-3"/>
                  <c:y val="-2.06707494896471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E59-459C-8FA8-E4EAEB67A34A}"/>
                </c:ext>
              </c:extLst>
            </c:dLbl>
            <c:dLbl>
              <c:idx val="8"/>
              <c:layout>
                <c:manualLayout>
                  <c:x val="3.3485345581802273E-2"/>
                  <c:y val="-1.14355497229512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E59-459C-8FA8-E4EAEB67A34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Table'!$Q$4:$Q$12</c:f>
              <c:strCache>
                <c:ptCount val="9"/>
                <c:pt idx="0">
                  <c:v>1 Years</c:v>
                </c:pt>
                <c:pt idx="1">
                  <c:v>2 Years</c:v>
                </c:pt>
                <c:pt idx="2">
                  <c:v>3 Years</c:v>
                </c:pt>
                <c:pt idx="3">
                  <c:v>4 Years</c:v>
                </c:pt>
                <c:pt idx="4">
                  <c:v>5 Years</c:v>
                </c:pt>
                <c:pt idx="5">
                  <c:v>6 Years</c:v>
                </c:pt>
                <c:pt idx="6">
                  <c:v>7 Years</c:v>
                </c:pt>
                <c:pt idx="7">
                  <c:v>8 Years</c:v>
                </c:pt>
                <c:pt idx="8">
                  <c:v>9 Years</c:v>
                </c:pt>
              </c:strCache>
            </c:strRef>
          </c:cat>
          <c:val>
            <c:numRef>
              <c:f>'Pivot Table'!$R$4:$R$12</c:f>
              <c:numCache>
                <c:formatCode>#.00,"K"</c:formatCode>
                <c:ptCount val="9"/>
                <c:pt idx="0">
                  <c:v>324416.04000000004</c:v>
                </c:pt>
                <c:pt idx="1">
                  <c:v>153409.89000000001</c:v>
                </c:pt>
                <c:pt idx="2">
                  <c:v>180882.14999999988</c:v>
                </c:pt>
                <c:pt idx="3">
                  <c:v>129559.03999999996</c:v>
                </c:pt>
                <c:pt idx="4">
                  <c:v>142658.50999999998</c:v>
                </c:pt>
                <c:pt idx="5">
                  <c:v>150548.89000000004</c:v>
                </c:pt>
                <c:pt idx="6">
                  <c:v>177903.78000000009</c:v>
                </c:pt>
                <c:pt idx="7">
                  <c:v>166820.19000000003</c:v>
                </c:pt>
                <c:pt idx="8">
                  <c:v>171289.36</c:v>
                </c:pt>
              </c:numCache>
            </c:numRef>
          </c:val>
          <c:extLst>
            <c:ext xmlns:c16="http://schemas.microsoft.com/office/drawing/2014/chart" uri="{C3380CC4-5D6E-409C-BE32-E72D297353CC}">
              <c16:uniqueId val="{00000013-18D5-43A5-8B3B-3845F7FB2AEE}"/>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[bkash_advanced_dummy_data.xlsx]Pivot Table!PivotTable5</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CE8F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noFill/>
          </a:ln>
          <a:effectLst>
            <a:outerShdw blurRad="50800" dist="38100" dir="2700000" algn="tl" rotWithShape="0">
              <a:prstClr val="black">
                <a:alpha val="40000"/>
              </a:prstClr>
            </a:outerShdw>
          </a:effectLst>
        </c:spPr>
        <c:dLbl>
          <c:idx val="0"/>
          <c:layout>
            <c:manualLayout>
              <c:x val="1.424538574289266E-2"/>
              <c:y val="-2.32624165437910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noFill/>
          </a:ln>
          <a:effectLst>
            <a:outerShdw blurRad="50800" dist="38100" dir="2700000" algn="tl" rotWithShape="0">
              <a:prstClr val="black">
                <a:alpha val="40000"/>
              </a:prstClr>
            </a:outerShdw>
          </a:effectLst>
        </c:spPr>
        <c:dLbl>
          <c:idx val="0"/>
          <c:layout>
            <c:manualLayout>
              <c:x val="7.4788275150186462E-2"/>
              <c:y val="-1.744681240784333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CE8F1"/>
          </a:solidFill>
          <a:ln w="19050">
            <a:noFill/>
          </a:ln>
          <a:effectLst>
            <a:outerShdw blurRad="50800" dist="38100" dir="2700000" algn="tl" rotWithShape="0">
              <a:prstClr val="black">
                <a:alpha val="40000"/>
              </a:prstClr>
            </a:outerShdw>
          </a:effectLst>
        </c:spPr>
      </c:pivotFmt>
      <c:pivotFmt>
        <c:idx val="9"/>
        <c:spPr>
          <a:solidFill>
            <a:schemeClr val="accent1"/>
          </a:solidFill>
          <a:ln w="19050">
            <a:noFill/>
          </a:ln>
          <a:effectLst/>
        </c:spPr>
      </c:pivotFmt>
    </c:pivotFmts>
    <c:plotArea>
      <c:layout>
        <c:manualLayout>
          <c:layoutTarget val="inner"/>
          <c:xMode val="edge"/>
          <c:yMode val="edge"/>
          <c:x val="1.0314225791975379E-2"/>
          <c:y val="0.22501442452994344"/>
          <c:w val="0.6225194845634634"/>
          <c:h val="0.77498557547005653"/>
        </c:manualLayout>
      </c:layout>
      <c:doughnutChart>
        <c:varyColors val="1"/>
        <c:ser>
          <c:idx val="0"/>
          <c:order val="0"/>
          <c:tx>
            <c:strRef>
              <c:f>'Pivot Table'!$O$3</c:f>
              <c:strCache>
                <c:ptCount val="1"/>
                <c:pt idx="0">
                  <c:v>Total</c:v>
                </c:pt>
              </c:strCache>
            </c:strRef>
          </c:tx>
          <c:spPr>
            <a:solidFill>
              <a:srgbClr val="FCE8F1"/>
            </a:solidFill>
            <a:ln>
              <a:noFill/>
            </a:ln>
            <a:effectLst>
              <a:outerShdw blurRad="50800" dist="38100" dir="2700000" algn="tl" rotWithShape="0">
                <a:prstClr val="black">
                  <a:alpha val="40000"/>
                </a:prstClr>
              </a:outerShdw>
            </a:effectLst>
          </c:spPr>
          <c:dPt>
            <c:idx val="0"/>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50C2-494E-9D90-18EAD9B69F89}"/>
              </c:ext>
            </c:extLst>
          </c:dPt>
          <c:dPt>
            <c:idx val="1"/>
            <c:bubble3D val="0"/>
            <c:spPr>
              <a:solidFill>
                <a:srgbClr val="FFC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CCC-4B4A-AB23-DBF005CA2A33}"/>
              </c:ext>
            </c:extLst>
          </c:dPt>
          <c:dPt>
            <c:idx val="2"/>
            <c:bubble3D val="0"/>
            <c:spPr>
              <a:solidFill>
                <a:srgbClr val="FCE8F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CCC-4B4A-AB23-DBF005CA2A33}"/>
              </c:ext>
            </c:extLst>
          </c:dPt>
          <c:dLbls>
            <c:dLbl>
              <c:idx val="0"/>
              <c:layout>
                <c:manualLayout>
                  <c:x val="1.424538574289266E-2"/>
                  <c:y val="-2.3262416543791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0C2-494E-9D90-18EAD9B69F89}"/>
                </c:ext>
              </c:extLst>
            </c:dLbl>
            <c:dLbl>
              <c:idx val="1"/>
              <c:layout>
                <c:manualLayout>
                  <c:x val="7.4788275150186462E-2"/>
                  <c:y val="-1.7446812407843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CC-4B4A-AB23-DBF005CA2A3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Table'!$N$4:$N$6</c:f>
              <c:strCache>
                <c:ptCount val="3"/>
                <c:pt idx="0">
                  <c:v>Agent</c:v>
                </c:pt>
                <c:pt idx="1">
                  <c:v>Merchant</c:v>
                </c:pt>
                <c:pt idx="2">
                  <c:v>Personal</c:v>
                </c:pt>
              </c:strCache>
            </c:strRef>
          </c:cat>
          <c:val>
            <c:numRef>
              <c:f>'Pivot Table'!$O$4:$O$6</c:f>
              <c:numCache>
                <c:formatCode>#.00,"K"</c:formatCode>
                <c:ptCount val="3"/>
                <c:pt idx="0">
                  <c:v>254259.53000000003</c:v>
                </c:pt>
                <c:pt idx="1">
                  <c:v>76261.26999999999</c:v>
                </c:pt>
                <c:pt idx="2">
                  <c:v>1266967.0500000017</c:v>
                </c:pt>
              </c:numCache>
            </c:numRef>
          </c:val>
          <c:extLst>
            <c:ext xmlns:c16="http://schemas.microsoft.com/office/drawing/2014/chart" uri="{C3380CC4-5D6E-409C-BE32-E72D297353CC}">
              <c16:uniqueId val="{00000007-50C2-494E-9D90-18EAD9B69F89}"/>
            </c:ext>
          </c:extLst>
        </c:ser>
        <c:dLbls>
          <c:showLegendKey val="0"/>
          <c:showVal val="0"/>
          <c:showCatName val="0"/>
          <c:showSerName val="0"/>
          <c:showPercent val="0"/>
          <c:showBubbleSize val="0"/>
          <c:showLeaderLines val="1"/>
        </c:dLbls>
        <c:firstSliceAng val="0"/>
        <c:holeSize val="61"/>
      </c:doughnutChart>
      <c:spPr>
        <a:noFill/>
        <a:ln w="111125">
          <a:solidFill>
            <a:schemeClr val="lt1"/>
          </a:solidFill>
        </a:ln>
        <a:effectLst/>
      </c:spPr>
    </c:plotArea>
    <c:legend>
      <c:legendPos val="r"/>
      <c:layout>
        <c:manualLayout>
          <c:xMode val="edge"/>
          <c:yMode val="edge"/>
          <c:x val="0.70962386320966397"/>
          <c:y val="0.41280898258982129"/>
          <c:w val="0.27655826136332412"/>
          <c:h val="0.446008755460714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[bkash_advanced_dummy_data.xlsx]Pivot Table!PivotTable7</c:name>
    <c:fmtId val="1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rgbClr val="E2136E"/>
          </a:solidFill>
          <a:ln>
            <a:noFill/>
          </a:ln>
          <a:effectLst/>
        </c:spPr>
        <c:marker>
          <c:symbol val="none"/>
        </c:marker>
        <c:dLbl>
          <c:idx val="0"/>
          <c:delete val="1"/>
          <c:extLst>
            <c:ext xmlns:c15="http://schemas.microsoft.com/office/drawing/2012/chart" uri="{CE6537A1-D6FC-4f65-9D91-7224C49458BB}"/>
          </c:extLst>
        </c:dLbl>
      </c:pivotFmt>
      <c:pivotFmt>
        <c:idx val="7"/>
        <c:spPr>
          <a:ln w="50800" cap="rnd">
            <a:solidFill>
              <a:srgbClr val="FFC000"/>
            </a:solidFill>
            <a:round/>
          </a:ln>
          <a:effectLst/>
        </c:spPr>
        <c:marker>
          <c:symbol val="square"/>
          <c:size val="8"/>
          <c:spPr>
            <a:solidFill>
              <a:srgbClr val="FCE8F1"/>
            </a:solidFill>
            <a:ln w="50800">
              <a:noFill/>
            </a:ln>
          </c:spPr>
        </c:marker>
        <c:dLbl>
          <c:idx val="0"/>
          <c:delete val="1"/>
          <c:extLst>
            <c:ext xmlns:c15="http://schemas.microsoft.com/office/drawing/2012/chart" uri="{CE6537A1-D6FC-4f65-9D91-7224C49458BB}"/>
          </c:extLst>
        </c:dLbl>
      </c:pivotFmt>
    </c:pivotFmts>
    <c:plotArea>
      <c:layout>
        <c:manualLayout>
          <c:layoutTarget val="inner"/>
          <c:xMode val="edge"/>
          <c:yMode val="edge"/>
          <c:x val="0.12363684474755915"/>
          <c:y val="0.28945704226258678"/>
          <c:w val="0.73861582990939789"/>
          <c:h val="0.57418038194667942"/>
        </c:manualLayout>
      </c:layout>
      <c:barChart>
        <c:barDir val="col"/>
        <c:grouping val="clustered"/>
        <c:varyColors val="0"/>
        <c:ser>
          <c:idx val="0"/>
          <c:order val="0"/>
          <c:tx>
            <c:strRef>
              <c:f>'Pivot Table'!$U$3</c:f>
              <c:strCache>
                <c:ptCount val="1"/>
                <c:pt idx="0">
                  <c:v>Sum of Amount</c:v>
                </c:pt>
              </c:strCache>
            </c:strRef>
          </c:tx>
          <c:spPr>
            <a:solidFill>
              <a:srgbClr val="E2136E"/>
            </a:solidFill>
            <a:ln>
              <a:noFill/>
            </a:ln>
            <a:effectLst/>
          </c:spPr>
          <c:invertIfNegative val="0"/>
          <c:cat>
            <c:strRef>
              <c:f>'Pivot Table'!$T$4:$T$15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Table'!$U$4:$U$15</c:f>
              <c:numCache>
                <c:formatCode>#.00,"K"</c:formatCode>
                <c:ptCount val="12"/>
                <c:pt idx="0">
                  <c:v>22312838</c:v>
                </c:pt>
                <c:pt idx="1">
                  <c:v>20462893</c:v>
                </c:pt>
                <c:pt idx="2">
                  <c:v>24441928</c:v>
                </c:pt>
                <c:pt idx="3">
                  <c:v>24314276</c:v>
                </c:pt>
                <c:pt idx="4">
                  <c:v>22382404</c:v>
                </c:pt>
                <c:pt idx="5">
                  <c:v>21735629</c:v>
                </c:pt>
                <c:pt idx="6">
                  <c:v>20863329</c:v>
                </c:pt>
                <c:pt idx="7">
                  <c:v>23504548</c:v>
                </c:pt>
                <c:pt idx="8">
                  <c:v>21764621</c:v>
                </c:pt>
                <c:pt idx="9">
                  <c:v>22480377</c:v>
                </c:pt>
                <c:pt idx="10">
                  <c:v>23326144</c:v>
                </c:pt>
                <c:pt idx="11">
                  <c:v>20159794</c:v>
                </c:pt>
              </c:numCache>
            </c:numRef>
          </c:val>
          <c:extLst>
            <c:ext xmlns:c16="http://schemas.microsoft.com/office/drawing/2014/chart" uri="{C3380CC4-5D6E-409C-BE32-E72D297353CC}">
              <c16:uniqueId val="{00000004-84E5-45CC-8E80-A763B7FEDB7E}"/>
            </c:ext>
          </c:extLst>
        </c:ser>
        <c:dLbls>
          <c:showLegendKey val="0"/>
          <c:showVal val="0"/>
          <c:showCatName val="0"/>
          <c:showSerName val="0"/>
          <c:showPercent val="0"/>
          <c:showBubbleSize val="0"/>
        </c:dLbls>
        <c:gapWidth val="66"/>
        <c:overlap val="-27"/>
        <c:axId val="776707680"/>
        <c:axId val="776709760"/>
      </c:barChart>
      <c:lineChart>
        <c:grouping val="standard"/>
        <c:varyColors val="0"/>
        <c:ser>
          <c:idx val="1"/>
          <c:order val="1"/>
          <c:tx>
            <c:strRef>
              <c:f>'Pivot Table'!$V$3</c:f>
              <c:strCache>
                <c:ptCount val="1"/>
                <c:pt idx="0">
                  <c:v>Sum of Net_Revenue</c:v>
                </c:pt>
              </c:strCache>
            </c:strRef>
          </c:tx>
          <c:spPr>
            <a:ln w="50800" cap="rnd">
              <a:solidFill>
                <a:srgbClr val="FFC000"/>
              </a:solidFill>
              <a:round/>
            </a:ln>
            <a:effectLst/>
          </c:spPr>
          <c:marker>
            <c:symbol val="square"/>
            <c:size val="8"/>
            <c:spPr>
              <a:solidFill>
                <a:srgbClr val="FCE8F1"/>
              </a:solidFill>
              <a:ln w="50800">
                <a:noFill/>
              </a:ln>
            </c:spPr>
          </c:marker>
          <c:cat>
            <c:strRef>
              <c:f>'Pivot Table'!$T$4:$T$15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Table'!$V$4:$V$15</c:f>
              <c:numCache>
                <c:formatCode>#.00,"K"</c:formatCode>
                <c:ptCount val="12"/>
                <c:pt idx="0">
                  <c:v>129404.54000000005</c:v>
                </c:pt>
                <c:pt idx="1">
                  <c:v>115459.90999999996</c:v>
                </c:pt>
                <c:pt idx="2">
                  <c:v>138368.52000000002</c:v>
                </c:pt>
                <c:pt idx="3">
                  <c:v>143141.20000000004</c:v>
                </c:pt>
                <c:pt idx="4">
                  <c:v>145626.70000000004</c:v>
                </c:pt>
                <c:pt idx="5">
                  <c:v>139225.69</c:v>
                </c:pt>
                <c:pt idx="6">
                  <c:v>126700.58999999994</c:v>
                </c:pt>
                <c:pt idx="7">
                  <c:v>143284.80000000002</c:v>
                </c:pt>
                <c:pt idx="8">
                  <c:v>114819.07999999999</c:v>
                </c:pt>
                <c:pt idx="9">
                  <c:v>131772.79999999999</c:v>
                </c:pt>
                <c:pt idx="10">
                  <c:v>139920.76</c:v>
                </c:pt>
                <c:pt idx="11">
                  <c:v>129763.26000000004</c:v>
                </c:pt>
              </c:numCache>
            </c:numRef>
          </c:val>
          <c:smooth val="0"/>
          <c:extLst>
            <c:ext xmlns:c16="http://schemas.microsoft.com/office/drawing/2014/chart" uri="{C3380CC4-5D6E-409C-BE32-E72D297353CC}">
              <c16:uniqueId val="{00000006-84E5-45CC-8E80-A763B7FEDB7E}"/>
            </c:ext>
          </c:extLst>
        </c:ser>
        <c:dLbls>
          <c:showLegendKey val="0"/>
          <c:showVal val="0"/>
          <c:showCatName val="0"/>
          <c:showSerName val="0"/>
          <c:showPercent val="0"/>
          <c:showBubbleSize val="0"/>
        </c:dLbls>
        <c:marker val="1"/>
        <c:smooth val="0"/>
        <c:axId val="757714720"/>
        <c:axId val="776706432"/>
      </c:lineChart>
      <c:catAx>
        <c:axId val="77670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776709760"/>
        <c:crosses val="autoZero"/>
        <c:auto val="1"/>
        <c:lblAlgn val="ctr"/>
        <c:lblOffset val="100"/>
        <c:noMultiLvlLbl val="0"/>
      </c:catAx>
      <c:valAx>
        <c:axId val="7767097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776707680"/>
        <c:crosses val="autoZero"/>
        <c:crossBetween val="between"/>
      </c:valAx>
      <c:valAx>
        <c:axId val="776706432"/>
        <c:scaling>
          <c:orientation val="minMax"/>
        </c:scaling>
        <c:delete val="0"/>
        <c:axPos val="r"/>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757714720"/>
        <c:crosses val="max"/>
        <c:crossBetween val="between"/>
      </c:valAx>
      <c:catAx>
        <c:axId val="757714720"/>
        <c:scaling>
          <c:orientation val="minMax"/>
        </c:scaling>
        <c:delete val="1"/>
        <c:axPos val="b"/>
        <c:numFmt formatCode="General" sourceLinked="1"/>
        <c:majorTickMark val="out"/>
        <c:minorTickMark val="none"/>
        <c:tickLblPos val="nextTo"/>
        <c:crossAx val="776706432"/>
        <c:crosses val="autoZero"/>
        <c:auto val="1"/>
        <c:lblAlgn val="ctr"/>
        <c:lblOffset val="100"/>
        <c:noMultiLvlLbl val="0"/>
      </c:catAx>
    </c:plotArea>
    <c:legend>
      <c:legendPos val="r"/>
      <c:layout>
        <c:manualLayout>
          <c:xMode val="edge"/>
          <c:yMode val="edge"/>
          <c:x val="0.74623083154962444"/>
          <c:y val="1.949599966529782E-2"/>
          <c:w val="0.24686390468198632"/>
          <c:h val="0.20349731594598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[bkash_advanced_dummy_data.xlsx]Pivot Table!PivotTable3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E8F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E8F1"/>
          </a:solidFill>
          <a:ln>
            <a:noFill/>
          </a:ln>
          <a:effectLst>
            <a:outerShdw blurRad="50800" dist="38100" dir="2700000" algn="tl" rotWithShape="0">
              <a:prstClr val="black">
                <a:alpha val="40000"/>
              </a:prstClr>
            </a:outerShdw>
          </a:effectLst>
        </c:spPr>
        <c:dLbl>
          <c:idx val="0"/>
          <c:layout>
            <c:manualLayout>
              <c:x val="-6.8333385283775583E-2"/>
              <c:y val="-5.2063476446401269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88412082782288"/>
                  <c:h val="0.15546154066895418"/>
                </c:manualLayout>
              </c15:layout>
            </c:ext>
          </c:extLst>
        </c:dLbl>
      </c:pivotFmt>
      <c:pivotFmt>
        <c:idx val="4"/>
        <c:spPr>
          <a:solidFill>
            <a:srgbClr val="FCE8F1"/>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61129788532016"/>
                  <c:h val="0.15546154066895418"/>
                </c:manualLayout>
              </c15:layout>
            </c:ext>
          </c:extLst>
        </c:dLbl>
      </c:pivotFmt>
    </c:pivotFmts>
    <c:plotArea>
      <c:layout>
        <c:manualLayout>
          <c:layoutTarget val="inner"/>
          <c:xMode val="edge"/>
          <c:yMode val="edge"/>
          <c:x val="0.33803559050583404"/>
          <c:y val="0.26599230116466405"/>
          <c:w val="0.61483793688466559"/>
          <c:h val="0.71318230825677531"/>
        </c:manualLayout>
      </c:layout>
      <c:barChart>
        <c:barDir val="bar"/>
        <c:grouping val="clustered"/>
        <c:varyColors val="0"/>
        <c:ser>
          <c:idx val="0"/>
          <c:order val="0"/>
          <c:tx>
            <c:strRef>
              <c:f>'Pivot Table'!$H$3</c:f>
              <c:strCache>
                <c:ptCount val="1"/>
                <c:pt idx="0">
                  <c:v>Total</c:v>
                </c:pt>
              </c:strCache>
            </c:strRef>
          </c:tx>
          <c:spPr>
            <a:solidFill>
              <a:srgbClr val="FCE8F1"/>
            </a:solidFill>
            <a:ln>
              <a:noFill/>
            </a:ln>
            <a:effectLst>
              <a:outerShdw blurRad="50800" dist="38100" dir="2700000" algn="tl" rotWithShape="0">
                <a:prstClr val="black">
                  <a:alpha val="40000"/>
                </a:prstClr>
              </a:outerShdw>
            </a:effectLst>
          </c:spPr>
          <c:invertIfNegative val="0"/>
          <c:dPt>
            <c:idx val="3"/>
            <c:invertIfNegative val="0"/>
            <c:bubble3D val="0"/>
            <c:spPr>
              <a:solidFill>
                <a:srgbClr val="FCE8F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AC6-4B80-9274-7B075D3B3422}"/>
              </c:ext>
            </c:extLst>
          </c:dPt>
          <c:dPt>
            <c:idx val="4"/>
            <c:invertIfNegative val="0"/>
            <c:bubble3D val="0"/>
            <c:spPr>
              <a:solidFill>
                <a:srgbClr val="FCE8F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AC6-4B80-9274-7B075D3B3422}"/>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361129788532016"/>
                      <c:h val="0.15546154066895418"/>
                    </c:manualLayout>
                  </c15:layout>
                </c:ext>
                <c:ext xmlns:c16="http://schemas.microsoft.com/office/drawing/2014/chart" uri="{C3380CC4-5D6E-409C-BE32-E72D297353CC}">
                  <c16:uniqueId val="{00000001-1AC6-4B80-9274-7B075D3B3422}"/>
                </c:ext>
              </c:extLst>
            </c:dLbl>
            <c:dLbl>
              <c:idx val="4"/>
              <c:layout>
                <c:manualLayout>
                  <c:x val="-6.8333385283775583E-2"/>
                  <c:y val="-5.2063476446401269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88412082782288"/>
                      <c:h val="0.15546154066895418"/>
                    </c:manualLayout>
                  </c15:layout>
                </c:ext>
                <c:ext xmlns:c16="http://schemas.microsoft.com/office/drawing/2014/chart" uri="{C3380CC4-5D6E-409C-BE32-E72D297353CC}">
                  <c16:uniqueId val="{00000003-1AC6-4B80-9274-7B075D3B34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5"/>
                <c:pt idx="0">
                  <c:v>Mobile Recharge</c:v>
                </c:pt>
                <c:pt idx="1">
                  <c:v>Cash In</c:v>
                </c:pt>
                <c:pt idx="2">
                  <c:v>Send Money</c:v>
                </c:pt>
                <c:pt idx="3">
                  <c:v>Payment</c:v>
                </c:pt>
                <c:pt idx="4">
                  <c:v>Cash Out</c:v>
                </c:pt>
              </c:strCache>
            </c:strRef>
          </c:cat>
          <c:val>
            <c:numRef>
              <c:f>'Pivot Table'!$H$4:$H$8</c:f>
              <c:numCache>
                <c:formatCode>#.00,"K"</c:formatCode>
                <c:ptCount val="5"/>
                <c:pt idx="0">
                  <c:v>0</c:v>
                </c:pt>
                <c:pt idx="1">
                  <c:v>0</c:v>
                </c:pt>
                <c:pt idx="2">
                  <c:v>3955</c:v>
                </c:pt>
                <c:pt idx="3">
                  <c:v>572865.64999999944</c:v>
                </c:pt>
                <c:pt idx="4">
                  <c:v>1020667.1999999997</c:v>
                </c:pt>
              </c:numCache>
            </c:numRef>
          </c:val>
          <c:extLst>
            <c:ext xmlns:c16="http://schemas.microsoft.com/office/drawing/2014/chart" uri="{C3380CC4-5D6E-409C-BE32-E72D297353CC}">
              <c16:uniqueId val="{00000001-795B-41C9-A7FD-3BE90A48ED68}"/>
            </c:ext>
          </c:extLst>
        </c:ser>
        <c:dLbls>
          <c:dLblPos val="outEnd"/>
          <c:showLegendKey val="0"/>
          <c:showVal val="1"/>
          <c:showCatName val="0"/>
          <c:showSerName val="0"/>
          <c:showPercent val="0"/>
          <c:showBubbleSize val="0"/>
        </c:dLbls>
        <c:gapWidth val="55"/>
        <c:axId val="1290919455"/>
        <c:axId val="1290919871"/>
      </c:barChart>
      <c:catAx>
        <c:axId val="12909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290919871"/>
        <c:crosses val="autoZero"/>
        <c:auto val="1"/>
        <c:lblAlgn val="ctr"/>
        <c:lblOffset val="100"/>
        <c:noMultiLvlLbl val="0"/>
      </c:catAx>
      <c:valAx>
        <c:axId val="1290919871"/>
        <c:scaling>
          <c:orientation val="minMax"/>
        </c:scaling>
        <c:delete val="1"/>
        <c:axPos val="b"/>
        <c:numFmt formatCode="#.00,&quot;K&quot;" sourceLinked="1"/>
        <c:majorTickMark val="none"/>
        <c:minorTickMark val="none"/>
        <c:tickLblPos val="nextTo"/>
        <c:crossAx val="129091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[bkash_advanced_dummy_data.xlsx]Pivot Table!PivotTable11</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rgbClr val="E2136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FCE8F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1264664868295"/>
          <c:y val="7.8605691457187474E-2"/>
          <c:w val="0.50604399551329726"/>
          <c:h val="0.75562013813670192"/>
        </c:manualLayout>
      </c:layout>
      <c:areaChart>
        <c:grouping val="standard"/>
        <c:varyColors val="0"/>
        <c:ser>
          <c:idx val="0"/>
          <c:order val="0"/>
          <c:tx>
            <c:strRef>
              <c:f>'Pivot Table'!$Y$3:$Y$5</c:f>
              <c:strCache>
                <c:ptCount val="1"/>
                <c:pt idx="0">
                  <c:v>Electronics - Payment</c:v>
                </c:pt>
              </c:strCache>
            </c:strRef>
          </c:tx>
          <c:spPr>
            <a:solidFill>
              <a:schemeClr val="accent1"/>
            </a:solidFill>
            <a:ln w="25400">
              <a:noFill/>
            </a:ln>
            <a:effectLst/>
          </c:spPr>
          <c:cat>
            <c:strRef>
              <c:f>'Pivot Table'!$X$6:$X$8</c:f>
              <c:strCache>
                <c:ptCount val="3"/>
                <c:pt idx="0">
                  <c:v>Agent</c:v>
                </c:pt>
                <c:pt idx="1">
                  <c:v>Merchant</c:v>
                </c:pt>
                <c:pt idx="2">
                  <c:v>Personal</c:v>
                </c:pt>
              </c:strCache>
            </c:strRef>
          </c:cat>
          <c:val>
            <c:numRef>
              <c:f>'Pivot Table'!$Y$6:$Y$8</c:f>
              <c:numCache>
                <c:formatCode>#.00,"K"</c:formatCode>
                <c:ptCount val="3"/>
                <c:pt idx="0">
                  <c:v>13604.52</c:v>
                </c:pt>
                <c:pt idx="1">
                  <c:v>7815.2199999999993</c:v>
                </c:pt>
                <c:pt idx="2">
                  <c:v>99124.329999999987</c:v>
                </c:pt>
              </c:numCache>
            </c:numRef>
          </c:val>
          <c:extLst>
            <c:ext xmlns:c16="http://schemas.microsoft.com/office/drawing/2014/chart" uri="{C3380CC4-5D6E-409C-BE32-E72D297353CC}">
              <c16:uniqueId val="{00000002-F007-4721-94ED-1F9F9088A23B}"/>
            </c:ext>
          </c:extLst>
        </c:ser>
        <c:ser>
          <c:idx val="1"/>
          <c:order val="1"/>
          <c:tx>
            <c:strRef>
              <c:f>'Pivot Table'!$Z$3:$Z$5</c:f>
              <c:strCache>
                <c:ptCount val="1"/>
                <c:pt idx="0">
                  <c:v>Grocery - Payment</c:v>
                </c:pt>
              </c:strCache>
            </c:strRef>
          </c:tx>
          <c:spPr>
            <a:solidFill>
              <a:schemeClr val="accent2"/>
            </a:solidFill>
            <a:ln w="25400">
              <a:noFill/>
            </a:ln>
            <a:effectLst/>
          </c:spPr>
          <c:cat>
            <c:strRef>
              <c:f>'Pivot Table'!$X$6:$X$8</c:f>
              <c:strCache>
                <c:ptCount val="3"/>
                <c:pt idx="0">
                  <c:v>Agent</c:v>
                </c:pt>
                <c:pt idx="1">
                  <c:v>Merchant</c:v>
                </c:pt>
                <c:pt idx="2">
                  <c:v>Personal</c:v>
                </c:pt>
              </c:strCache>
            </c:strRef>
          </c:cat>
          <c:val>
            <c:numRef>
              <c:f>'Pivot Table'!$Z$6:$Z$8</c:f>
              <c:numCache>
                <c:formatCode>#.00,"K"</c:formatCode>
                <c:ptCount val="3"/>
                <c:pt idx="0">
                  <c:v>14205.64</c:v>
                </c:pt>
                <c:pt idx="1">
                  <c:v>6469.7199999999993</c:v>
                </c:pt>
                <c:pt idx="2">
                  <c:v>89260.489999999976</c:v>
                </c:pt>
              </c:numCache>
            </c:numRef>
          </c:val>
          <c:extLst>
            <c:ext xmlns:c16="http://schemas.microsoft.com/office/drawing/2014/chart" uri="{C3380CC4-5D6E-409C-BE32-E72D297353CC}">
              <c16:uniqueId val="{00000003-F007-4721-94ED-1F9F9088A23B}"/>
            </c:ext>
          </c:extLst>
        </c:ser>
        <c:ser>
          <c:idx val="2"/>
          <c:order val="2"/>
          <c:tx>
            <c:strRef>
              <c:f>'Pivot Table'!$AA$3:$AA$5</c:f>
              <c:strCache>
                <c:ptCount val="1"/>
                <c:pt idx="0">
                  <c:v>Pharmacy - Payment</c:v>
                </c:pt>
              </c:strCache>
            </c:strRef>
          </c:tx>
          <c:spPr>
            <a:solidFill>
              <a:schemeClr val="accent3"/>
            </a:solidFill>
            <a:ln w="25400">
              <a:noFill/>
            </a:ln>
            <a:effectLst/>
          </c:spPr>
          <c:cat>
            <c:strRef>
              <c:f>'Pivot Table'!$X$6:$X$8</c:f>
              <c:strCache>
                <c:ptCount val="3"/>
                <c:pt idx="0">
                  <c:v>Agent</c:v>
                </c:pt>
                <c:pt idx="1">
                  <c:v>Merchant</c:v>
                </c:pt>
                <c:pt idx="2">
                  <c:v>Personal</c:v>
                </c:pt>
              </c:strCache>
            </c:strRef>
          </c:cat>
          <c:val>
            <c:numRef>
              <c:f>'Pivot Table'!$AA$6:$AA$8</c:f>
              <c:numCache>
                <c:formatCode>#.00,"K"</c:formatCode>
                <c:ptCount val="3"/>
                <c:pt idx="0">
                  <c:v>17932.240000000002</c:v>
                </c:pt>
                <c:pt idx="1">
                  <c:v>5810.9800000000014</c:v>
                </c:pt>
                <c:pt idx="2">
                  <c:v>110085.78999999996</c:v>
                </c:pt>
              </c:numCache>
            </c:numRef>
          </c:val>
          <c:extLst>
            <c:ext xmlns:c16="http://schemas.microsoft.com/office/drawing/2014/chart" uri="{C3380CC4-5D6E-409C-BE32-E72D297353CC}">
              <c16:uniqueId val="{00000001-B2CE-4EE7-B7CB-31C1DECF8D34}"/>
            </c:ext>
          </c:extLst>
        </c:ser>
        <c:ser>
          <c:idx val="3"/>
          <c:order val="3"/>
          <c:tx>
            <c:strRef>
              <c:f>'Pivot Table'!$AB$3:$AB$5</c:f>
              <c:strCache>
                <c:ptCount val="1"/>
                <c:pt idx="0">
                  <c:v>Restaurant - Payment</c:v>
                </c:pt>
              </c:strCache>
            </c:strRef>
          </c:tx>
          <c:spPr>
            <a:solidFill>
              <a:srgbClr val="E2136E"/>
            </a:solidFill>
            <a:ln w="25400">
              <a:noFill/>
            </a:ln>
            <a:effectLst/>
          </c:spPr>
          <c:cat>
            <c:strRef>
              <c:f>'Pivot Table'!$X$6:$X$8</c:f>
              <c:strCache>
                <c:ptCount val="3"/>
                <c:pt idx="0">
                  <c:v>Agent</c:v>
                </c:pt>
                <c:pt idx="1">
                  <c:v>Merchant</c:v>
                </c:pt>
                <c:pt idx="2">
                  <c:v>Personal</c:v>
                </c:pt>
              </c:strCache>
            </c:strRef>
          </c:cat>
          <c:val>
            <c:numRef>
              <c:f>'Pivot Table'!$AB$6:$AB$8</c:f>
              <c:numCache>
                <c:formatCode>#.00,"K"</c:formatCode>
                <c:ptCount val="3"/>
                <c:pt idx="0">
                  <c:v>7878.99</c:v>
                </c:pt>
                <c:pt idx="1">
                  <c:v>2011.82</c:v>
                </c:pt>
                <c:pt idx="2">
                  <c:v>92176.07</c:v>
                </c:pt>
              </c:numCache>
            </c:numRef>
          </c:val>
          <c:extLst>
            <c:ext xmlns:c16="http://schemas.microsoft.com/office/drawing/2014/chart" uri="{C3380CC4-5D6E-409C-BE32-E72D297353CC}">
              <c16:uniqueId val="{00000002-B2CE-4EE7-B7CB-31C1DECF8D34}"/>
            </c:ext>
          </c:extLst>
        </c:ser>
        <c:ser>
          <c:idx val="4"/>
          <c:order val="4"/>
          <c:tx>
            <c:strRef>
              <c:f>'Pivot Table'!$AC$3:$AC$5</c:f>
              <c:strCache>
                <c:ptCount val="1"/>
                <c:pt idx="0">
                  <c:v>Retail - Payment</c:v>
                </c:pt>
              </c:strCache>
            </c:strRef>
          </c:tx>
          <c:spPr>
            <a:solidFill>
              <a:srgbClr val="FCE8F1"/>
            </a:solidFill>
            <a:ln w="25400">
              <a:noFill/>
            </a:ln>
            <a:effectLst/>
          </c:spPr>
          <c:cat>
            <c:strRef>
              <c:f>'Pivot Table'!$X$6:$X$8</c:f>
              <c:strCache>
                <c:ptCount val="3"/>
                <c:pt idx="0">
                  <c:v>Agent</c:v>
                </c:pt>
                <c:pt idx="1">
                  <c:v>Merchant</c:v>
                </c:pt>
                <c:pt idx="2">
                  <c:v>Personal</c:v>
                </c:pt>
              </c:strCache>
            </c:strRef>
          </c:cat>
          <c:val>
            <c:numRef>
              <c:f>'Pivot Table'!$AC$6:$AC$8</c:f>
              <c:numCache>
                <c:formatCode>#.00,"K"</c:formatCode>
                <c:ptCount val="3"/>
                <c:pt idx="0">
                  <c:v>16730.039999999997</c:v>
                </c:pt>
                <c:pt idx="1">
                  <c:v>2153.1800000000003</c:v>
                </c:pt>
                <c:pt idx="2">
                  <c:v>87606.620000000024</c:v>
                </c:pt>
              </c:numCache>
            </c:numRef>
          </c:val>
          <c:extLst>
            <c:ext xmlns:c16="http://schemas.microsoft.com/office/drawing/2014/chart" uri="{C3380CC4-5D6E-409C-BE32-E72D297353CC}">
              <c16:uniqueId val="{00000004-E5DE-4D36-8E58-AB6422D89E5B}"/>
            </c:ext>
          </c:extLst>
        </c:ser>
        <c:dLbls>
          <c:showLegendKey val="0"/>
          <c:showVal val="0"/>
          <c:showCatName val="0"/>
          <c:showSerName val="0"/>
          <c:showPercent val="0"/>
          <c:showBubbleSize val="0"/>
        </c:dLbls>
        <c:axId val="502938815"/>
        <c:axId val="502939231"/>
      </c:areaChart>
      <c:catAx>
        <c:axId val="50293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02939231"/>
        <c:crosses val="autoZero"/>
        <c:auto val="1"/>
        <c:lblAlgn val="ctr"/>
        <c:lblOffset val="100"/>
        <c:noMultiLvlLbl val="0"/>
      </c:catAx>
      <c:valAx>
        <c:axId val="502939231"/>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502938815"/>
        <c:crosses val="autoZero"/>
        <c:crossBetween val="midCat"/>
      </c:valAx>
      <c:spPr>
        <a:noFill/>
        <a:ln>
          <a:noFill/>
        </a:ln>
        <a:effectLst/>
      </c:spPr>
    </c:plotArea>
    <c:legend>
      <c:legendPos val="r"/>
      <c:layout>
        <c:manualLayout>
          <c:xMode val="edge"/>
          <c:yMode val="edge"/>
          <c:x val="0.73412177657998212"/>
          <c:y val="6.887141470550999E-2"/>
          <c:w val="0.26587822342001793"/>
          <c:h val="0.83496920949422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ECDCA91-A328-4017-A2B4-79BFB408F801}">
          <cx:spPr>
            <a:solidFill>
              <a:srgbClr val="FCE8F1"/>
            </a:solidFill>
            <a:ln>
              <a:noFill/>
            </a:ln>
          </cx:spPr>
          <cx:dataLabels>
            <cx:txPr>
              <a:bodyPr spcFirstLastPara="1" vertOverflow="ellipsis" horzOverflow="overflow" wrap="square" lIns="0" tIns="0" rIns="0" bIns="0" anchor="ctr" anchorCtr="1"/>
              <a:lstStyle/>
              <a:p>
                <a:pPr algn="ctr" rtl="0">
                  <a:defRPr sz="1100">
                    <a:solidFill>
                      <a:schemeClr val="tx1">
                        <a:lumMod val="95000"/>
                        <a:lumOff val="5000"/>
                      </a:schemeClr>
                    </a:solidFill>
                  </a:defRPr>
                </a:pPr>
                <a:endParaRPr lang="en-US" sz="1100" b="0"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cx:catScaling gapWidth="0"/>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5.xml"/><Relationship Id="rId5" Type="http://schemas.openxmlformats.org/officeDocument/2006/relationships/image" Target="../media/image5.sv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229506</xdr:colOff>
      <xdr:row>1</xdr:row>
      <xdr:rowOff>0</xdr:rowOff>
    </xdr:from>
    <xdr:to>
      <xdr:col>23</xdr:col>
      <xdr:colOff>45357</xdr:colOff>
      <xdr:row>38</xdr:row>
      <xdr:rowOff>136071</xdr:rowOff>
    </xdr:to>
    <xdr:sp macro="" textlink="">
      <xdr:nvSpPr>
        <xdr:cNvPr id="2" name="Rectangle: Rounded Corners 1">
          <a:extLst>
            <a:ext uri="{FF2B5EF4-FFF2-40B4-BE49-F238E27FC236}">
              <a16:creationId xmlns:a16="http://schemas.microsoft.com/office/drawing/2014/main" id="{F3A2FDF3-64FC-41D0-BCD0-AF259FC7E979}"/>
            </a:ext>
          </a:extLst>
        </xdr:cNvPr>
        <xdr:cNvSpPr/>
      </xdr:nvSpPr>
      <xdr:spPr>
        <a:xfrm>
          <a:off x="1454149" y="192768"/>
          <a:ext cx="12674601" cy="7268482"/>
        </a:xfrm>
        <a:prstGeom prst="roundRect">
          <a:avLst>
            <a:gd name="adj" fmla="val 3138"/>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317501</xdr:colOff>
      <xdr:row>1</xdr:row>
      <xdr:rowOff>102055</xdr:rowOff>
    </xdr:from>
    <xdr:to>
      <xdr:col>22</xdr:col>
      <xdr:colOff>566965</xdr:colOff>
      <xdr:row>6</xdr:row>
      <xdr:rowOff>56697</xdr:rowOff>
    </xdr:to>
    <xdr:sp macro="" textlink="">
      <xdr:nvSpPr>
        <xdr:cNvPr id="3" name="Rectangle: Top Corners Rounded 2">
          <a:extLst>
            <a:ext uri="{FF2B5EF4-FFF2-40B4-BE49-F238E27FC236}">
              <a16:creationId xmlns:a16="http://schemas.microsoft.com/office/drawing/2014/main" id="{6776878A-55D5-43CA-AED3-CDC65471F54D}"/>
            </a:ext>
          </a:extLst>
        </xdr:cNvPr>
        <xdr:cNvSpPr/>
      </xdr:nvSpPr>
      <xdr:spPr>
        <a:xfrm>
          <a:off x="1542144" y="294823"/>
          <a:ext cx="12495892" cy="918481"/>
        </a:xfrm>
        <a:prstGeom prst="round2SameRect">
          <a:avLst>
            <a:gd name="adj1" fmla="val 8270"/>
            <a:gd name="adj2" fmla="val 0"/>
          </a:avLst>
        </a:prstGeom>
        <a:solidFill>
          <a:srgbClr val="E2136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306161</xdr:colOff>
      <xdr:row>6</xdr:row>
      <xdr:rowOff>113392</xdr:rowOff>
    </xdr:from>
    <xdr:to>
      <xdr:col>22</xdr:col>
      <xdr:colOff>578304</xdr:colOff>
      <xdr:row>11</xdr:row>
      <xdr:rowOff>158751</xdr:rowOff>
    </xdr:to>
    <xdr:sp macro="" textlink="">
      <xdr:nvSpPr>
        <xdr:cNvPr id="4" name="Rectangle: Rounded Corners 3">
          <a:extLst>
            <a:ext uri="{FF2B5EF4-FFF2-40B4-BE49-F238E27FC236}">
              <a16:creationId xmlns:a16="http://schemas.microsoft.com/office/drawing/2014/main" id="{3610C261-9B9F-4C27-A8FE-0C852D172BC6}"/>
            </a:ext>
          </a:extLst>
        </xdr:cNvPr>
        <xdr:cNvSpPr/>
      </xdr:nvSpPr>
      <xdr:spPr>
        <a:xfrm>
          <a:off x="2755447" y="1269999"/>
          <a:ext cx="11293928" cy="100919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328839</xdr:colOff>
      <xdr:row>12</xdr:row>
      <xdr:rowOff>56698</xdr:rowOff>
    </xdr:from>
    <xdr:to>
      <xdr:col>10</xdr:col>
      <xdr:colOff>317500</xdr:colOff>
      <xdr:row>24</xdr:row>
      <xdr:rowOff>11339</xdr:rowOff>
    </xdr:to>
    <xdr:sp macro="" textlink="">
      <xdr:nvSpPr>
        <xdr:cNvPr id="5" name="Rectangle 4">
          <a:extLst>
            <a:ext uri="{FF2B5EF4-FFF2-40B4-BE49-F238E27FC236}">
              <a16:creationId xmlns:a16="http://schemas.microsoft.com/office/drawing/2014/main" id="{C8FDE879-90D0-4DB5-845B-A150EA9EF4FB}"/>
            </a:ext>
          </a:extLst>
        </xdr:cNvPr>
        <xdr:cNvSpPr/>
      </xdr:nvSpPr>
      <xdr:spPr>
        <a:xfrm>
          <a:off x="2778125" y="2369912"/>
          <a:ext cx="3662589" cy="226785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306161</xdr:colOff>
      <xdr:row>6</xdr:row>
      <xdr:rowOff>113392</xdr:rowOff>
    </xdr:from>
    <xdr:to>
      <xdr:col>4</xdr:col>
      <xdr:colOff>249464</xdr:colOff>
      <xdr:row>38</xdr:row>
      <xdr:rowOff>-1</xdr:rowOff>
    </xdr:to>
    <xdr:sp macro="" textlink="">
      <xdr:nvSpPr>
        <xdr:cNvPr id="8" name="Rectangle 7">
          <a:extLst>
            <a:ext uri="{FF2B5EF4-FFF2-40B4-BE49-F238E27FC236}">
              <a16:creationId xmlns:a16="http://schemas.microsoft.com/office/drawing/2014/main" id="{97D42ADD-D3EE-4053-9C45-C9857F8FD771}"/>
            </a:ext>
          </a:extLst>
        </xdr:cNvPr>
        <xdr:cNvSpPr/>
      </xdr:nvSpPr>
      <xdr:spPr>
        <a:xfrm>
          <a:off x="1530804" y="1269999"/>
          <a:ext cx="1167946" cy="6055179"/>
        </a:xfrm>
        <a:prstGeom prst="rect">
          <a:avLst/>
        </a:prstGeom>
        <a:gradFill flip="none" rotWithShape="1">
          <a:gsLst>
            <a:gs pos="0">
              <a:srgbClr val="E2136E"/>
            </a:gs>
            <a:gs pos="80000">
              <a:srgbClr val="FCE4EE"/>
            </a:gs>
            <a:gs pos="55000">
              <a:srgbClr val="F5B0CE"/>
            </a:gs>
            <a:gs pos="100000">
              <a:schemeClr val="bg1"/>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345165</xdr:colOff>
      <xdr:row>24</xdr:row>
      <xdr:rowOff>113393</xdr:rowOff>
    </xdr:from>
    <xdr:to>
      <xdr:col>13</xdr:col>
      <xdr:colOff>385535</xdr:colOff>
      <xdr:row>38</xdr:row>
      <xdr:rowOff>11339</xdr:rowOff>
    </xdr:to>
    <xdr:sp macro="" textlink="">
      <xdr:nvSpPr>
        <xdr:cNvPr id="9" name="Rectangle 8">
          <a:extLst>
            <a:ext uri="{FF2B5EF4-FFF2-40B4-BE49-F238E27FC236}">
              <a16:creationId xmlns:a16="http://schemas.microsoft.com/office/drawing/2014/main" id="{CE5E52B1-1A77-44BF-BC41-CAAB0E737CAF}"/>
            </a:ext>
          </a:extLst>
        </xdr:cNvPr>
        <xdr:cNvSpPr/>
      </xdr:nvSpPr>
      <xdr:spPr>
        <a:xfrm>
          <a:off x="2761263" y="4573881"/>
          <a:ext cx="5476589" cy="249989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0</xdr:colOff>
      <xdr:row>9</xdr:row>
      <xdr:rowOff>0</xdr:rowOff>
    </xdr:from>
    <xdr:to>
      <xdr:col>1</xdr:col>
      <xdr:colOff>304800</xdr:colOff>
      <xdr:row>10</xdr:row>
      <xdr:rowOff>114300</xdr:rowOff>
    </xdr:to>
    <xdr:sp macro="" textlink="">
      <xdr:nvSpPr>
        <xdr:cNvPr id="1025" name="AutoShape 1" descr="bKash Logo PNG Vector">
          <a:extLst>
            <a:ext uri="{FF2B5EF4-FFF2-40B4-BE49-F238E27FC236}">
              <a16:creationId xmlns:a16="http://schemas.microsoft.com/office/drawing/2014/main" id="{D2811C36-A1C4-4A1B-A55A-2C33EA4193CC}"/>
            </a:ext>
          </a:extLst>
        </xdr:cNvPr>
        <xdr:cNvSpPr>
          <a:spLocks noChangeAspect="1" noChangeArrowheads="1"/>
        </xdr:cNvSpPr>
      </xdr:nvSpPr>
      <xdr:spPr bwMode="auto">
        <a:xfrm>
          <a:off x="6096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374196</xdr:colOff>
      <xdr:row>1</xdr:row>
      <xdr:rowOff>158750</xdr:rowOff>
    </xdr:from>
    <xdr:to>
      <xdr:col>4</xdr:col>
      <xdr:colOff>238125</xdr:colOff>
      <xdr:row>6</xdr:row>
      <xdr:rowOff>11339</xdr:rowOff>
    </xdr:to>
    <xdr:pic>
      <xdr:nvPicPr>
        <xdr:cNvPr id="17" name="Picture 16">
          <a:extLst>
            <a:ext uri="{FF2B5EF4-FFF2-40B4-BE49-F238E27FC236}">
              <a16:creationId xmlns:a16="http://schemas.microsoft.com/office/drawing/2014/main" id="{75AE2ABB-FF15-44E6-9A5C-1BD42572B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8839" y="351518"/>
          <a:ext cx="1088572" cy="816428"/>
        </a:xfrm>
        <a:prstGeom prst="rect">
          <a:avLst/>
        </a:prstGeom>
        <a:effectLst>
          <a:outerShdw blurRad="50800" dist="38100" dir="2700000" algn="tl" rotWithShape="0">
            <a:prstClr val="black">
              <a:alpha val="40000"/>
            </a:prstClr>
          </a:outerShdw>
        </a:effectLst>
      </xdr:spPr>
    </xdr:pic>
    <xdr:clientData/>
  </xdr:twoCellAnchor>
  <xdr:twoCellAnchor>
    <xdr:from>
      <xdr:col>4</xdr:col>
      <xdr:colOff>430893</xdr:colOff>
      <xdr:row>1</xdr:row>
      <xdr:rowOff>92926</xdr:rowOff>
    </xdr:from>
    <xdr:to>
      <xdr:col>14</xdr:col>
      <xdr:colOff>226786</xdr:colOff>
      <xdr:row>4</xdr:row>
      <xdr:rowOff>90714</xdr:rowOff>
    </xdr:to>
    <xdr:sp macro="" textlink="">
      <xdr:nvSpPr>
        <xdr:cNvPr id="18" name="TextBox 17">
          <a:extLst>
            <a:ext uri="{FF2B5EF4-FFF2-40B4-BE49-F238E27FC236}">
              <a16:creationId xmlns:a16="http://schemas.microsoft.com/office/drawing/2014/main" id="{2353FCA4-6EA5-4010-A09F-9E794E0569A1}"/>
            </a:ext>
          </a:extLst>
        </xdr:cNvPr>
        <xdr:cNvSpPr txBox="1"/>
      </xdr:nvSpPr>
      <xdr:spPr>
        <a:xfrm>
          <a:off x="2846991" y="278780"/>
          <a:ext cx="5836136" cy="55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b</a:t>
          </a:r>
          <a:r>
            <a:rPr lang="en-US" sz="3600" b="1">
              <a:solidFill>
                <a:schemeClr val="tx1">
                  <a:lumMod val="75000"/>
                  <a:lumOff val="25000"/>
                </a:schemeClr>
              </a:solidFill>
            </a:rPr>
            <a:t>Kash</a:t>
          </a:r>
          <a:r>
            <a:rPr lang="en-US" sz="3600" b="1" baseline="0">
              <a:solidFill>
                <a:schemeClr val="bg1"/>
              </a:solidFill>
            </a:rPr>
            <a:t> Transaction Analysis</a:t>
          </a:r>
          <a:r>
            <a:rPr lang="en-US" sz="2800" b="1" baseline="0">
              <a:solidFill>
                <a:schemeClr val="bg1"/>
              </a:solidFill>
            </a:rPr>
            <a:t> Dashboard</a:t>
          </a:r>
          <a:endParaRPr lang="en-US" sz="2800" b="1">
            <a:solidFill>
              <a:schemeClr val="bg1"/>
            </a:solidFill>
          </a:endParaRPr>
        </a:p>
      </xdr:txBody>
    </xdr:sp>
    <xdr:clientData/>
  </xdr:twoCellAnchor>
  <xdr:twoCellAnchor>
    <xdr:from>
      <xdr:col>16</xdr:col>
      <xdr:colOff>102053</xdr:colOff>
      <xdr:row>1</xdr:row>
      <xdr:rowOff>170089</xdr:rowOff>
    </xdr:from>
    <xdr:to>
      <xdr:col>22</xdr:col>
      <xdr:colOff>487589</xdr:colOff>
      <xdr:row>5</xdr:row>
      <xdr:rowOff>102053</xdr:rowOff>
    </xdr:to>
    <xdr:sp macro="" textlink="">
      <xdr:nvSpPr>
        <xdr:cNvPr id="19" name="Rectangle 18">
          <a:extLst>
            <a:ext uri="{FF2B5EF4-FFF2-40B4-BE49-F238E27FC236}">
              <a16:creationId xmlns:a16="http://schemas.microsoft.com/office/drawing/2014/main" id="{2D365E60-ECFF-4CB4-A80B-D1AB9B40419F}"/>
            </a:ext>
          </a:extLst>
        </xdr:cNvPr>
        <xdr:cNvSpPr/>
      </xdr:nvSpPr>
      <xdr:spPr>
        <a:xfrm>
          <a:off x="9899196" y="362857"/>
          <a:ext cx="4059464" cy="703035"/>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516885</xdr:colOff>
      <xdr:row>2</xdr:row>
      <xdr:rowOff>15962</xdr:rowOff>
    </xdr:from>
    <xdr:to>
      <xdr:col>16</xdr:col>
      <xdr:colOff>293668</xdr:colOff>
      <xdr:row>5</xdr:row>
      <xdr:rowOff>140922</xdr:rowOff>
    </xdr:to>
    <xdr:sp macro="" textlink="">
      <xdr:nvSpPr>
        <xdr:cNvPr id="21" name="Rectangle 20">
          <a:extLst>
            <a:ext uri="{FF2B5EF4-FFF2-40B4-BE49-F238E27FC236}">
              <a16:creationId xmlns:a16="http://schemas.microsoft.com/office/drawing/2014/main" id="{85E23A16-3D39-4FE4-B9BC-DA1A1161895A}"/>
            </a:ext>
          </a:extLst>
        </xdr:cNvPr>
        <xdr:cNvSpPr/>
      </xdr:nvSpPr>
      <xdr:spPr>
        <a:xfrm rot="1859465">
          <a:off x="9701706" y="401498"/>
          <a:ext cx="389105" cy="703263"/>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294823</xdr:colOff>
      <xdr:row>4</xdr:row>
      <xdr:rowOff>181429</xdr:rowOff>
    </xdr:from>
    <xdr:to>
      <xdr:col>16</xdr:col>
      <xdr:colOff>90716</xdr:colOff>
      <xdr:row>6</xdr:row>
      <xdr:rowOff>0</xdr:rowOff>
    </xdr:to>
    <xdr:sp macro="" textlink="">
      <xdr:nvSpPr>
        <xdr:cNvPr id="22" name="Rectangle 21">
          <a:extLst>
            <a:ext uri="{FF2B5EF4-FFF2-40B4-BE49-F238E27FC236}">
              <a16:creationId xmlns:a16="http://schemas.microsoft.com/office/drawing/2014/main" id="{B4D407A0-91ED-45D0-BF8C-95611DCDAD43}"/>
            </a:ext>
          </a:extLst>
        </xdr:cNvPr>
        <xdr:cNvSpPr/>
      </xdr:nvSpPr>
      <xdr:spPr>
        <a:xfrm>
          <a:off x="2744109" y="952500"/>
          <a:ext cx="7143750" cy="204107"/>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408215</xdr:colOff>
      <xdr:row>6</xdr:row>
      <xdr:rowOff>124731</xdr:rowOff>
    </xdr:from>
    <xdr:to>
      <xdr:col>7</xdr:col>
      <xdr:colOff>90713</xdr:colOff>
      <xdr:row>8</xdr:row>
      <xdr:rowOff>102052</xdr:rowOff>
    </xdr:to>
    <xdr:sp macro="" textlink="">
      <xdr:nvSpPr>
        <xdr:cNvPr id="23" name="TextBox 22">
          <a:extLst>
            <a:ext uri="{FF2B5EF4-FFF2-40B4-BE49-F238E27FC236}">
              <a16:creationId xmlns:a16="http://schemas.microsoft.com/office/drawing/2014/main" id="{78A408BA-E200-4361-8F65-894C572A326B}"/>
            </a:ext>
          </a:extLst>
        </xdr:cNvPr>
        <xdr:cNvSpPr txBox="1"/>
      </xdr:nvSpPr>
      <xdr:spPr>
        <a:xfrm>
          <a:off x="2857501" y="1281338"/>
          <a:ext cx="1519462" cy="36285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 Transaction</a:t>
          </a:r>
        </a:p>
      </xdr:txBody>
    </xdr:sp>
    <xdr:clientData/>
  </xdr:twoCellAnchor>
  <xdr:twoCellAnchor>
    <xdr:from>
      <xdr:col>10</xdr:col>
      <xdr:colOff>447220</xdr:colOff>
      <xdr:row>12</xdr:row>
      <xdr:rowOff>73026</xdr:rowOff>
    </xdr:from>
    <xdr:to>
      <xdr:col>16</xdr:col>
      <xdr:colOff>401864</xdr:colOff>
      <xdr:row>24</xdr:row>
      <xdr:rowOff>27667</xdr:rowOff>
    </xdr:to>
    <xdr:sp macro="" textlink="">
      <xdr:nvSpPr>
        <xdr:cNvPr id="31" name="Rectangle 30">
          <a:extLst>
            <a:ext uri="{FF2B5EF4-FFF2-40B4-BE49-F238E27FC236}">
              <a16:creationId xmlns:a16="http://schemas.microsoft.com/office/drawing/2014/main" id="{81BA1E3D-AB97-4609-B823-053A52905C02}"/>
            </a:ext>
          </a:extLst>
        </xdr:cNvPr>
        <xdr:cNvSpPr/>
      </xdr:nvSpPr>
      <xdr:spPr>
        <a:xfrm>
          <a:off x="6570434" y="2386240"/>
          <a:ext cx="3628573" cy="226785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510268</xdr:colOff>
      <xdr:row>12</xdr:row>
      <xdr:rowOff>66675</xdr:rowOff>
    </xdr:from>
    <xdr:to>
      <xdr:col>22</xdr:col>
      <xdr:colOff>565605</xdr:colOff>
      <xdr:row>24</xdr:row>
      <xdr:rowOff>21316</xdr:rowOff>
    </xdr:to>
    <xdr:sp macro="" textlink="">
      <xdr:nvSpPr>
        <xdr:cNvPr id="32" name="Rectangle 31">
          <a:extLst>
            <a:ext uri="{FF2B5EF4-FFF2-40B4-BE49-F238E27FC236}">
              <a16:creationId xmlns:a16="http://schemas.microsoft.com/office/drawing/2014/main" id="{AFDAC434-8349-4E42-B3A9-EF5D0E4028E3}"/>
            </a:ext>
          </a:extLst>
        </xdr:cNvPr>
        <xdr:cNvSpPr/>
      </xdr:nvSpPr>
      <xdr:spPr>
        <a:xfrm>
          <a:off x="10307411" y="2379889"/>
          <a:ext cx="3729265" cy="226785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487589</xdr:colOff>
      <xdr:row>24</xdr:row>
      <xdr:rowOff>112031</xdr:rowOff>
    </xdr:from>
    <xdr:to>
      <xdr:col>22</xdr:col>
      <xdr:colOff>570592</xdr:colOff>
      <xdr:row>38</xdr:row>
      <xdr:rowOff>9977</xdr:rowOff>
    </xdr:to>
    <xdr:sp macro="" textlink="">
      <xdr:nvSpPr>
        <xdr:cNvPr id="34" name="Rectangle 33">
          <a:extLst>
            <a:ext uri="{FF2B5EF4-FFF2-40B4-BE49-F238E27FC236}">
              <a16:creationId xmlns:a16="http://schemas.microsoft.com/office/drawing/2014/main" id="{87051639-3BFC-40F2-BEFC-9931DB40CFF9}"/>
            </a:ext>
          </a:extLst>
        </xdr:cNvPr>
        <xdr:cNvSpPr/>
      </xdr:nvSpPr>
      <xdr:spPr>
        <a:xfrm>
          <a:off x="8339906" y="4572519"/>
          <a:ext cx="5519223" cy="249989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600983</xdr:colOff>
      <xdr:row>8</xdr:row>
      <xdr:rowOff>11339</xdr:rowOff>
    </xdr:from>
    <xdr:to>
      <xdr:col>6</xdr:col>
      <xdr:colOff>306161</xdr:colOff>
      <xdr:row>10</xdr:row>
      <xdr:rowOff>124732</xdr:rowOff>
    </xdr:to>
    <xdr:sp macro="" textlink="'Pivot Table'!A6">
      <xdr:nvSpPr>
        <xdr:cNvPr id="35" name="TextBox 34">
          <a:extLst>
            <a:ext uri="{FF2B5EF4-FFF2-40B4-BE49-F238E27FC236}">
              <a16:creationId xmlns:a16="http://schemas.microsoft.com/office/drawing/2014/main" id="{7BAB95E3-1544-4108-A555-9BD15D2C980E}"/>
            </a:ext>
          </a:extLst>
        </xdr:cNvPr>
        <xdr:cNvSpPr txBox="1"/>
      </xdr:nvSpPr>
      <xdr:spPr>
        <a:xfrm>
          <a:off x="3050269" y="1553482"/>
          <a:ext cx="929821" cy="49892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69EB2B-C1A4-4625-BE4E-29CEABC58C8D}" type="TxLink">
            <a:rPr lang="en-US" sz="2800" b="0" i="0" u="none" strike="noStrike">
              <a:solidFill>
                <a:srgbClr val="000000"/>
              </a:solidFill>
              <a:latin typeface="Calibri"/>
              <a:ea typeface="Calibri"/>
              <a:cs typeface="Calibri"/>
            </a:rPr>
            <a:pPr/>
            <a:t>3781</a:t>
          </a:fld>
          <a:endParaRPr lang="en-US" sz="2800"/>
        </a:p>
      </xdr:txBody>
    </xdr:sp>
    <xdr:clientData/>
  </xdr:twoCellAnchor>
  <xdr:twoCellAnchor>
    <xdr:from>
      <xdr:col>7</xdr:col>
      <xdr:colOff>192230</xdr:colOff>
      <xdr:row>6</xdr:row>
      <xdr:rowOff>95150</xdr:rowOff>
    </xdr:from>
    <xdr:to>
      <xdr:col>10</xdr:col>
      <xdr:colOff>557561</xdr:colOff>
      <xdr:row>8</xdr:row>
      <xdr:rowOff>72471</xdr:rowOff>
    </xdr:to>
    <xdr:sp macro="" textlink="">
      <xdr:nvSpPr>
        <xdr:cNvPr id="37" name="TextBox 36">
          <a:extLst>
            <a:ext uri="{FF2B5EF4-FFF2-40B4-BE49-F238E27FC236}">
              <a16:creationId xmlns:a16="http://schemas.microsoft.com/office/drawing/2014/main" id="{BA6665D1-169B-4547-861E-EA16FFC92A5C}"/>
            </a:ext>
          </a:extLst>
        </xdr:cNvPr>
        <xdr:cNvSpPr txBox="1"/>
      </xdr:nvSpPr>
      <xdr:spPr>
        <a:xfrm>
          <a:off x="4420401" y="1210272"/>
          <a:ext cx="2177404" cy="34902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Amount</a:t>
          </a:r>
          <a:r>
            <a:rPr lang="en-US" sz="1600" baseline="0"/>
            <a:t> Of Transaction</a:t>
          </a:r>
        </a:p>
        <a:p>
          <a:endParaRPr lang="en-US" sz="1600"/>
        </a:p>
      </xdr:txBody>
    </xdr:sp>
    <xdr:clientData/>
  </xdr:twoCellAnchor>
  <xdr:twoCellAnchor>
    <xdr:from>
      <xdr:col>7</xdr:col>
      <xdr:colOff>117543</xdr:colOff>
      <xdr:row>8</xdr:row>
      <xdr:rowOff>39007</xdr:rowOff>
    </xdr:from>
    <xdr:to>
      <xdr:col>11</xdr:col>
      <xdr:colOff>23232</xdr:colOff>
      <xdr:row>10</xdr:row>
      <xdr:rowOff>152400</xdr:rowOff>
    </xdr:to>
    <xdr:sp macro="" textlink="'Pivot Table'!B6">
      <xdr:nvSpPr>
        <xdr:cNvPr id="38" name="TextBox 37">
          <a:extLst>
            <a:ext uri="{FF2B5EF4-FFF2-40B4-BE49-F238E27FC236}">
              <a16:creationId xmlns:a16="http://schemas.microsoft.com/office/drawing/2014/main" id="{1A8287D0-1621-4BF1-AD08-2117A69E8AA3}"/>
            </a:ext>
          </a:extLst>
        </xdr:cNvPr>
        <xdr:cNvSpPr txBox="1"/>
      </xdr:nvSpPr>
      <xdr:spPr>
        <a:xfrm>
          <a:off x="4345714" y="1525836"/>
          <a:ext cx="2321786" cy="48510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6FA33A-4D40-445F-8C97-824FE909CE97}" type="TxLink">
            <a:rPr lang="en-US" sz="2800" b="0" i="0" u="none" strike="noStrike">
              <a:solidFill>
                <a:srgbClr val="000000"/>
              </a:solidFill>
              <a:latin typeface="Calibri"/>
              <a:ea typeface="Calibri"/>
              <a:cs typeface="Calibri"/>
            </a:rPr>
            <a:pPr marL="0" indent="0"/>
            <a:t>TK 267.749 M</a:t>
          </a:fld>
          <a:endParaRPr lang="en-US" sz="2800" b="0" i="0" u="none" strike="noStrike">
            <a:solidFill>
              <a:srgbClr val="000000"/>
            </a:solidFill>
            <a:latin typeface="Calibri"/>
            <a:ea typeface="Calibri"/>
            <a:cs typeface="Calibri"/>
          </a:endParaRPr>
        </a:p>
      </xdr:txBody>
    </xdr:sp>
    <xdr:clientData/>
  </xdr:twoCellAnchor>
  <xdr:twoCellAnchor>
    <xdr:from>
      <xdr:col>11</xdr:col>
      <xdr:colOff>308948</xdr:colOff>
      <xdr:row>6</xdr:row>
      <xdr:rowOff>123370</xdr:rowOff>
    </xdr:from>
    <xdr:to>
      <xdr:col>14</xdr:col>
      <xdr:colOff>579144</xdr:colOff>
      <xdr:row>8</xdr:row>
      <xdr:rowOff>100691</xdr:rowOff>
    </xdr:to>
    <xdr:sp macro="" textlink="">
      <xdr:nvSpPr>
        <xdr:cNvPr id="39" name="TextBox 38">
          <a:extLst>
            <a:ext uri="{FF2B5EF4-FFF2-40B4-BE49-F238E27FC236}">
              <a16:creationId xmlns:a16="http://schemas.microsoft.com/office/drawing/2014/main" id="{34D8CE05-658D-4283-9067-21277653D50E}"/>
            </a:ext>
          </a:extLst>
        </xdr:cNvPr>
        <xdr:cNvSpPr txBox="1"/>
      </xdr:nvSpPr>
      <xdr:spPr>
        <a:xfrm>
          <a:off x="6953216" y="1238492"/>
          <a:ext cx="2082269" cy="34902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Total Survice Charge</a:t>
          </a:r>
        </a:p>
        <a:p>
          <a:endParaRPr lang="en-US" sz="1600"/>
        </a:p>
      </xdr:txBody>
    </xdr:sp>
    <xdr:clientData/>
  </xdr:twoCellAnchor>
  <xdr:twoCellAnchor>
    <xdr:from>
      <xdr:col>15</xdr:col>
      <xdr:colOff>168464</xdr:colOff>
      <xdr:row>6</xdr:row>
      <xdr:rowOff>139423</xdr:rowOff>
    </xdr:from>
    <xdr:to>
      <xdr:col>19</xdr:col>
      <xdr:colOff>119477</xdr:colOff>
      <xdr:row>8</xdr:row>
      <xdr:rowOff>116744</xdr:rowOff>
    </xdr:to>
    <xdr:sp macro="" textlink="">
      <xdr:nvSpPr>
        <xdr:cNvPr id="40" name="TextBox 39">
          <a:extLst>
            <a:ext uri="{FF2B5EF4-FFF2-40B4-BE49-F238E27FC236}">
              <a16:creationId xmlns:a16="http://schemas.microsoft.com/office/drawing/2014/main" id="{60B23931-A98B-42F8-A756-9B6982D3597D}"/>
            </a:ext>
          </a:extLst>
        </xdr:cNvPr>
        <xdr:cNvSpPr txBox="1"/>
      </xdr:nvSpPr>
      <xdr:spPr>
        <a:xfrm>
          <a:off x="9228830" y="1254545"/>
          <a:ext cx="2367110" cy="34902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Commission Earned</a:t>
          </a:r>
        </a:p>
      </xdr:txBody>
    </xdr:sp>
    <xdr:clientData/>
  </xdr:twoCellAnchor>
  <xdr:twoCellAnchor>
    <xdr:from>
      <xdr:col>20</xdr:col>
      <xdr:colOff>178708</xdr:colOff>
      <xdr:row>6</xdr:row>
      <xdr:rowOff>144688</xdr:rowOff>
    </xdr:from>
    <xdr:to>
      <xdr:col>22</xdr:col>
      <xdr:colOff>272143</xdr:colOff>
      <xdr:row>8</xdr:row>
      <xdr:rowOff>122009</xdr:rowOff>
    </xdr:to>
    <xdr:sp macro="" textlink="">
      <xdr:nvSpPr>
        <xdr:cNvPr id="41" name="TextBox 40">
          <a:extLst>
            <a:ext uri="{FF2B5EF4-FFF2-40B4-BE49-F238E27FC236}">
              <a16:creationId xmlns:a16="http://schemas.microsoft.com/office/drawing/2014/main" id="{70307944-394E-4EC4-8982-31BFA96BF379}"/>
            </a:ext>
          </a:extLst>
        </xdr:cNvPr>
        <xdr:cNvSpPr txBox="1"/>
      </xdr:nvSpPr>
      <xdr:spPr>
        <a:xfrm>
          <a:off x="12425137" y="1301295"/>
          <a:ext cx="1318077" cy="36285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Net</a:t>
          </a:r>
          <a:r>
            <a:rPr lang="en-US" sz="1600" baseline="0"/>
            <a:t> Revenue</a:t>
          </a:r>
          <a:endParaRPr lang="en-US" sz="1600"/>
        </a:p>
      </xdr:txBody>
    </xdr:sp>
    <xdr:clientData/>
  </xdr:twoCellAnchor>
  <xdr:twoCellAnchor>
    <xdr:from>
      <xdr:col>11</xdr:col>
      <xdr:colOff>313076</xdr:colOff>
      <xdr:row>8</xdr:row>
      <xdr:rowOff>20764</xdr:rowOff>
    </xdr:from>
    <xdr:to>
      <xdr:col>14</xdr:col>
      <xdr:colOff>381112</xdr:colOff>
      <xdr:row>10</xdr:row>
      <xdr:rowOff>134157</xdr:rowOff>
    </xdr:to>
    <xdr:sp macro="" textlink="'Pivot Table'!C6">
      <xdr:nvSpPr>
        <xdr:cNvPr id="42" name="TextBox 41">
          <a:extLst>
            <a:ext uri="{FF2B5EF4-FFF2-40B4-BE49-F238E27FC236}">
              <a16:creationId xmlns:a16="http://schemas.microsoft.com/office/drawing/2014/main" id="{E2A12D00-D9E9-40B5-8EB5-32443D64900F}"/>
            </a:ext>
          </a:extLst>
        </xdr:cNvPr>
        <xdr:cNvSpPr txBox="1"/>
      </xdr:nvSpPr>
      <xdr:spPr>
        <a:xfrm>
          <a:off x="6957344" y="1507593"/>
          <a:ext cx="1880109" cy="48510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08A933-3188-4F1C-A6BD-75AF6D20EFE3}" type="TxLink">
            <a:rPr lang="en-US" sz="2800" b="0" i="0" u="none" strike="noStrike">
              <a:solidFill>
                <a:srgbClr val="000000"/>
              </a:solidFill>
              <a:latin typeface="Calibri"/>
              <a:ea typeface="Calibri"/>
              <a:cs typeface="Calibri"/>
            </a:rPr>
            <a:pPr marL="0" indent="0"/>
            <a:t>TK 2.278 M</a:t>
          </a:fld>
          <a:endParaRPr lang="en-US" sz="2800" b="0" i="0" u="none" strike="noStrike">
            <a:solidFill>
              <a:srgbClr val="000000"/>
            </a:solidFill>
            <a:latin typeface="Calibri"/>
            <a:ea typeface="Calibri"/>
            <a:cs typeface="Calibri"/>
          </a:endParaRPr>
        </a:p>
      </xdr:txBody>
    </xdr:sp>
    <xdr:clientData/>
  </xdr:twoCellAnchor>
  <xdr:twoCellAnchor>
    <xdr:from>
      <xdr:col>15</xdr:col>
      <xdr:colOff>337724</xdr:colOff>
      <xdr:row>8</xdr:row>
      <xdr:rowOff>26030</xdr:rowOff>
    </xdr:from>
    <xdr:to>
      <xdr:col>18</xdr:col>
      <xdr:colOff>345433</xdr:colOff>
      <xdr:row>10</xdr:row>
      <xdr:rowOff>139423</xdr:rowOff>
    </xdr:to>
    <xdr:sp macro="" textlink="'Pivot Table'!D6">
      <xdr:nvSpPr>
        <xdr:cNvPr id="43" name="TextBox 42">
          <a:extLst>
            <a:ext uri="{FF2B5EF4-FFF2-40B4-BE49-F238E27FC236}">
              <a16:creationId xmlns:a16="http://schemas.microsoft.com/office/drawing/2014/main" id="{1E47A88E-53DB-46B2-8E57-AA7B6B2DC4B2}"/>
            </a:ext>
          </a:extLst>
        </xdr:cNvPr>
        <xdr:cNvSpPr txBox="1"/>
      </xdr:nvSpPr>
      <xdr:spPr>
        <a:xfrm>
          <a:off x="9398090" y="1512859"/>
          <a:ext cx="1819782" cy="48510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7DB09B-76B2-4A4C-B577-020C53798340}" type="TxLink">
            <a:rPr lang="en-US" sz="2800" b="0" i="0" u="none" strike="noStrike">
              <a:solidFill>
                <a:srgbClr val="000000"/>
              </a:solidFill>
              <a:latin typeface="Calibri"/>
              <a:ea typeface="Calibri"/>
              <a:cs typeface="Calibri"/>
            </a:rPr>
            <a:pPr marL="0" indent="0"/>
            <a:t>TK .680 M</a:t>
          </a:fld>
          <a:endParaRPr lang="en-US" sz="2800" b="0" i="0" u="none" strike="noStrike">
            <a:solidFill>
              <a:srgbClr val="000000"/>
            </a:solidFill>
            <a:latin typeface="Calibri"/>
            <a:ea typeface="Calibri"/>
            <a:cs typeface="Calibri"/>
          </a:endParaRPr>
        </a:p>
      </xdr:txBody>
    </xdr:sp>
    <xdr:clientData/>
  </xdr:twoCellAnchor>
  <xdr:twoCellAnchor>
    <xdr:from>
      <xdr:col>19</xdr:col>
      <xdr:colOff>578302</xdr:colOff>
      <xdr:row>8</xdr:row>
      <xdr:rowOff>42634</xdr:rowOff>
    </xdr:from>
    <xdr:to>
      <xdr:col>22</xdr:col>
      <xdr:colOff>566962</xdr:colOff>
      <xdr:row>10</xdr:row>
      <xdr:rowOff>156027</xdr:rowOff>
    </xdr:to>
    <xdr:sp macro="" textlink="'Pivot Table'!E6">
      <xdr:nvSpPr>
        <xdr:cNvPr id="44" name="TextBox 43">
          <a:extLst>
            <a:ext uri="{FF2B5EF4-FFF2-40B4-BE49-F238E27FC236}">
              <a16:creationId xmlns:a16="http://schemas.microsoft.com/office/drawing/2014/main" id="{9E070005-6C0D-42B0-BA59-18FB257D8653}"/>
            </a:ext>
          </a:extLst>
        </xdr:cNvPr>
        <xdr:cNvSpPr txBox="1"/>
      </xdr:nvSpPr>
      <xdr:spPr>
        <a:xfrm>
          <a:off x="12212409" y="1584777"/>
          <a:ext cx="1825624" cy="49892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BB2A36-0913-49AA-895E-C7ADADE75FFB}" type="TxLink">
            <a:rPr lang="en-US" sz="2800" b="0" i="0" u="none" strike="noStrike">
              <a:solidFill>
                <a:srgbClr val="000000"/>
              </a:solidFill>
              <a:latin typeface="Calibri"/>
              <a:ea typeface="Calibri"/>
              <a:cs typeface="Calibri"/>
            </a:rPr>
            <a:pPr marL="0" indent="0"/>
            <a:t>TK 1.597 M</a:t>
          </a:fld>
          <a:endParaRPr lang="en-US" sz="2800" b="0" i="0" u="none" strike="noStrike">
            <a:solidFill>
              <a:srgbClr val="000000"/>
            </a:solidFill>
            <a:latin typeface="Calibri"/>
            <a:ea typeface="Calibri"/>
            <a:cs typeface="Calibri"/>
          </a:endParaRPr>
        </a:p>
      </xdr:txBody>
    </xdr:sp>
    <xdr:clientData/>
  </xdr:twoCellAnchor>
  <xdr:twoCellAnchor>
    <xdr:from>
      <xdr:col>16</xdr:col>
      <xdr:colOff>136071</xdr:colOff>
      <xdr:row>2</xdr:row>
      <xdr:rowOff>27667</xdr:rowOff>
    </xdr:from>
    <xdr:to>
      <xdr:col>22</xdr:col>
      <xdr:colOff>487590</xdr:colOff>
      <xdr:row>4</xdr:row>
      <xdr:rowOff>152399</xdr:rowOff>
    </xdr:to>
    <xdr:sp macro="" textlink="">
      <xdr:nvSpPr>
        <xdr:cNvPr id="45" name="TextBox 44">
          <a:extLst>
            <a:ext uri="{FF2B5EF4-FFF2-40B4-BE49-F238E27FC236}">
              <a16:creationId xmlns:a16="http://schemas.microsoft.com/office/drawing/2014/main" id="{F71F0B5C-752B-49C3-B32D-DD84E08D9C28}"/>
            </a:ext>
          </a:extLst>
        </xdr:cNvPr>
        <xdr:cNvSpPr txBox="1"/>
      </xdr:nvSpPr>
      <xdr:spPr>
        <a:xfrm>
          <a:off x="9933214" y="413203"/>
          <a:ext cx="4025447" cy="510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E2136E"/>
              </a:solidFill>
            </a:rPr>
            <a:t>Created</a:t>
          </a:r>
          <a:r>
            <a:rPr lang="en-US" sz="2800" b="1" baseline="0">
              <a:solidFill>
                <a:srgbClr val="E2136E"/>
              </a:solidFill>
            </a:rPr>
            <a:t> By Mehedi Hasan</a:t>
          </a:r>
          <a:endParaRPr lang="en-US" sz="2800" b="1">
            <a:solidFill>
              <a:schemeClr val="bg1"/>
            </a:solidFill>
          </a:endParaRPr>
        </a:p>
      </xdr:txBody>
    </xdr:sp>
    <xdr:clientData/>
  </xdr:twoCellAnchor>
  <xdr:twoCellAnchor editAs="oneCell">
    <xdr:from>
      <xdr:col>14</xdr:col>
      <xdr:colOff>204108</xdr:colOff>
      <xdr:row>1</xdr:row>
      <xdr:rowOff>136071</xdr:rowOff>
    </xdr:from>
    <xdr:to>
      <xdr:col>15</xdr:col>
      <xdr:colOff>399711</xdr:colOff>
      <xdr:row>4</xdr:row>
      <xdr:rowOff>147411</xdr:rowOff>
    </xdr:to>
    <xdr:pic>
      <xdr:nvPicPr>
        <xdr:cNvPr id="46" name="Graphic 45" descr="Transfer with solid fill">
          <a:extLst>
            <a:ext uri="{FF2B5EF4-FFF2-40B4-BE49-F238E27FC236}">
              <a16:creationId xmlns:a16="http://schemas.microsoft.com/office/drawing/2014/main" id="{9C5CCDB9-85B8-4AA1-AE66-9DFCE7D25B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776608" y="328839"/>
          <a:ext cx="807924" cy="589643"/>
        </a:xfrm>
        <a:prstGeom prst="rect">
          <a:avLst/>
        </a:prstGeom>
      </xdr:spPr>
    </xdr:pic>
    <xdr:clientData/>
  </xdr:twoCellAnchor>
  <xdr:twoCellAnchor editAs="oneCell">
    <xdr:from>
      <xdr:col>19</xdr:col>
      <xdr:colOff>192768</xdr:colOff>
      <xdr:row>6</xdr:row>
      <xdr:rowOff>136072</xdr:rowOff>
    </xdr:from>
    <xdr:to>
      <xdr:col>20</xdr:col>
      <xdr:colOff>0</xdr:colOff>
      <xdr:row>11</xdr:row>
      <xdr:rowOff>147411</xdr:rowOff>
    </xdr:to>
    <xdr:pic>
      <xdr:nvPicPr>
        <xdr:cNvPr id="48" name="Graphic 47" descr="Bar graph with upward trend with solid fill">
          <a:extLst>
            <a:ext uri="{FF2B5EF4-FFF2-40B4-BE49-F238E27FC236}">
              <a16:creationId xmlns:a16="http://schemas.microsoft.com/office/drawing/2014/main" id="{B70C1ED9-05C3-4E82-8AC2-7795C7B4D31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26875" y="1292679"/>
          <a:ext cx="419554" cy="975178"/>
        </a:xfrm>
        <a:prstGeom prst="rect">
          <a:avLst/>
        </a:prstGeom>
      </xdr:spPr>
    </xdr:pic>
    <xdr:clientData/>
  </xdr:twoCellAnchor>
  <xdr:twoCellAnchor>
    <xdr:from>
      <xdr:col>10</xdr:col>
      <xdr:colOff>453572</xdr:colOff>
      <xdr:row>14</xdr:row>
      <xdr:rowOff>11616</xdr:rowOff>
    </xdr:from>
    <xdr:to>
      <xdr:col>16</xdr:col>
      <xdr:colOff>374196</xdr:colOff>
      <xdr:row>24</xdr:row>
      <xdr:rowOff>11339</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CE096740-3CFA-4027-8CE3-D25EC1E185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93816" y="2613567"/>
              <a:ext cx="3544770" cy="1858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522714</xdr:colOff>
      <xdr:row>12</xdr:row>
      <xdr:rowOff>81311</xdr:rowOff>
    </xdr:from>
    <xdr:to>
      <xdr:col>22</xdr:col>
      <xdr:colOff>592408</xdr:colOff>
      <xdr:row>24</xdr:row>
      <xdr:rowOff>0</xdr:rowOff>
    </xdr:to>
    <xdr:graphicFrame macro="">
      <xdr:nvGraphicFramePr>
        <xdr:cNvPr id="52" name="Chart 51">
          <a:extLst>
            <a:ext uri="{FF2B5EF4-FFF2-40B4-BE49-F238E27FC236}">
              <a16:creationId xmlns:a16="http://schemas.microsoft.com/office/drawing/2014/main" id="{2A0E85FD-F49C-42EA-A734-8A79CF822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59190</xdr:colOff>
      <xdr:row>24</xdr:row>
      <xdr:rowOff>113393</xdr:rowOff>
    </xdr:from>
    <xdr:to>
      <xdr:col>9</xdr:col>
      <xdr:colOff>59190</xdr:colOff>
      <xdr:row>38</xdr:row>
      <xdr:rowOff>11339</xdr:rowOff>
    </xdr:to>
    <xdr:cxnSp macro="">
      <xdr:nvCxnSpPr>
        <xdr:cNvPr id="7" name="Straight Connector 6">
          <a:extLst>
            <a:ext uri="{FF2B5EF4-FFF2-40B4-BE49-F238E27FC236}">
              <a16:creationId xmlns:a16="http://schemas.microsoft.com/office/drawing/2014/main" id="{58F8B0FE-3120-4325-A61F-022878BC599A}"/>
            </a:ext>
          </a:extLst>
        </xdr:cNvPr>
        <xdr:cNvCxnSpPr>
          <a:stCxn id="9" idx="0"/>
          <a:endCxn id="9" idx="2"/>
        </xdr:cNvCxnSpPr>
      </xdr:nvCxnSpPr>
      <xdr:spPr>
        <a:xfrm>
          <a:off x="5570083" y="4739822"/>
          <a:ext cx="0" cy="2596696"/>
        </a:xfrm>
        <a:prstGeom prst="line">
          <a:avLst/>
        </a:prstGeom>
        <a:ln w="254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69695</xdr:colOff>
      <xdr:row>24</xdr:row>
      <xdr:rowOff>127774</xdr:rowOff>
    </xdr:from>
    <xdr:to>
      <xdr:col>13</xdr:col>
      <xdr:colOff>383323</xdr:colOff>
      <xdr:row>38</xdr:row>
      <xdr:rowOff>11616</xdr:rowOff>
    </xdr:to>
    <xdr:graphicFrame macro="">
      <xdr:nvGraphicFramePr>
        <xdr:cNvPr id="36" name="Chart 35">
          <a:extLst>
            <a:ext uri="{FF2B5EF4-FFF2-40B4-BE49-F238E27FC236}">
              <a16:creationId xmlns:a16="http://schemas.microsoft.com/office/drawing/2014/main" id="{5CEDFF8A-0E6F-4482-878E-8FA3C804B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511098</xdr:colOff>
      <xdr:row>24</xdr:row>
      <xdr:rowOff>162623</xdr:rowOff>
    </xdr:from>
    <xdr:to>
      <xdr:col>22</xdr:col>
      <xdr:colOff>592408</xdr:colOff>
      <xdr:row>38</xdr:row>
      <xdr:rowOff>46464</xdr:rowOff>
    </xdr:to>
    <xdr:graphicFrame macro="">
      <xdr:nvGraphicFramePr>
        <xdr:cNvPr id="47" name="Chart 46">
          <a:extLst>
            <a:ext uri="{FF2B5EF4-FFF2-40B4-BE49-F238E27FC236}">
              <a16:creationId xmlns:a16="http://schemas.microsoft.com/office/drawing/2014/main" id="{2082DD3D-19FF-4D09-8B5D-289646D99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348477</xdr:colOff>
      <xdr:row>25</xdr:row>
      <xdr:rowOff>0</xdr:rowOff>
    </xdr:from>
    <xdr:to>
      <xdr:col>9</xdr:col>
      <xdr:colOff>23231</xdr:colOff>
      <xdr:row>38</xdr:row>
      <xdr:rowOff>23232</xdr:rowOff>
    </xdr:to>
    <xdr:graphicFrame macro="">
      <xdr:nvGraphicFramePr>
        <xdr:cNvPr id="49" name="Chart 48">
          <a:extLst>
            <a:ext uri="{FF2B5EF4-FFF2-40B4-BE49-F238E27FC236}">
              <a16:creationId xmlns:a16="http://schemas.microsoft.com/office/drawing/2014/main" id="{48791FB1-0064-4A30-A019-5AA101EB7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348475</xdr:colOff>
      <xdr:row>14</xdr:row>
      <xdr:rowOff>46463</xdr:rowOff>
    </xdr:from>
    <xdr:to>
      <xdr:col>10</xdr:col>
      <xdr:colOff>302012</xdr:colOff>
      <xdr:row>24</xdr:row>
      <xdr:rowOff>23232</xdr:rowOff>
    </xdr:to>
    <xdr:graphicFrame macro="">
      <xdr:nvGraphicFramePr>
        <xdr:cNvPr id="53" name="Chart 52">
          <a:extLst>
            <a:ext uri="{FF2B5EF4-FFF2-40B4-BE49-F238E27FC236}">
              <a16:creationId xmlns:a16="http://schemas.microsoft.com/office/drawing/2014/main" id="{43FD6B54-D3D6-4DFD-8E8A-D41962881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290396</xdr:colOff>
      <xdr:row>17</xdr:row>
      <xdr:rowOff>58080</xdr:rowOff>
    </xdr:from>
    <xdr:to>
      <xdr:col>4</xdr:col>
      <xdr:colOff>209084</xdr:colOff>
      <xdr:row>30</xdr:row>
      <xdr:rowOff>104542</xdr:rowOff>
    </xdr:to>
    <mc:AlternateContent xmlns:mc="http://schemas.openxmlformats.org/markup-compatibility/2006">
      <mc:Choice xmlns:a14="http://schemas.microsoft.com/office/drawing/2010/main" Requires="a14">
        <xdr:graphicFrame macro="">
          <xdr:nvGraphicFramePr>
            <xdr:cNvPr id="50" name="Location">
              <a:extLst>
                <a:ext uri="{FF2B5EF4-FFF2-40B4-BE49-F238E27FC236}">
                  <a16:creationId xmlns:a16="http://schemas.microsoft.com/office/drawing/2014/main" id="{AEBD466A-72F8-4245-B9B9-58FCD218C2F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508710" y="3258923"/>
              <a:ext cx="1137002" cy="2494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313350</xdr:colOff>
      <xdr:row>6</xdr:row>
      <xdr:rowOff>100419</xdr:rowOff>
    </xdr:from>
    <xdr:to>
      <xdr:col>4</xdr:col>
      <xdr:colOff>267164</xdr:colOff>
      <xdr:row>17</xdr:row>
      <xdr:rowOff>11617</xdr:rowOff>
    </xdr:to>
    <mc:AlternateContent xmlns:mc="http://schemas.openxmlformats.org/markup-compatibility/2006" xmlns:a14="http://schemas.microsoft.com/office/drawing/2010/main">
      <mc:Choice Requires="a14">
        <xdr:graphicFrame macro="">
          <xdr:nvGraphicFramePr>
            <xdr:cNvPr id="55" name="Date_Time">
              <a:extLst>
                <a:ext uri="{FF2B5EF4-FFF2-40B4-BE49-F238E27FC236}">
                  <a16:creationId xmlns:a16="http://schemas.microsoft.com/office/drawing/2014/main" id="{01A604BD-B15D-4EEC-BE0A-DF3376C3C065}"/>
                </a:ext>
              </a:extLst>
            </xdr:cNvPr>
            <xdr:cNvGraphicFramePr/>
          </xdr:nvGraphicFramePr>
          <xdr:xfrm>
            <a:off x="0" y="0"/>
            <a:ext cx="0" cy="0"/>
          </xdr:xfrm>
          <a:graphic>
            <a:graphicData uri="http://schemas.microsoft.com/office/drawing/2010/slicer">
              <sle:slicer xmlns:sle="http://schemas.microsoft.com/office/drawing/2010/slicer" name="Date_Time"/>
            </a:graphicData>
          </a:graphic>
        </xdr:graphicFrame>
      </mc:Choice>
      <mc:Fallback xmlns="">
        <xdr:sp macro="" textlink="">
          <xdr:nvSpPr>
            <xdr:cNvPr id="0" name=""/>
            <xdr:cNvSpPr>
              <a:spLocks noTextEdit="1"/>
            </xdr:cNvSpPr>
          </xdr:nvSpPr>
          <xdr:spPr>
            <a:xfrm>
              <a:off x="1521399" y="1215541"/>
              <a:ext cx="1161863" cy="1955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325242</xdr:colOff>
      <xdr:row>30</xdr:row>
      <xdr:rowOff>127775</xdr:rowOff>
    </xdr:from>
    <xdr:to>
      <xdr:col>4</xdr:col>
      <xdr:colOff>162622</xdr:colOff>
      <xdr:row>37</xdr:row>
      <xdr:rowOff>174237</xdr:rowOff>
    </xdr:to>
    <mc:AlternateContent xmlns:mc="http://schemas.openxmlformats.org/markup-compatibility/2006" xmlns:a14="http://schemas.microsoft.com/office/drawing/2010/main">
      <mc:Choice Requires="a14">
        <xdr:graphicFrame macro="">
          <xdr:nvGraphicFramePr>
            <xdr:cNvPr id="56" name="Sender_Type">
              <a:extLst>
                <a:ext uri="{FF2B5EF4-FFF2-40B4-BE49-F238E27FC236}">
                  <a16:creationId xmlns:a16="http://schemas.microsoft.com/office/drawing/2014/main" id="{AFB79589-4959-4C17-8181-E6FE615D15E6}"/>
                </a:ext>
              </a:extLst>
            </xdr:cNvPr>
            <xdr:cNvGraphicFramePr/>
          </xdr:nvGraphicFramePr>
          <xdr:xfrm>
            <a:off x="0" y="0"/>
            <a:ext cx="0" cy="0"/>
          </xdr:xfrm>
          <a:graphic>
            <a:graphicData uri="http://schemas.microsoft.com/office/drawing/2010/slicer">
              <sle:slicer xmlns:sle="http://schemas.microsoft.com/office/drawing/2010/slicer" name="Sender_Type"/>
            </a:graphicData>
          </a:graphic>
        </xdr:graphicFrame>
      </mc:Choice>
      <mc:Fallback xmlns="">
        <xdr:sp macro="" textlink="">
          <xdr:nvSpPr>
            <xdr:cNvPr id="0" name=""/>
            <xdr:cNvSpPr>
              <a:spLocks noTextEdit="1"/>
            </xdr:cNvSpPr>
          </xdr:nvSpPr>
          <xdr:spPr>
            <a:xfrm>
              <a:off x="1533291" y="5703385"/>
              <a:ext cx="1045429" cy="1347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336860</xdr:colOff>
      <xdr:row>12</xdr:row>
      <xdr:rowOff>81310</xdr:rowOff>
    </xdr:from>
    <xdr:to>
      <xdr:col>15</xdr:col>
      <xdr:colOff>441403</xdr:colOff>
      <xdr:row>14</xdr:row>
      <xdr:rowOff>34846</xdr:rowOff>
    </xdr:to>
    <xdr:sp macro="" textlink="">
      <xdr:nvSpPr>
        <xdr:cNvPr id="6" name="TextBox 5">
          <a:extLst>
            <a:ext uri="{FF2B5EF4-FFF2-40B4-BE49-F238E27FC236}">
              <a16:creationId xmlns:a16="http://schemas.microsoft.com/office/drawing/2014/main" id="{8E87967E-4118-4120-9601-1B4EC7220771}"/>
            </a:ext>
          </a:extLst>
        </xdr:cNvPr>
        <xdr:cNvSpPr txBox="1"/>
      </xdr:nvSpPr>
      <xdr:spPr>
        <a:xfrm>
          <a:off x="7585153" y="2311554"/>
          <a:ext cx="1916616" cy="32524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State</a:t>
          </a:r>
          <a:r>
            <a:rPr lang="en-US" sz="1600" b="1" baseline="0"/>
            <a:t> Wise Revenue</a:t>
          </a:r>
        </a:p>
        <a:p>
          <a:endParaRPr lang="en-US" sz="1100"/>
        </a:p>
      </xdr:txBody>
    </xdr:sp>
    <xdr:clientData/>
  </xdr:twoCellAnchor>
  <xdr:twoCellAnchor>
    <xdr:from>
      <xdr:col>5</xdr:col>
      <xdr:colOff>315022</xdr:colOff>
      <xdr:row>12</xdr:row>
      <xdr:rowOff>59473</xdr:rowOff>
    </xdr:from>
    <xdr:to>
      <xdr:col>9</xdr:col>
      <xdr:colOff>116158</xdr:colOff>
      <xdr:row>14</xdr:row>
      <xdr:rowOff>13009</xdr:rowOff>
    </xdr:to>
    <xdr:sp macro="" textlink="">
      <xdr:nvSpPr>
        <xdr:cNvPr id="54" name="TextBox 53">
          <a:extLst>
            <a:ext uri="{FF2B5EF4-FFF2-40B4-BE49-F238E27FC236}">
              <a16:creationId xmlns:a16="http://schemas.microsoft.com/office/drawing/2014/main" id="{14403BE6-15A0-470E-AEAF-BE7CD5A0C05E}"/>
            </a:ext>
          </a:extLst>
        </xdr:cNvPr>
        <xdr:cNvSpPr txBox="1"/>
      </xdr:nvSpPr>
      <xdr:spPr>
        <a:xfrm>
          <a:off x="3335144" y="2289717"/>
          <a:ext cx="2217234" cy="32524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Revenue By Store Type</a:t>
          </a:r>
        </a:p>
      </xdr:txBody>
    </xdr:sp>
    <xdr:clientData/>
  </xdr:twoCellAnchor>
  <xdr:twoCellAnchor>
    <xdr:from>
      <xdr:col>18</xdr:col>
      <xdr:colOff>11617</xdr:colOff>
      <xdr:row>12</xdr:row>
      <xdr:rowOff>72483</xdr:rowOff>
    </xdr:from>
    <xdr:to>
      <xdr:col>21</xdr:col>
      <xdr:colOff>348476</xdr:colOff>
      <xdr:row>14</xdr:row>
      <xdr:rowOff>26019</xdr:rowOff>
    </xdr:to>
    <xdr:sp macro="" textlink="">
      <xdr:nvSpPr>
        <xdr:cNvPr id="57" name="TextBox 56">
          <a:extLst>
            <a:ext uri="{FF2B5EF4-FFF2-40B4-BE49-F238E27FC236}">
              <a16:creationId xmlns:a16="http://schemas.microsoft.com/office/drawing/2014/main" id="{05BAA690-A131-4BA1-9E4F-3CD385EBAD35}"/>
            </a:ext>
          </a:extLst>
        </xdr:cNvPr>
        <xdr:cNvSpPr txBox="1"/>
      </xdr:nvSpPr>
      <xdr:spPr>
        <a:xfrm>
          <a:off x="10884056" y="2302727"/>
          <a:ext cx="2148932" cy="32524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Revenue By Cx Tenure</a:t>
          </a:r>
        </a:p>
      </xdr:txBody>
    </xdr:sp>
    <xdr:clientData/>
  </xdr:twoCellAnchor>
  <xdr:twoCellAnchor>
    <xdr:from>
      <xdr:col>5</xdr:col>
      <xdr:colOff>190038</xdr:colOff>
      <xdr:row>25</xdr:row>
      <xdr:rowOff>27414</xdr:rowOff>
    </xdr:from>
    <xdr:to>
      <xdr:col>8</xdr:col>
      <xdr:colOff>69696</xdr:colOff>
      <xdr:row>26</xdr:row>
      <xdr:rowOff>166803</xdr:rowOff>
    </xdr:to>
    <xdr:sp macro="" textlink="">
      <xdr:nvSpPr>
        <xdr:cNvPr id="58" name="TextBox 57">
          <a:extLst>
            <a:ext uri="{FF2B5EF4-FFF2-40B4-BE49-F238E27FC236}">
              <a16:creationId xmlns:a16="http://schemas.microsoft.com/office/drawing/2014/main" id="{66D5D81A-21CE-46FB-8D10-75FB20C142B5}"/>
            </a:ext>
          </a:extLst>
        </xdr:cNvPr>
        <xdr:cNvSpPr txBox="1"/>
      </xdr:nvSpPr>
      <xdr:spPr>
        <a:xfrm>
          <a:off x="3210160" y="4673755"/>
          <a:ext cx="1691731" cy="32524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dk1"/>
              </a:solidFill>
              <a:latin typeface="+mn-lt"/>
              <a:ea typeface="+mn-ea"/>
              <a:cs typeface="+mn-cs"/>
            </a:rPr>
            <a:t>Revenue By Type</a:t>
          </a:r>
        </a:p>
      </xdr:txBody>
    </xdr:sp>
    <xdr:clientData/>
  </xdr:twoCellAnchor>
  <xdr:twoCellAnchor>
    <xdr:from>
      <xdr:col>15</xdr:col>
      <xdr:colOff>383323</xdr:colOff>
      <xdr:row>25</xdr:row>
      <xdr:rowOff>40424</xdr:rowOff>
    </xdr:from>
    <xdr:to>
      <xdr:col>20</xdr:col>
      <xdr:colOff>243933</xdr:colOff>
      <xdr:row>26</xdr:row>
      <xdr:rowOff>179813</xdr:rowOff>
    </xdr:to>
    <xdr:sp macro="" textlink="">
      <xdr:nvSpPr>
        <xdr:cNvPr id="59" name="TextBox 58">
          <a:extLst>
            <a:ext uri="{FF2B5EF4-FFF2-40B4-BE49-F238E27FC236}">
              <a16:creationId xmlns:a16="http://schemas.microsoft.com/office/drawing/2014/main" id="{862D2680-AAA2-4C23-B494-653373CE90D3}"/>
            </a:ext>
          </a:extLst>
        </xdr:cNvPr>
        <xdr:cNvSpPr txBox="1"/>
      </xdr:nvSpPr>
      <xdr:spPr>
        <a:xfrm>
          <a:off x="9443689" y="4686765"/>
          <a:ext cx="2880732" cy="32524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wrap="square" rtlCol="0" anchor="t"/>
        <a:lstStyle/>
        <a:p>
          <a:pPr marL="0" indent="0"/>
          <a:r>
            <a:rPr lang="en-US" sz="1600" b="1" baseline="0">
              <a:solidFill>
                <a:schemeClr val="dk1"/>
              </a:solidFill>
              <a:latin typeface="+mn-lt"/>
              <a:ea typeface="+mn-ea"/>
              <a:cs typeface="+mn-cs"/>
            </a:rPr>
            <a:t>Sum of Transaction Vs Revenue </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0.06383</cdr:x>
      <cdr:y>0.02794</cdr:y>
    </cdr:from>
    <cdr:to>
      <cdr:x>0.92766</cdr:x>
      <cdr:y>0.17687</cdr:y>
    </cdr:to>
    <cdr:sp macro="" textlink="">
      <cdr:nvSpPr>
        <cdr:cNvPr id="2" name="TextBox 5">
          <a:extLst xmlns:a="http://schemas.openxmlformats.org/drawingml/2006/main">
            <a:ext uri="{FF2B5EF4-FFF2-40B4-BE49-F238E27FC236}">
              <a16:creationId xmlns:a16="http://schemas.microsoft.com/office/drawing/2014/main" id="{8E87967E-4118-4120-9601-1B4EC7220771}"/>
            </a:ext>
          </a:extLst>
        </cdr:cNvPr>
        <cdr:cNvSpPr txBox="1"/>
      </cdr:nvSpPr>
      <cdr:spPr>
        <a:xfrm xmlns:a="http://schemas.openxmlformats.org/drawingml/2006/main">
          <a:off x="174237" y="69441"/>
          <a:ext cx="2358019" cy="370223"/>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baseline="0"/>
            <a:t>Revenue By Sender Type</a:t>
          </a:r>
        </a:p>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ma" refreshedDate="46143.478821296296" createdVersion="7" refreshedVersion="7" minRefreshableVersion="3" recordCount="5000" xr:uid="{00000000-000A-0000-FFFF-FFFF01000000}">
  <cacheSource type="worksheet">
    <worksheetSource name="Bkash_data"/>
  </cacheSource>
  <cacheFields count="12">
    <cacheField name="Transaction_ID" numFmtId="0">
      <sharedItems/>
    </cacheField>
    <cacheField name="Date_Time" numFmtId="22">
      <sharedItems containsSemiMixedTypes="0" containsNonDate="0" containsDate="1" containsString="0" minDate="2025-04-30T20:23:10" maxDate="2026-04-30T18:21:09" count="5000">
        <d v="2025-09-18T10:48:25"/>
        <d v="2025-11-07T17:56:31"/>
        <d v="2025-11-08T13:52:24"/>
        <d v="2025-11-20T14:09:37"/>
        <d v="2025-09-21T23:36:38"/>
        <d v="2026-01-06T12:37:58"/>
        <d v="2026-04-24T09:26:28"/>
        <d v="2025-05-16T06:32:41"/>
        <d v="2025-06-28T05:52:23"/>
        <d v="2025-09-05T08:52:42"/>
        <d v="2025-12-17T20:48:57"/>
        <d v="2026-01-10T23:42:54"/>
        <d v="2026-03-24T07:26:46"/>
        <d v="2025-06-06T17:34:19"/>
        <d v="2025-10-11T09:20:47"/>
        <d v="2025-11-30T01:10:00"/>
        <d v="2026-02-15T14:38:57"/>
        <d v="2025-06-06T21:21:01"/>
        <d v="2026-03-31T00:31:28"/>
        <d v="2026-01-14T02:54:06"/>
        <d v="2025-11-14T17:00:11"/>
        <d v="2026-03-14T10:57:20"/>
        <d v="2025-07-07T17:32:23"/>
        <d v="2025-07-31T03:28:53"/>
        <d v="2025-06-10T10:05:28"/>
        <d v="2025-11-12T23:57:36"/>
        <d v="2025-08-19T19:54:40"/>
        <d v="2025-12-02T04:52:57"/>
        <d v="2025-11-01T21:12:22"/>
        <d v="2026-04-03T13:07:31"/>
        <d v="2025-10-15T06:14:15"/>
        <d v="2026-04-18T18:07:25"/>
        <d v="2026-03-22T19:38:57"/>
        <d v="2026-03-13T13:53:45"/>
        <d v="2025-06-09T21:52:19"/>
        <d v="2025-12-28T19:04:25"/>
        <d v="2026-01-12T19:57:41"/>
        <d v="2025-11-08T01:43:34"/>
        <d v="2025-08-10T08:38:27"/>
        <d v="2025-08-17T06:08:34"/>
        <d v="2025-10-29T14:20:24"/>
        <d v="2025-08-22T01:06:42"/>
        <d v="2025-05-09T15:34:04"/>
        <d v="2025-09-30T08:53:33"/>
        <d v="2026-03-17T18:40:03"/>
        <d v="2025-07-06T17:51:58"/>
        <d v="2025-06-08T08:38:07"/>
        <d v="2026-04-27T00:01:48"/>
        <d v="2025-06-23T10:08:06"/>
        <d v="2025-11-28T13:00:24"/>
        <d v="2026-02-13T16:27:26"/>
        <d v="2025-09-19T00:13:00"/>
        <d v="2025-06-21T06:38:56"/>
        <d v="2025-09-25T00:32:08"/>
        <d v="2025-10-15T01:09:43"/>
        <d v="2025-07-16T06:42:05"/>
        <d v="2025-07-11T05:03:33"/>
        <d v="2025-08-18T04:11:33"/>
        <d v="2025-09-13T03:56:11"/>
        <d v="2026-02-24T22:27:52"/>
        <d v="2025-05-12T07:40:19"/>
        <d v="2026-04-05T09:27:55"/>
        <d v="2025-07-11T14:25:33"/>
        <d v="2025-09-13T23:50:24"/>
        <d v="2025-10-25T05:03:28"/>
        <d v="2025-10-17T10:43:37"/>
        <d v="2025-12-14T01:30:22"/>
        <d v="2025-06-08T00:58:19"/>
        <d v="2025-09-08T02:54:34"/>
        <d v="2026-02-27T02:16:01"/>
        <d v="2026-03-31T05:14:55"/>
        <d v="2025-11-26T00:53:52"/>
        <d v="2026-02-11T21:45:29"/>
        <d v="2025-07-06T12:32:58"/>
        <d v="2026-03-12T20:16:08"/>
        <d v="2026-03-13T14:37:31"/>
        <d v="2026-02-26T01:13:25"/>
        <d v="2025-10-02T03:19:02"/>
        <d v="2025-07-20T11:55:52"/>
        <d v="2025-11-26T18:01:29"/>
        <d v="2026-02-10T22:12:49"/>
        <d v="2026-02-20T20:48:26"/>
        <d v="2026-03-24T10:38:20"/>
        <d v="2026-03-31T14:30:03"/>
        <d v="2025-08-10T14:25:57"/>
        <d v="2025-10-17T10:53:43"/>
        <d v="2025-10-13T16:53:41"/>
        <d v="2026-04-05T23:26:29"/>
        <d v="2025-10-08T04:07:22"/>
        <d v="2025-11-23T04:21:57"/>
        <d v="2026-04-03T09:25:55"/>
        <d v="2025-10-26T18:54:36"/>
        <d v="2025-05-22T23:36:50"/>
        <d v="2025-05-11T04:43:15"/>
        <d v="2025-07-01T13:16:49"/>
        <d v="2025-10-24T04:51:07"/>
        <d v="2025-06-28T08:44:52"/>
        <d v="2025-05-27T03:45:15"/>
        <d v="2025-05-28T03:51:16"/>
        <d v="2025-05-27T18:28:10"/>
        <d v="2025-06-26T12:52:08"/>
        <d v="2025-10-21T13:07:11"/>
        <d v="2025-11-14T20:41:39"/>
        <d v="2025-09-24T18:09:48"/>
        <d v="2025-08-15T10:35:28"/>
        <d v="2025-09-20T17:17:44"/>
        <d v="2026-04-02T09:10:57"/>
        <d v="2025-05-23T04:44:15"/>
        <d v="2025-10-13T06:31:03"/>
        <d v="2026-01-24T19:26:07"/>
        <d v="2025-10-13T05:44:45"/>
        <d v="2026-03-16T02:50:26"/>
        <d v="2025-08-03T17:56:44"/>
        <d v="2025-07-31T08:53:43"/>
        <d v="2025-06-07T14:04:05"/>
        <d v="2025-11-27T17:15:17"/>
        <d v="2025-10-04T10:27:59"/>
        <d v="2025-11-29T18:45:10"/>
        <d v="2025-09-17T14:50:17"/>
        <d v="2025-05-16T20:14:29"/>
        <d v="2025-05-25T09:42:52"/>
        <d v="2025-05-09T03:51:31"/>
        <d v="2025-10-28T00:05:25"/>
        <d v="2025-12-14T20:24:46"/>
        <d v="2026-02-16T08:55:03"/>
        <d v="2026-04-29T01:46:23"/>
        <d v="2026-03-15T22:11:30"/>
        <d v="2025-08-09T19:30:25"/>
        <d v="2025-12-05T10:13:25"/>
        <d v="2025-07-10T02:54:06"/>
        <d v="2026-04-10T19:40:45"/>
        <d v="2026-03-04T09:40:24"/>
        <d v="2025-12-21T01:26:01"/>
        <d v="2026-03-26T12:27:28"/>
        <d v="2025-05-24T00:57:39"/>
        <d v="2025-07-15T04:07:44"/>
        <d v="2025-11-06T13:33:55"/>
        <d v="2026-02-17T09:38:25"/>
        <d v="2025-06-04T21:05:08"/>
        <d v="2026-03-22T00:09:54"/>
        <d v="2026-04-20T05:35:50"/>
        <d v="2025-07-28T09:40:21"/>
        <d v="2026-04-01T06:27:37"/>
        <d v="2025-11-06T18:03:03"/>
        <d v="2026-03-31T17:29:41"/>
        <d v="2026-03-26T09:20:01"/>
        <d v="2025-06-19T03:38:50"/>
        <d v="2025-09-11T22:28:54"/>
        <d v="2025-06-26T07:35:50"/>
        <d v="2025-09-15T01:39:30"/>
        <d v="2025-10-18T18:06:14"/>
        <d v="2025-10-22T23:32:50"/>
        <d v="2026-03-07T12:49:09"/>
        <d v="2026-01-20T21:24:09"/>
        <d v="2026-01-19T09:41:48"/>
        <d v="2025-12-06T01:43:47"/>
        <d v="2025-06-18T10:07:39"/>
        <d v="2026-04-02T20:32:18"/>
        <d v="2025-09-25T21:27:01"/>
        <d v="2025-06-23T07:53:43"/>
        <d v="2026-04-21T14:52:36"/>
        <d v="2025-10-14T06:14:55"/>
        <d v="2026-01-08T00:29:45"/>
        <d v="2026-02-18T19:16:02"/>
        <d v="2026-04-26T12:23:41"/>
        <d v="2025-08-13T10:20:24"/>
        <d v="2025-10-27T05:33:14"/>
        <d v="2026-04-07T12:31:00"/>
        <d v="2025-06-27T06:47:51"/>
        <d v="2026-02-22T14:58:04"/>
        <d v="2025-12-21T04:38:37"/>
        <d v="2025-09-22T22:42:46"/>
        <d v="2025-07-03T16:42:30"/>
        <d v="2026-04-18T13:50:01"/>
        <d v="2026-02-05T03:15:45"/>
        <d v="2025-11-17T05:47:58"/>
        <d v="2026-02-26T21:12:00"/>
        <d v="2025-08-30T02:48:43"/>
        <d v="2026-04-27T11:13:26"/>
        <d v="2025-07-10T06:22:59"/>
        <d v="2025-09-10T18:25:46"/>
        <d v="2026-03-04T11:31:18"/>
        <d v="2026-02-20T06:07:49"/>
        <d v="2025-05-06T15:42:29"/>
        <d v="2025-12-19T01:09:16"/>
        <d v="2026-01-21T16:09:21"/>
        <d v="2026-01-10T09:51:48"/>
        <d v="2026-04-11T15:39:46"/>
        <d v="2025-12-15T06:43:38"/>
        <d v="2025-07-20T07:54:30"/>
        <d v="2025-07-12T04:49:50"/>
        <d v="2025-10-07T12:09:53"/>
        <d v="2026-03-05T03:41:27"/>
        <d v="2025-07-21T21:41:28"/>
        <d v="2026-03-17T21:42:55"/>
        <d v="2025-05-25T02:09:41"/>
        <d v="2025-09-20T17:27:49"/>
        <d v="2025-09-11T14:27:44"/>
        <d v="2026-02-05T07:37:03"/>
        <d v="2025-09-04T06:13:37"/>
        <d v="2025-07-23T04:32:49"/>
        <d v="2026-03-13T16:53:13"/>
        <d v="2026-04-01T00:45:05"/>
        <d v="2025-11-02T01:21:51"/>
        <d v="2025-10-09T19:18:27"/>
        <d v="2025-11-09T00:04:18"/>
        <d v="2025-07-11T11:45:33"/>
        <d v="2025-05-27T23:56:56"/>
        <d v="2026-01-21T20:11:19"/>
        <d v="2025-09-27T17:57:23"/>
        <d v="2025-06-07T17:28:23"/>
        <d v="2025-06-14T07:32:52"/>
        <d v="2026-04-02T08:54:04"/>
        <d v="2025-12-08T22:51:26"/>
        <d v="2025-06-22T02:19:53"/>
        <d v="2025-09-24T22:39:51"/>
        <d v="2026-04-20T09:42:14"/>
        <d v="2026-03-09T22:13:16"/>
        <d v="2025-10-12T10:38:45"/>
        <d v="2026-02-12T05:15:20"/>
        <d v="2025-06-30T06:59:11"/>
        <d v="2025-05-01T01:55:52"/>
        <d v="2025-12-27T06:32:19"/>
        <d v="2025-05-23T15:25:46"/>
        <d v="2025-11-14T05:28:07"/>
        <d v="2025-06-13T08:47:05"/>
        <d v="2025-08-22T10:57:33"/>
        <d v="2025-07-16T18:54:14"/>
        <d v="2025-10-12T18:23:41"/>
        <d v="2025-09-28T08:21:15"/>
        <d v="2026-01-27T22:05:13"/>
        <d v="2025-05-05T14:46:06"/>
        <d v="2025-07-08T08:29:32"/>
        <d v="2025-09-08T08:58:38"/>
        <d v="2025-10-08T08:41:57"/>
        <d v="2025-10-26T15:15:05"/>
        <d v="2026-04-26T20:47:59"/>
        <d v="2026-01-09T19:20:36"/>
        <d v="2025-09-11T10:00:17"/>
        <d v="2025-12-27T10:50:44"/>
        <d v="2025-11-29T17:55:16"/>
        <d v="2026-03-24T07:39:40"/>
        <d v="2026-01-16T19:27:41"/>
        <d v="2026-03-18T12:09:19"/>
        <d v="2025-12-09T13:06:44"/>
        <d v="2026-01-12T19:22:26"/>
        <d v="2026-02-23T11:53:01"/>
        <d v="2025-11-17T03:13:37"/>
        <d v="2025-12-25T17:39:24"/>
        <d v="2025-06-05T03:36:14"/>
        <d v="2026-02-26T18:48:00"/>
        <d v="2025-06-05T06:23:51"/>
        <d v="2025-11-14T04:32:32"/>
        <d v="2025-06-18T12:31:31"/>
        <d v="2025-08-05T23:19:33"/>
        <d v="2025-10-21T22:19:03"/>
        <d v="2025-05-19T09:58:50"/>
        <d v="2025-10-27T12:19:40"/>
        <d v="2026-02-07T04:48:02"/>
        <d v="2025-12-27T17:53:37"/>
        <d v="2025-07-22T07:47:32"/>
        <d v="2025-07-03T02:25:55"/>
        <d v="2026-01-20T19:53:01"/>
        <d v="2025-12-21T14:20:14"/>
        <d v="2025-06-10T21:42:35"/>
        <d v="2026-02-17T14:41:09"/>
        <d v="2025-06-23T21:49:34"/>
        <d v="2025-08-06T04:16:25"/>
        <d v="2026-03-22T11:10:31"/>
        <d v="2026-01-11T11:40:29"/>
        <d v="2025-11-13T07:30:33"/>
        <d v="2025-12-15T10:40:07"/>
        <d v="2025-05-26T18:12:20"/>
        <d v="2026-01-22T23:41:55"/>
        <d v="2025-08-21T04:04:45"/>
        <d v="2026-04-15T01:40:24"/>
        <d v="2025-08-17T02:01:15"/>
        <d v="2025-08-15T18:13:35"/>
        <d v="2025-10-05T08:24:02"/>
        <d v="2025-06-11T06:35:08"/>
        <d v="2025-10-07T03:40:15"/>
        <d v="2025-08-20T10:40:30"/>
        <d v="2025-06-02T23:09:27"/>
        <d v="2025-12-19T01:11:09"/>
        <d v="2026-04-25T13:27:31"/>
        <d v="2025-08-18T21:47:35"/>
        <d v="2025-10-18T10:13:24"/>
        <d v="2025-07-09T01:45:25"/>
        <d v="2026-04-08T07:00:09"/>
        <d v="2025-12-04T00:36:44"/>
        <d v="2025-05-25T11:50:22"/>
        <d v="2025-08-28T04:33:53"/>
        <d v="2025-09-09T20:58:03"/>
        <d v="2025-07-15T01:47:58"/>
        <d v="2025-10-03T21:48:49"/>
        <d v="2025-07-09T18:23:43"/>
        <d v="2025-05-27T19:32:30"/>
        <d v="2025-06-05T23:55:38"/>
        <d v="2026-02-24T20:40:55"/>
        <d v="2025-12-16T06:45:44"/>
        <d v="2025-09-10T02:57:18"/>
        <d v="2025-05-01T09:16:15"/>
        <d v="2025-07-06T11:53:49"/>
        <d v="2026-03-23T16:48:21"/>
        <d v="2025-08-25T05:29:18"/>
        <d v="2025-07-06T01:39:41"/>
        <d v="2026-02-23T12:30:39"/>
        <d v="2025-08-30T05:48:38"/>
        <d v="2025-09-11T23:43:48"/>
        <d v="2025-09-02T20:40:48"/>
        <d v="2025-09-07T17:55:58"/>
        <d v="2026-01-27T21:34:40"/>
        <d v="2026-02-20T21:43:10"/>
        <d v="2025-05-14T22:29:23"/>
        <d v="2025-05-27T02:33:21"/>
        <d v="2025-12-29T08:35:07"/>
        <d v="2025-06-05T18:44:33"/>
        <d v="2025-07-04T21:35:54"/>
        <d v="2026-03-29T18:20:01"/>
        <d v="2025-10-27T13:27:21"/>
        <d v="2025-05-05T19:37:34"/>
        <d v="2025-12-27T23:24:52"/>
        <d v="2025-06-17T01:16:25"/>
        <d v="2025-10-24T17:21:04"/>
        <d v="2026-03-20T14:40:36"/>
        <d v="2026-01-10T20:26:09"/>
        <d v="2026-01-14T13:01:38"/>
        <d v="2025-10-21T11:15:52"/>
        <d v="2026-02-27T18:04:01"/>
        <d v="2026-04-02T17:39:45"/>
        <d v="2026-04-29T21:11:19"/>
        <d v="2025-09-29T09:10:29"/>
        <d v="2025-10-10T13:47:28"/>
        <d v="2026-04-06T23:43:19"/>
        <d v="2026-02-28T00:37:21"/>
        <d v="2026-03-29T13:44:15"/>
        <d v="2025-10-31T14:30:26"/>
        <d v="2025-06-30T22:37:13"/>
        <d v="2025-08-12T17:38:05"/>
        <d v="2025-09-15T06:44:25"/>
        <d v="2025-08-08T02:14:53"/>
        <d v="2025-12-15T20:48:36"/>
        <d v="2026-02-25T10:10:46"/>
        <d v="2026-03-28T10:39:20"/>
        <d v="2026-04-10T05:45:07"/>
        <d v="2026-01-25T01:38:38"/>
        <d v="2025-06-25T13:32:51"/>
        <d v="2025-10-09T07:47:08"/>
        <d v="2025-09-11T01:46:04"/>
        <d v="2026-03-10T10:18:50"/>
        <d v="2026-04-30T08:45:40"/>
        <d v="2026-03-29T16:52:45"/>
        <d v="2025-09-21T19:34:26"/>
        <d v="2025-07-15T01:59:11"/>
        <d v="2025-11-27T23:53:13"/>
        <d v="2025-08-31T10:11:52"/>
        <d v="2026-04-07T06:49:16"/>
        <d v="2026-02-19T08:16:36"/>
        <d v="2025-09-05T10:12:48"/>
        <d v="2026-04-19T01:24:32"/>
        <d v="2026-01-14T18:57:59"/>
        <d v="2025-05-30T22:20:28"/>
        <d v="2025-09-01T04:01:55"/>
        <d v="2026-01-22T19:48:30"/>
        <d v="2026-03-09T22:41:37"/>
        <d v="2026-01-10T11:02:20"/>
        <d v="2026-04-21T14:28:06"/>
        <d v="2026-02-14T06:31:57"/>
        <d v="2025-06-30T13:23:15"/>
        <d v="2025-08-08T21:50:17"/>
        <d v="2025-05-12T17:20:55"/>
        <d v="2025-12-29T15:06:48"/>
        <d v="2026-03-20T11:52:45"/>
        <d v="2025-10-21T15:57:01"/>
        <d v="2025-07-27T12:19:41"/>
        <d v="2025-10-09T13:48:35"/>
        <d v="2025-10-03T02:35:52"/>
        <d v="2026-01-02T06:59:34"/>
        <d v="2026-02-05T18:16:51"/>
        <d v="2025-10-25T21:50:52"/>
        <d v="2026-03-06T21:08:39"/>
        <d v="2026-04-09T15:36:26"/>
        <d v="2025-07-27T20:20:48"/>
        <d v="2025-07-08T10:53:59"/>
        <d v="2025-10-06T09:23:55"/>
        <d v="2025-08-02T10:18:47"/>
        <d v="2025-12-04T11:57:01"/>
        <d v="2025-05-01T21:48:10"/>
        <d v="2025-06-22T10:56:26"/>
        <d v="2025-06-22T18:18:50"/>
        <d v="2025-11-16T02:13:38"/>
        <d v="2026-01-07T05:00:09"/>
        <d v="2025-09-02T02:33:04"/>
        <d v="2025-08-01T11:22:34"/>
        <d v="2026-03-24T01:25:06"/>
        <d v="2025-05-03T04:57:54"/>
        <d v="2026-03-11T04:32:50"/>
        <d v="2026-01-19T06:11:26"/>
        <d v="2025-05-08T19:49:21"/>
        <d v="2026-04-03T09:12:35"/>
        <d v="2026-02-25T15:41:44"/>
        <d v="2025-11-19T20:52:30"/>
        <d v="2025-12-10T18:07:23"/>
        <d v="2026-02-11T02:50:44"/>
        <d v="2025-08-27T14:09:17"/>
        <d v="2025-08-13T08:57:45"/>
        <d v="2026-02-12T15:13:14"/>
        <d v="2026-03-15T05:06:31"/>
        <d v="2025-11-10T23:06:21"/>
        <d v="2025-06-12T09:13:41"/>
        <d v="2025-08-26T23:14:40"/>
        <d v="2025-10-30T13:50:22"/>
        <d v="2025-08-05T18:38:56"/>
        <d v="2026-01-11T13:27:49"/>
        <d v="2025-12-15T12:32:54"/>
        <d v="2025-08-29T08:53:06"/>
        <d v="2026-04-12T13:59:18"/>
        <d v="2026-03-14T16:51:40"/>
        <d v="2026-02-11T14:22:32"/>
        <d v="2025-07-03T00:14:44"/>
        <d v="2025-08-31T12:11:47"/>
        <d v="2025-10-03T20:15:31"/>
        <d v="2025-09-28T08:28:42"/>
        <d v="2026-02-02T22:52:52"/>
        <d v="2026-01-29T13:16:25"/>
        <d v="2025-12-11T19:04:38"/>
        <d v="2026-01-10T22:14:02"/>
        <d v="2025-10-25T13:43:04"/>
        <d v="2025-09-12T13:22:48"/>
        <d v="2025-10-18T17:58:15"/>
        <d v="2026-04-24T10:12:00"/>
        <d v="2026-02-28T09:23:42"/>
        <d v="2026-04-12T16:24:57"/>
        <d v="2026-02-24T16:10:51"/>
        <d v="2025-09-27T07:48:22"/>
        <d v="2026-02-06T12:43:46"/>
        <d v="2025-10-18T20:45:51"/>
        <d v="2025-12-19T15:59:53"/>
        <d v="2025-06-19T04:04:21"/>
        <d v="2026-04-07T11:03:46"/>
        <d v="2025-09-12T20:49:03"/>
        <d v="2025-09-03T21:08:54"/>
        <d v="2025-09-17T12:04:23"/>
        <d v="2025-07-02T03:21:28"/>
        <d v="2025-07-09T00:15:53"/>
        <d v="2025-10-16T01:25:11"/>
        <d v="2025-12-08T10:03:15"/>
        <d v="2025-05-17T10:28:13"/>
        <d v="2026-02-15T18:36:56"/>
        <d v="2026-03-16T15:51:52"/>
        <d v="2026-02-12T01:27:54"/>
        <d v="2026-01-27T19:18:18"/>
        <d v="2025-09-25T03:53:10"/>
        <d v="2025-07-01T04:55:12"/>
        <d v="2025-09-17T20:05:46"/>
        <d v="2025-07-07T08:06:33"/>
        <d v="2025-10-27T02:52:42"/>
        <d v="2025-08-11T19:53:33"/>
        <d v="2026-04-30T14:49:00"/>
        <d v="2025-08-04T00:53:31"/>
        <d v="2025-06-02T22:46:43"/>
        <d v="2025-07-26T23:21:49"/>
        <d v="2025-07-24T04:39:19"/>
        <d v="2025-11-27T11:49:51"/>
        <d v="2025-06-01T00:28:11"/>
        <d v="2025-11-05T21:17:58"/>
        <d v="2025-06-15T10:26:46"/>
        <d v="2026-04-25T04:52:33"/>
        <d v="2025-05-28T04:01:59"/>
        <d v="2026-03-29T12:45:09"/>
        <d v="2025-05-10T23:21:45"/>
        <d v="2026-01-25T06:53:42"/>
        <d v="2025-08-09T15:24:18"/>
        <d v="2026-03-11T20:28:22"/>
        <d v="2026-02-09T02:20:51"/>
        <d v="2025-08-02T05:56:26"/>
        <d v="2025-08-30T22:34:28"/>
        <d v="2025-07-25T15:21:15"/>
        <d v="2025-12-17T13:25:38"/>
        <d v="2025-07-18T01:16:45"/>
        <d v="2025-06-22T07:24:40"/>
        <d v="2026-04-24T20:59:18"/>
        <d v="2025-12-16T05:50:45"/>
        <d v="2025-07-19T00:39:31"/>
        <d v="2025-06-07T00:10:37"/>
        <d v="2025-12-19T17:09:59"/>
        <d v="2025-12-13T02:51:34"/>
        <d v="2025-12-24T11:48:32"/>
        <d v="2026-01-15T04:15:32"/>
        <d v="2026-01-16T15:08:51"/>
        <d v="2025-07-20T06:49:05"/>
        <d v="2026-01-13T22:54:50"/>
        <d v="2025-05-10T20:21:29"/>
        <d v="2025-09-27T16:39:28"/>
        <d v="2025-12-21T22:23:34"/>
        <d v="2026-01-06T14:25:58"/>
        <d v="2026-02-26T01:54:10"/>
        <d v="2026-03-07T20:21:40"/>
        <d v="2025-07-29T22:57:34"/>
        <d v="2025-05-06T05:37:06"/>
        <d v="2026-04-09T02:52:41"/>
        <d v="2025-07-01T05:02:43"/>
        <d v="2026-04-20T23:12:07"/>
        <d v="2025-11-19T21:19:11"/>
        <d v="2025-11-02T08:03:50"/>
        <d v="2025-08-26T08:48:36"/>
        <d v="2026-02-19T17:39:52"/>
        <d v="2026-02-09T08:59:31"/>
        <d v="2026-03-26T06:04:05"/>
        <d v="2025-07-18T00:30:47"/>
        <d v="2026-04-23T22:09:05"/>
        <d v="2025-08-06T14:38:48"/>
        <d v="2026-03-30T15:00:01"/>
        <d v="2026-02-28T10:50:15"/>
        <d v="2026-04-15T02:05:24"/>
        <d v="2025-06-15T20:56:24"/>
        <d v="2025-06-01T12:23:12"/>
        <d v="2025-09-15T07:54:27"/>
        <d v="2025-05-11T16:38:09"/>
        <d v="2025-05-25T12:34:42"/>
        <d v="2025-12-17T22:37:53"/>
        <d v="2026-01-16T04:05:55"/>
        <d v="2025-10-03T13:38:30"/>
        <d v="2025-07-22T10:44:47"/>
        <d v="2026-01-15T21:18:25"/>
        <d v="2025-11-23T09:20:46"/>
        <d v="2026-03-06T04:49:20"/>
        <d v="2026-02-12T21:38:18"/>
        <d v="2025-06-18T23:18:46"/>
        <d v="2025-08-22T15:00:40"/>
        <d v="2026-01-06T17:17:55"/>
        <d v="2025-07-13T00:09:00"/>
        <d v="2025-12-14T06:59:35"/>
        <d v="2026-02-15T00:59:40"/>
        <d v="2025-08-05T12:32:09"/>
        <d v="2025-07-04T15:41:07"/>
        <d v="2025-08-31T19:59:15"/>
        <d v="2025-06-18T00:56:01"/>
        <d v="2026-02-23T04:59:53"/>
        <d v="2025-09-24T01:48:44"/>
        <d v="2025-09-03T19:30:41"/>
        <d v="2026-01-25T17:43:30"/>
        <d v="2025-05-31T08:47:28"/>
        <d v="2025-09-17T02:04:30"/>
        <d v="2025-07-18T15:23:56"/>
        <d v="2025-05-29T08:59:24"/>
        <d v="2026-01-01T02:46:38"/>
        <d v="2026-04-22T14:36:48"/>
        <d v="2026-02-26T10:56:24"/>
        <d v="2025-09-23T13:42:40"/>
        <d v="2025-11-09T07:00:56"/>
        <d v="2025-12-14T20:26:42"/>
        <d v="2026-02-20T17:49:59"/>
        <d v="2025-12-08T07:21:06"/>
        <d v="2026-01-20T15:03:55"/>
        <d v="2025-11-12T03:57:22"/>
        <d v="2025-11-05T20:23:04"/>
        <d v="2025-08-06T06:32:11"/>
        <d v="2026-01-16T06:31:23"/>
        <d v="2025-06-13T05:27:18"/>
        <d v="2025-08-07T04:52:49"/>
        <d v="2025-12-25T07:32:18"/>
        <d v="2025-08-06T08:30:43"/>
        <d v="2026-01-14T10:21:09"/>
        <d v="2025-10-01T13:33:49"/>
        <d v="2026-04-08T07:41:58"/>
        <d v="2026-03-15T00:27:01"/>
        <d v="2025-05-25T11:24:53"/>
        <d v="2025-07-14T13:12:18"/>
        <d v="2025-10-21T06:44:57"/>
        <d v="2025-12-08T18:09:46"/>
        <d v="2025-11-30T20:52:41"/>
        <d v="2025-08-21T19:23:59"/>
        <d v="2026-03-06T10:50:11"/>
        <d v="2026-03-01T17:14:06"/>
        <d v="2025-06-06T09:22:56"/>
        <d v="2025-10-16T06:30:11"/>
        <d v="2026-03-05T09:57:12"/>
        <d v="2025-12-07T13:08:10"/>
        <d v="2025-10-20T22:37:02"/>
        <d v="2025-09-07T05:15:18"/>
        <d v="2025-08-06T02:01:28"/>
        <d v="2025-05-03T20:48:57"/>
        <d v="2025-08-09T07:01:00"/>
        <d v="2025-07-27T11:33:38"/>
        <d v="2025-11-13T15:37:23"/>
        <d v="2026-03-02T21:35:41"/>
        <d v="2026-01-30T10:07:25"/>
        <d v="2025-06-05T14:06:56"/>
        <d v="2026-03-12T12:37:01"/>
        <d v="2025-12-06T18:13:31"/>
        <d v="2026-01-18T00:22:09"/>
        <d v="2025-07-13T09:58:06"/>
        <d v="2026-02-11T00:34:42"/>
        <d v="2025-10-31T09:31:18"/>
        <d v="2025-12-02T11:08:04"/>
        <d v="2025-07-16T10:46:37"/>
        <d v="2025-05-16T08:22:00"/>
        <d v="2025-08-30T00:21:41"/>
        <d v="2026-04-22T20:32:45"/>
        <d v="2026-01-01T13:49:12"/>
        <d v="2026-03-24T08:01:18"/>
        <d v="2026-04-28T22:50:22"/>
        <d v="2025-05-25T04:57:39"/>
        <d v="2025-05-20T03:17:09"/>
        <d v="2025-10-19T10:52:48"/>
        <d v="2025-10-02T06:17:00"/>
        <d v="2026-01-16T13:12:28"/>
        <d v="2025-09-27T21:55:25"/>
        <d v="2026-04-01T17:50:07"/>
        <d v="2026-03-26T13:50:31"/>
        <d v="2025-11-21T03:24:27"/>
        <d v="2026-01-22T09:47:40"/>
        <d v="2025-10-13T09:06:11"/>
        <d v="2026-04-22T06:15:11"/>
        <d v="2025-12-12T09:31:13"/>
        <d v="2026-01-02T17:25:55"/>
        <d v="2025-12-27T01:52:10"/>
        <d v="2025-05-16T15:02:01"/>
        <d v="2025-08-31T12:56:06"/>
        <d v="2026-02-21T21:08:58"/>
        <d v="2025-05-17T16:39:26"/>
        <d v="2025-07-06T14:05:26"/>
        <d v="2026-04-09T03:56:52"/>
        <d v="2025-12-07T19:41:36"/>
        <d v="2025-08-26T07:20:53"/>
        <d v="2025-08-28T10:29:29"/>
        <d v="2025-08-23T13:05:49"/>
        <d v="2025-12-27T09:28:57"/>
        <d v="2025-10-31T10:41:54"/>
        <d v="2025-12-23T04:19:01"/>
        <d v="2026-04-14T18:54:38"/>
        <d v="2025-11-07T09:01:50"/>
        <d v="2025-07-03T20:57:50"/>
        <d v="2025-11-25T18:41:11"/>
        <d v="2025-05-17T18:43:01"/>
        <d v="2025-06-30T21:42:15"/>
        <d v="2026-03-19T03:24:07"/>
        <d v="2026-02-15T12:09:08"/>
        <d v="2025-08-01T21:25:24"/>
        <d v="2025-10-13T14:51:58"/>
        <d v="2025-06-25T03:41:03"/>
        <d v="2025-09-18T16:47:42"/>
        <d v="2026-01-07T05:29:57"/>
        <d v="2025-07-21T06:24:54"/>
        <d v="2026-01-01T01:34:44"/>
        <d v="2025-07-25T18:10:25"/>
        <d v="2025-12-02T17:39:41"/>
        <d v="2026-01-17T01:14:38"/>
        <d v="2026-01-02T06:06:57"/>
        <d v="2025-05-10T18:41:28"/>
        <d v="2026-03-25T21:49:27"/>
        <d v="2026-03-07T22:38:45"/>
        <d v="2025-08-07T10:27:34"/>
        <d v="2025-09-29T05:17:28"/>
        <d v="2026-03-10T05:19:58"/>
        <d v="2026-04-20T18:24:35"/>
        <d v="2025-12-22T06:12:02"/>
        <d v="2025-10-27T22:39:29"/>
        <d v="2026-03-21T03:12:56"/>
        <d v="2025-12-16T03:45:02"/>
        <d v="2025-05-30T18:52:56"/>
        <d v="2025-05-22T23:30:20"/>
        <d v="2026-01-06T00:41:31"/>
        <d v="2025-10-07T08:07:28"/>
        <d v="2026-04-08T21:34:28"/>
        <d v="2025-08-18T15:33:09"/>
        <d v="2025-07-06T00:32:07"/>
        <d v="2026-02-02T19:18:19"/>
        <d v="2025-06-09T07:55:14"/>
        <d v="2025-06-30T00:44:20"/>
        <d v="2026-01-31T20:33:55"/>
        <d v="2025-05-16T08:28:58"/>
        <d v="2025-11-13T11:31:32"/>
        <d v="2026-01-26T00:21:26"/>
        <d v="2026-01-23T17:57:31"/>
        <d v="2025-06-12T22:26:48"/>
        <d v="2026-01-17T20:58:32"/>
        <d v="2026-01-23T02:01:50"/>
        <d v="2025-08-07T17:56:48"/>
        <d v="2025-10-09T06:58:30"/>
        <d v="2025-07-15T06:21:58"/>
        <d v="2025-12-25T00:44:43"/>
        <d v="2025-12-05T22:34:41"/>
        <d v="2025-12-02T04:58:50"/>
        <d v="2025-10-28T06:59:54"/>
        <d v="2026-03-05T19:25:48"/>
        <d v="2026-01-31T19:35:52"/>
        <d v="2025-07-26T22:58:19"/>
        <d v="2025-09-18T00:30:24"/>
        <d v="2025-06-24T01:33:25"/>
        <d v="2025-10-19T01:10:49"/>
        <d v="2025-09-20T00:15:25"/>
        <d v="2025-05-11T11:04:53"/>
        <d v="2025-11-15T05:19:59"/>
        <d v="2025-05-24T10:55:18"/>
        <d v="2025-06-16T21:58:15"/>
        <d v="2025-08-16T17:07:17"/>
        <d v="2026-01-22T07:07:35"/>
        <d v="2026-03-16T16:25:26"/>
        <d v="2025-05-17T06:15:26"/>
        <d v="2026-01-18T23:39:32"/>
        <d v="2026-02-22T18:59:29"/>
        <d v="2025-08-25T07:14:54"/>
        <d v="2026-01-14T13:47:26"/>
        <d v="2025-05-12T17:58:04"/>
        <d v="2025-10-20T22:46:46"/>
        <d v="2025-12-16T21:44:08"/>
        <d v="2025-07-26T23:44:51"/>
        <d v="2025-08-13T20:50:35"/>
        <d v="2025-06-06T21:08:46"/>
        <d v="2025-08-25T12:33:11"/>
        <d v="2025-05-30T15:24:30"/>
        <d v="2025-07-23T23:59:43"/>
        <d v="2025-06-21T14:06:19"/>
        <d v="2025-05-12T06:02:40"/>
        <d v="2025-11-08T03:32:31"/>
        <d v="2026-01-09T03:41:48"/>
        <d v="2025-10-17T01:08:14"/>
        <d v="2026-03-20T14:53:55"/>
        <d v="2025-12-22T06:59:36"/>
        <d v="2025-05-21T09:20:21"/>
        <d v="2025-07-16T12:56:35"/>
        <d v="2026-01-14T21:01:46"/>
        <d v="2025-08-08T02:16:58"/>
        <d v="2025-07-30T04:20:41"/>
        <d v="2025-05-02T18:34:54"/>
        <d v="2025-12-11T15:52:28"/>
        <d v="2025-06-29T02:05:10"/>
        <d v="2025-07-18T23:52:16"/>
        <d v="2025-05-06T00:34:44"/>
        <d v="2026-01-03T05:06:19"/>
        <d v="2025-12-18T10:27:06"/>
        <d v="2026-01-24T07:01:05"/>
        <d v="2025-12-21T11:46:39"/>
        <d v="2025-06-30T22:48:31"/>
        <d v="2025-09-05T09:56:50"/>
        <d v="2026-02-07T02:45:35"/>
        <d v="2025-09-21T10:33:41"/>
        <d v="2025-11-05T08:33:04"/>
        <d v="2025-08-26T16:09:50"/>
        <d v="2025-05-30T00:59:46"/>
        <d v="2025-07-11T05:25:44"/>
        <d v="2025-06-24T21:12:43"/>
        <d v="2026-04-23T15:06:58"/>
        <d v="2025-06-15T16:57:22"/>
        <d v="2025-06-07T09:20:29"/>
        <d v="2026-02-11T23:27:49"/>
        <d v="2025-06-30T22:06:29"/>
        <d v="2026-03-26T01:44:36"/>
        <d v="2025-09-05T05:36:50"/>
        <d v="2025-11-02T20:05:39"/>
        <d v="2025-12-23T18:36:26"/>
        <d v="2025-09-04T14:32:49"/>
        <d v="2025-05-31T18:47:39"/>
        <d v="2025-08-06T07:02:39"/>
        <d v="2026-01-02T04:40:22"/>
        <d v="2026-02-24T05:28:38"/>
        <d v="2025-11-02T04:48:22"/>
        <d v="2025-08-13T21:38:59"/>
        <d v="2025-07-09T07:51:34"/>
        <d v="2025-08-08T10:24:46"/>
        <d v="2026-03-08T15:24:11"/>
        <d v="2025-11-22T02:30:14"/>
        <d v="2026-01-22T22:27:36"/>
        <d v="2025-09-06T04:27:52"/>
        <d v="2025-12-26T19:20:21"/>
        <d v="2025-06-23T20:02:49"/>
        <d v="2025-12-21T02:48:25"/>
        <d v="2025-09-17T22:11:33"/>
        <d v="2025-11-16T00:55:40"/>
        <d v="2025-12-24T21:13:34"/>
        <d v="2026-02-24T13:35:27"/>
        <d v="2025-12-13T22:44:46"/>
        <d v="2025-10-09T14:36:33"/>
        <d v="2025-10-08T01:40:26"/>
        <d v="2025-10-07T04:07:35"/>
        <d v="2026-02-26T20:36:25"/>
        <d v="2025-10-12T02:34:46"/>
        <d v="2026-03-19T03:32:15"/>
        <d v="2026-02-15T13:35:28"/>
        <d v="2026-03-27T00:16:13"/>
        <d v="2026-02-26T07:18:33"/>
        <d v="2025-11-23T16:41:12"/>
        <d v="2025-08-23T16:50:45"/>
        <d v="2025-12-08T18:57:06"/>
        <d v="2025-10-20T06:42:17"/>
        <d v="2025-06-25T00:19:17"/>
        <d v="2025-08-06T23:21:24"/>
        <d v="2025-06-01T22:40:16"/>
        <d v="2025-10-07T20:39:03"/>
        <d v="2026-02-16T03:55:44"/>
        <d v="2025-07-24T12:07:48"/>
        <d v="2025-10-06T04:44:31"/>
        <d v="2026-03-14T07:23:55"/>
        <d v="2025-08-03T12:53:34"/>
        <d v="2025-05-29T16:33:30"/>
        <d v="2025-12-07T21:05:39"/>
        <d v="2025-06-13T13:15:33"/>
        <d v="2026-03-18T06:42:19"/>
        <d v="2025-08-12T11:44:02"/>
        <d v="2025-12-22T13:31:16"/>
        <d v="2025-09-28T05:06:44"/>
        <d v="2025-11-21T13:57:16"/>
        <d v="2025-06-12T11:27:06"/>
        <d v="2025-11-15T03:56:41"/>
        <d v="2025-06-16T09:48:20"/>
        <d v="2025-06-05T16:09:08"/>
        <d v="2026-01-30T12:01:40"/>
        <d v="2025-12-20T11:35:22"/>
        <d v="2025-10-31T08:49:25"/>
        <d v="2025-11-01T21:36:45"/>
        <d v="2025-11-20T13:34:24"/>
        <d v="2025-06-06T11:34:04"/>
        <d v="2025-05-31T12:14:03"/>
        <d v="2025-05-07T08:25:31"/>
        <d v="2026-02-24T13:47:45"/>
        <d v="2025-09-06T20:29:58"/>
        <d v="2025-11-14T05:44:41"/>
        <d v="2026-02-14T20:37:41"/>
        <d v="2025-07-22T20:10:16"/>
        <d v="2025-05-14T14:14:29"/>
        <d v="2026-01-20T01:13:59"/>
        <d v="2025-06-23T14:44:09"/>
        <d v="2026-04-30T15:18:54"/>
        <d v="2025-05-01T16:47:31"/>
        <d v="2025-08-10T19:49:06"/>
        <d v="2025-11-10T06:45:04"/>
        <d v="2025-07-01T11:06:06"/>
        <d v="2025-08-31T20:46:52"/>
        <d v="2025-07-26T14:05:06"/>
        <d v="2025-06-24T14:29:03"/>
        <d v="2025-09-03T05:48:42"/>
        <d v="2025-05-12T15:09:29"/>
        <d v="2025-12-07T12:14:18"/>
        <d v="2025-05-20T00:28:07"/>
        <d v="2025-12-23T17:53:32"/>
        <d v="2025-05-24T13:41:48"/>
        <d v="2025-08-28T21:55:27"/>
        <d v="2026-03-27T13:11:21"/>
        <d v="2025-10-30T17:11:37"/>
        <d v="2026-03-03T09:42:07"/>
        <d v="2026-02-13T11:36:20"/>
        <d v="2025-07-21T08:23:41"/>
        <d v="2025-10-10T12:28:04"/>
        <d v="2026-03-21T07:40:02"/>
        <d v="2025-09-07T05:04:02"/>
        <d v="2025-07-31T23:55:09"/>
        <d v="2025-08-01T03:30:00"/>
        <d v="2025-07-12T04:18:56"/>
        <d v="2025-10-12T00:54:08"/>
        <d v="2025-10-28T22:26:06"/>
        <d v="2026-03-31T01:43:25"/>
        <d v="2026-02-04T22:05:52"/>
        <d v="2025-08-31T23:29:12"/>
        <d v="2025-11-13T05:18:20"/>
        <d v="2025-12-14T21:57:32"/>
        <d v="2025-08-14T23:29:27"/>
        <d v="2025-08-16T09:24:33"/>
        <d v="2026-03-06T02:04:22"/>
        <d v="2025-09-01T07:52:44"/>
        <d v="2025-11-30T20:41:34"/>
        <d v="2026-02-14T15:31:25"/>
        <d v="2025-08-31T18:25:16"/>
        <d v="2025-08-06T03:38:26"/>
        <d v="2025-09-02T15:08:08"/>
        <d v="2026-04-11T20:01:34"/>
        <d v="2025-06-02T10:37:18"/>
        <d v="2025-07-21T23:31:03"/>
        <d v="2025-12-23T05:30:31"/>
        <d v="2026-01-14T14:24:59"/>
        <d v="2025-05-05T02:44:18"/>
        <d v="2025-05-03T03:09:31"/>
        <d v="2025-11-24T05:28:34"/>
        <d v="2025-07-23T16:20:23"/>
        <d v="2025-06-10T07:29:12"/>
        <d v="2025-05-25T17:57:19"/>
        <d v="2025-09-21T03:52:29"/>
        <d v="2026-01-12T08:37:13"/>
        <d v="2026-03-28T08:22:25"/>
        <d v="2025-11-10T16:03:40"/>
        <d v="2026-03-30T13:54:55"/>
        <d v="2025-05-13T23:24:51"/>
        <d v="2026-03-02T13:44:33"/>
        <d v="2025-11-30T03:18:54"/>
        <d v="2025-12-28T07:59:19"/>
        <d v="2026-02-02T14:48:57"/>
        <d v="2025-11-23T08:56:41"/>
        <d v="2026-02-16T18:14:23"/>
        <d v="2026-03-22T16:48:49"/>
        <d v="2025-07-01T14:25:20"/>
        <d v="2025-08-26T23:49:24"/>
        <d v="2025-08-21T10:57:21"/>
        <d v="2026-04-03T07:45:19"/>
        <d v="2025-11-01T04:18:34"/>
        <d v="2025-06-01T20:46:07"/>
        <d v="2026-02-17T14:22:15"/>
        <d v="2025-10-10T09:44:14"/>
        <d v="2026-04-30T03:27:03"/>
        <d v="2026-02-08T03:11:49"/>
        <d v="2026-04-03T13:12:41"/>
        <d v="2025-12-20T00:45:31"/>
        <d v="2026-01-22T01:16:14"/>
        <d v="2025-05-16T22:04:26"/>
        <d v="2026-03-28T17:29:31"/>
        <d v="2026-03-16T17:44:54"/>
        <d v="2026-04-24T11:22:16"/>
        <d v="2025-10-24T08:40:17"/>
        <d v="2025-08-20T07:34:34"/>
        <d v="2026-03-18T07:40:36"/>
        <d v="2025-10-05T15:26:07"/>
        <d v="2026-03-22T12:20:13"/>
        <d v="2025-08-04T13:09:39"/>
        <d v="2025-05-29T21:51:53"/>
        <d v="2025-10-16T08:31:37"/>
        <d v="2025-06-10T06:20:29"/>
        <d v="2026-03-18T06:42:20"/>
        <d v="2025-05-02T05:11:26"/>
        <d v="2026-02-08T20:42:57"/>
        <d v="2025-12-23T11:24:00"/>
        <d v="2025-12-02T02:57:11"/>
        <d v="2026-04-12T18:46:57"/>
        <d v="2025-07-30T00:33:32"/>
        <d v="2026-02-12T16:52:36"/>
        <d v="2026-03-29T21:33:48"/>
        <d v="2025-11-18T10:23:47"/>
        <d v="2026-02-17T15:56:56"/>
        <d v="2025-11-02T01:04:12"/>
        <d v="2026-03-15T13:35:05"/>
        <d v="2026-03-22T19:17:32"/>
        <d v="2025-09-25T17:53:11"/>
        <d v="2026-01-15T15:04:31"/>
        <d v="2026-01-31T20:03:54"/>
        <d v="2025-10-03T12:07:08"/>
        <d v="2026-04-26T01:06:24"/>
        <d v="2025-11-29T00:16:53"/>
        <d v="2025-06-29T08:23:53"/>
        <d v="2026-03-05T09:01:37"/>
        <d v="2025-09-28T19:09:46"/>
        <d v="2025-08-10T05:41:50"/>
        <d v="2025-07-30T15:34:38"/>
        <d v="2025-08-30T14:12:10"/>
        <d v="2025-11-20T14:05:05"/>
        <d v="2025-09-24T02:32:50"/>
        <d v="2025-07-05T20:55:26"/>
        <d v="2025-08-21T21:45:20"/>
        <d v="2025-05-15T04:38:21"/>
        <d v="2026-01-31T05:50:55"/>
        <d v="2025-06-03T16:02:26"/>
        <d v="2025-05-18T09:27:53"/>
        <d v="2025-12-19T21:21:00"/>
        <d v="2025-09-19T16:18:45"/>
        <d v="2025-12-14T14:00:51"/>
        <d v="2026-03-23T08:58:59"/>
        <d v="2025-11-30T02:49:44"/>
        <d v="2026-01-27T04:48:58"/>
        <d v="2025-11-06T06:25:25"/>
        <d v="2025-08-31T08:59:02"/>
        <d v="2025-12-10T03:42:23"/>
        <d v="2026-04-09T22:07:29"/>
        <d v="2025-07-19T01:21:04"/>
        <d v="2026-03-03T20:42:25"/>
        <d v="2025-08-24T02:47:18"/>
        <d v="2025-11-29T06:58:02"/>
        <d v="2025-09-20T13:38:28"/>
        <d v="2026-04-19T12:20:34"/>
        <d v="2025-05-08T03:36:19"/>
        <d v="2025-10-28T21:46:01"/>
        <d v="2025-11-10T01:14:21"/>
        <d v="2025-08-21T23:13:49"/>
        <d v="2025-09-21T11:29:33"/>
        <d v="2026-02-13T18:45:18"/>
        <d v="2026-03-02T04:49:31"/>
        <d v="2025-06-19T08:50:33"/>
        <d v="2026-02-12T06:30:03"/>
        <d v="2025-12-15T12:09:03"/>
        <d v="2025-05-09T15:49:17"/>
        <d v="2025-12-12T18:03:03"/>
        <d v="2025-11-04T02:24:24"/>
        <d v="2026-04-06T03:42:29"/>
        <d v="2025-08-24T14:50:45"/>
        <d v="2025-06-25T00:42:05"/>
        <d v="2026-03-06T02:17:38"/>
        <d v="2025-05-25T18:21:26"/>
        <d v="2025-08-15T08:50:33"/>
        <d v="2025-11-15T01:44:14"/>
        <d v="2025-08-02T08:39:18"/>
        <d v="2025-08-07T15:15:12"/>
        <d v="2025-11-17T11:02:37"/>
        <d v="2026-03-09T05:51:06"/>
        <d v="2026-04-17T21:54:07"/>
        <d v="2025-10-22T07:23:00"/>
        <d v="2025-08-06T15:32:16"/>
        <d v="2025-12-19T08:56:12"/>
        <d v="2026-04-19T17:29:03"/>
        <d v="2025-06-13T14:03:10"/>
        <d v="2025-10-14T17:10:09"/>
        <d v="2026-04-23T06:36:59"/>
        <d v="2026-01-25T00:24:17"/>
        <d v="2025-05-01T05:37:18"/>
        <d v="2026-04-18T18:28:56"/>
        <d v="2026-04-10T16:44:03"/>
        <d v="2025-09-07T06:28:15"/>
        <d v="2025-07-20T21:12:07"/>
        <d v="2026-04-20T14:06:26"/>
        <d v="2025-06-24T08:54:58"/>
        <d v="2025-05-02T00:30:15"/>
        <d v="2025-05-13T12:51:21"/>
        <d v="2026-04-15T05:42:52"/>
        <d v="2026-01-04T04:28:10"/>
        <d v="2026-02-22T16:20:32"/>
        <d v="2025-06-19T08:14:18"/>
        <d v="2026-02-07T12:22:51"/>
        <d v="2026-03-20T03:17:47"/>
        <d v="2026-01-11T01:04:03"/>
        <d v="2026-04-21T11:39:19"/>
        <d v="2026-01-25T14:25:16"/>
        <d v="2025-11-24T19:47:11"/>
        <d v="2026-04-15T11:22:41"/>
        <d v="2025-06-22T00:58:54"/>
        <d v="2025-11-01T22:41:05"/>
        <d v="2025-12-31T05:16:52"/>
        <d v="2025-11-03T06:39:14"/>
        <d v="2025-09-07T05:04:14"/>
        <d v="2025-07-04T17:48:09"/>
        <d v="2025-07-30T23:11:45"/>
        <d v="2026-02-17T14:59:20"/>
        <d v="2025-06-27T08:42:40"/>
        <d v="2026-04-16T05:53:07"/>
        <d v="2026-02-15T02:51:50"/>
        <d v="2025-11-15T15:59:27"/>
        <d v="2025-11-11T12:13:42"/>
        <d v="2025-07-15T08:32:07"/>
        <d v="2025-09-27T11:31:42"/>
        <d v="2026-02-27T18:13:06"/>
        <d v="2026-01-27T02:04:08"/>
        <d v="2026-04-11T23:15:18"/>
        <d v="2025-09-24T01:00:28"/>
        <d v="2025-11-23T13:28:28"/>
        <d v="2025-12-06T02:52:35"/>
        <d v="2025-10-06T01:35:38"/>
        <d v="2026-01-22T20:38:03"/>
        <d v="2025-08-25T02:10:22"/>
        <d v="2026-04-15T09:10:32"/>
        <d v="2026-02-26T15:24:03"/>
        <d v="2025-09-07T20:33:26"/>
        <d v="2025-11-22T15:12:46"/>
        <d v="2025-05-27T12:19:38"/>
        <d v="2025-07-02T19:02:28"/>
        <d v="2026-01-31T07:05:53"/>
        <d v="2025-09-27T12:25:09"/>
        <d v="2025-08-12T06:49:12"/>
        <d v="2025-05-06T00:28:21"/>
        <d v="2025-11-27T20:35:02"/>
        <d v="2025-06-13T05:51:16"/>
        <d v="2025-08-14T04:31:34"/>
        <d v="2026-04-20T16:29:13"/>
        <d v="2025-10-10T02:41:31"/>
        <d v="2025-08-12T09:25:13"/>
        <d v="2026-04-17T21:00:29"/>
        <d v="2025-05-12T23:09:38"/>
        <d v="2025-10-24T16:28:37"/>
        <d v="2026-02-18T23:25:46"/>
        <d v="2026-04-22T09:15:53"/>
        <d v="2025-11-12T15:18:34"/>
        <d v="2025-05-05T15:01:59"/>
        <d v="2025-08-19T18:24:59"/>
        <d v="2025-09-20T15:27:29"/>
        <d v="2025-08-10T21:26:30"/>
        <d v="2026-02-14T02:44:28"/>
        <d v="2025-11-11T21:57:11"/>
        <d v="2025-07-17T20:17:48"/>
        <d v="2025-05-23T09:00:35"/>
        <d v="2026-01-22T16:13:21"/>
        <d v="2025-12-11T08:20:22"/>
        <d v="2025-08-14T12:06:47"/>
        <d v="2026-01-20T12:23:17"/>
        <d v="2025-11-24T00:00:33"/>
        <d v="2025-05-06T04:37:33"/>
        <d v="2025-05-25T00:24:08"/>
        <d v="2025-08-09T21:08:49"/>
        <d v="2025-10-05T21:07:13"/>
        <d v="2026-04-24T17:55:18"/>
        <d v="2025-09-07T05:09:17"/>
        <d v="2025-11-03T09:43:54"/>
        <d v="2025-12-01T16:04:43"/>
        <d v="2025-05-12T20:51:39"/>
        <d v="2025-10-17T17:28:02"/>
        <d v="2026-01-02T02:45:56"/>
        <d v="2025-12-27T15:04:46"/>
        <d v="2026-01-14T03:46:05"/>
        <d v="2026-02-16T18:33:13"/>
        <d v="2025-09-10T12:59:00"/>
        <d v="2025-09-17T15:41:02"/>
        <d v="2025-11-10T03:51:10"/>
        <d v="2026-04-19T09:25:47"/>
        <d v="2026-02-12T07:11:46"/>
        <d v="2025-07-24T04:21:20"/>
        <d v="2026-02-03T06:47:36"/>
        <d v="2026-04-22T16:57:54"/>
        <d v="2025-06-04T06:03:30"/>
        <d v="2025-05-04T17:36:05"/>
        <d v="2025-05-10T03:15:26"/>
        <d v="2025-10-08T15:19:51"/>
        <d v="2026-02-13T08:32:45"/>
        <d v="2025-08-29T09:28:17"/>
        <d v="2026-02-10T11:14:46"/>
        <d v="2026-01-25T08:32:46"/>
        <d v="2025-11-05T10:02:08"/>
        <d v="2025-08-30T03:15:20"/>
        <d v="2025-06-21T02:06:00"/>
        <d v="2026-04-14T01:07:35"/>
        <d v="2026-03-22T19:01:51"/>
        <d v="2025-12-24T17:29:39"/>
        <d v="2025-10-20T06:09:20"/>
        <d v="2026-04-08T16:52:16"/>
        <d v="2025-12-28T10:45:30"/>
        <d v="2026-04-13T05:07:12"/>
        <d v="2025-06-04T07:35:18"/>
        <d v="2025-11-02T21:56:50"/>
        <d v="2026-02-08T17:45:40"/>
        <d v="2026-03-14T16:09:14"/>
        <d v="2025-05-11T08:14:16"/>
        <d v="2025-10-17T16:31:01"/>
        <d v="2026-03-06T05:11:02"/>
        <d v="2026-02-08T14:55:19"/>
        <d v="2026-02-05T10:54:21"/>
        <d v="2026-03-22T23:00:28"/>
        <d v="2025-10-18T02:36:50"/>
        <d v="2026-02-05T20:35:06"/>
        <d v="2025-07-25T07:00:22"/>
        <d v="2025-06-14T16:36:48"/>
        <d v="2025-12-28T01:03:17"/>
        <d v="2025-10-29T01:41:20"/>
        <d v="2025-06-13T06:52:22"/>
        <d v="2025-07-03T13:13:01"/>
        <d v="2025-08-16T17:51:25"/>
        <d v="2026-03-25T10:20:46"/>
        <d v="2026-01-26T15:15:40"/>
        <d v="2025-11-06T07:09:02"/>
        <d v="2025-05-12T15:15:14"/>
        <d v="2025-10-26T09:52:45"/>
        <d v="2025-06-19T15:45:12"/>
        <d v="2026-01-10T19:59:09"/>
        <d v="2025-11-07T03:21:02"/>
        <d v="2025-05-01T01:45:17"/>
        <d v="2026-04-07T09:08:43"/>
        <d v="2025-11-17T17:37:13"/>
        <d v="2026-03-19T07:47:32"/>
        <d v="2025-10-29T15:49:25"/>
        <d v="2026-04-03T11:39:06"/>
        <d v="2025-08-15T23:12:06"/>
        <d v="2026-03-31T14:12:20"/>
        <d v="2026-02-01T23:50:32"/>
        <d v="2025-10-22T15:43:24"/>
        <d v="2025-08-15T15:22:18"/>
        <d v="2026-01-05T22:00:00"/>
        <d v="2025-11-24T05:32:51"/>
        <d v="2025-10-13T05:19:16"/>
        <d v="2025-05-08T07:12:05"/>
        <d v="2025-08-12T00:27:13"/>
        <d v="2026-01-12T18:28:02"/>
        <d v="2025-05-27T18:57:53"/>
        <d v="2026-02-24T13:04:24"/>
        <d v="2025-11-16T23:29:26"/>
        <d v="2025-12-23T10:50:45"/>
        <d v="2026-03-27T13:12:04"/>
        <d v="2026-04-14T05:20:13"/>
        <d v="2025-12-24T21:20:02"/>
        <d v="2026-01-01T10:42:31"/>
        <d v="2026-04-10T20:08:26"/>
        <d v="2025-06-08T20:30:02"/>
        <d v="2026-02-13T05:56:10"/>
        <d v="2026-01-19T17:04:46"/>
        <d v="2026-04-29T22:02:23"/>
        <d v="2025-09-21T15:22:21"/>
        <d v="2025-12-04T06:22:03"/>
        <d v="2026-02-01T01:20:44"/>
        <d v="2026-04-04T00:09:18"/>
        <d v="2026-01-08T08:11:30"/>
        <d v="2026-01-02T16:06:26"/>
        <d v="2025-06-27T00:28:48"/>
        <d v="2025-06-04T17:20:08"/>
        <d v="2025-05-07T22:05:27"/>
        <d v="2025-10-12T01:49:52"/>
        <d v="2025-07-27T07:00:32"/>
        <d v="2025-05-30T01:26:25"/>
        <d v="2025-10-10T00:12:53"/>
        <d v="2025-09-22T03:39:40"/>
        <d v="2026-03-02T03:36:11"/>
        <d v="2025-11-14T00:53:09"/>
        <d v="2025-05-16T17:36:16"/>
        <d v="2025-07-06T11:05:51"/>
        <d v="2025-08-07T11:06:34"/>
        <d v="2025-07-30T09:41:57"/>
        <d v="2025-05-02T01:10:37"/>
        <d v="2025-09-30T12:04:39"/>
        <d v="2026-04-09T17:29:57"/>
        <d v="2025-05-27T02:38:59"/>
        <d v="2025-10-24T18:38:52"/>
        <d v="2025-11-04T01:19:18"/>
        <d v="2025-12-12T16:45:39"/>
        <d v="2025-08-10T13:10:33"/>
        <d v="2025-06-08T20:52:26"/>
        <d v="2026-01-01T15:28:33"/>
        <d v="2025-08-28T08:57:09"/>
        <d v="2025-08-01T04:10:58"/>
        <d v="2025-09-23T07:27:01"/>
        <d v="2025-07-18T21:39:41"/>
        <d v="2026-03-19T15:45:09"/>
        <d v="2025-07-11T19:28:07"/>
        <d v="2025-11-01T11:33:26"/>
        <d v="2025-12-19T13:13:35"/>
        <d v="2025-07-17T10:00:31"/>
        <d v="2025-05-22T20:32:33"/>
        <d v="2026-01-13T23:44:46"/>
        <d v="2025-09-22T06:01:31"/>
        <d v="2025-10-24T15:09:15"/>
        <d v="2025-08-30T16:50:51"/>
        <d v="2025-07-06T07:57:36"/>
        <d v="2025-07-14T14:07:22"/>
        <d v="2026-01-02T11:52:17"/>
        <d v="2026-02-19T10:04:19"/>
        <d v="2026-01-14T05:15:05"/>
        <d v="2025-11-29T12:17:13"/>
        <d v="2025-06-24T21:59:55"/>
        <d v="2025-07-18T10:26:36"/>
        <d v="2025-10-24T06:53:35"/>
        <d v="2025-05-05T05:34:16"/>
        <d v="2025-11-29T12:50:12"/>
        <d v="2025-09-08T07:51:49"/>
        <d v="2025-10-18T02:49:18"/>
        <d v="2026-01-27T09:04:55"/>
        <d v="2025-06-21T20:02:42"/>
        <d v="2026-02-23T04:28:11"/>
        <d v="2026-02-25T05:06:30"/>
        <d v="2026-02-15T06:24:29"/>
        <d v="2025-09-02T11:35:06"/>
        <d v="2026-03-18T07:48:45"/>
        <d v="2026-01-23T17:14:38"/>
        <d v="2025-10-24T18:32:43"/>
        <d v="2025-12-01T23:47:47"/>
        <d v="2025-05-30T22:13:21"/>
        <d v="2025-09-07T18:57:36"/>
        <d v="2026-01-28T22:49:55"/>
        <d v="2025-07-08T18:04:08"/>
        <d v="2025-10-23T01:10:20"/>
        <d v="2026-02-26T23:59:15"/>
        <d v="2025-10-23T00:55:06"/>
        <d v="2026-04-25T15:46:26"/>
        <d v="2025-10-02T22:20:41"/>
        <d v="2025-08-13T19:01:52"/>
        <d v="2025-11-14T21:45:42"/>
        <d v="2025-11-27T09:35:37"/>
        <d v="2026-04-22T06:07:35"/>
        <d v="2026-03-17T23:07:39"/>
        <d v="2026-01-06T08:01:19"/>
        <d v="2025-10-18T21:52:31"/>
        <d v="2026-02-23T09:20:02"/>
        <d v="2025-08-29T23:27:34"/>
        <d v="2026-02-18T16:30:19"/>
        <d v="2025-11-02T22:19:34"/>
        <d v="2025-07-28T01:16:54"/>
        <d v="2026-01-25T09:13:44"/>
        <d v="2025-05-27T13:09:08"/>
        <d v="2025-06-28T18:32:51"/>
        <d v="2025-08-11T08:18:27"/>
        <d v="2025-06-01T16:55:57"/>
        <d v="2025-06-12T20:09:19"/>
        <d v="2025-10-30T07:26:57"/>
        <d v="2026-04-22T11:00:08"/>
        <d v="2025-08-01T04:35:45"/>
        <d v="2025-06-03T03:46:46"/>
        <d v="2025-05-17T14:23:57"/>
        <d v="2025-12-04T17:53:29"/>
        <d v="2025-06-09T00:05:12"/>
        <d v="2026-02-26T14:29:08"/>
        <d v="2025-08-09T20:37:21"/>
        <d v="2025-06-07T09:31:33"/>
        <d v="2026-02-21T09:55:12"/>
        <d v="2025-06-27T06:58:39"/>
        <d v="2025-10-13T20:21:29"/>
        <d v="2026-02-23T12:19:52"/>
        <d v="2026-01-25T05:47:12"/>
        <d v="2025-11-24T21:57:29"/>
        <d v="2025-07-10T10:57:18"/>
        <d v="2025-11-11T20:31:16"/>
        <d v="2025-07-10T04:31:53"/>
        <d v="2025-07-30T22:46:42"/>
        <d v="2025-08-04T14:11:26"/>
        <d v="2026-04-12T08:55:06"/>
        <d v="2025-12-10T22:36:02"/>
        <d v="2025-06-18T18:22:04"/>
        <d v="2025-10-20T09:11:39"/>
        <d v="2026-01-17T16:13:42"/>
        <d v="2026-04-17T14:43:54"/>
        <d v="2026-01-24T06:40:48"/>
        <d v="2025-07-17T06:36:24"/>
        <d v="2025-11-30T02:19:51"/>
        <d v="2026-04-25T12:02:24"/>
        <d v="2025-09-20T21:20:29"/>
        <d v="2026-02-19T14:34:13"/>
        <d v="2025-11-16T13:54:07"/>
        <d v="2025-05-24T12:35:32"/>
        <d v="2025-05-10T17:31:37"/>
        <d v="2025-11-29T08:47:42"/>
        <d v="2026-01-19T11:19:51"/>
        <d v="2026-03-09T17:19:34"/>
        <d v="2025-12-09T04:12:29"/>
        <d v="2025-07-04T15:01:58"/>
        <d v="2025-10-11T07:08:43"/>
        <d v="2025-07-21T15:04:40"/>
        <d v="2025-08-08T03:18:02"/>
        <d v="2026-04-20T23:14:28"/>
        <d v="2025-10-24T02:33:00"/>
        <d v="2025-05-28T04:12:04"/>
        <d v="2026-02-21T13:18:15"/>
        <d v="2026-04-16T01:26:02"/>
        <d v="2026-03-04T11:24:06"/>
        <d v="2026-01-28T17:47:37"/>
        <d v="2025-05-22T13:53:19"/>
        <d v="2026-01-27T03:51:20"/>
        <d v="2026-02-04T11:00:37"/>
        <d v="2025-08-02T21:29:51"/>
        <d v="2025-07-01T04:27:44"/>
        <d v="2025-09-22T09:29:38"/>
        <d v="2026-01-20T20:05:42"/>
        <d v="2026-03-06T10:39:15"/>
        <d v="2025-08-02T20:15:26"/>
        <d v="2025-10-26T07:20:36"/>
        <d v="2025-06-17T20:09:15"/>
        <d v="2025-05-13T19:47:34"/>
        <d v="2026-02-01T22:08:20"/>
        <d v="2025-09-30T02:36:57"/>
        <d v="2026-01-09T22:35:06"/>
        <d v="2026-04-29T01:26:56"/>
        <d v="2025-05-09T18:46:08"/>
        <d v="2025-12-12T03:33:34"/>
        <d v="2025-10-24T04:54:46"/>
        <d v="2025-05-09T09:02:43"/>
        <d v="2025-09-08T00:28:46"/>
        <d v="2025-06-28T11:02:36"/>
        <d v="2026-02-06T14:22:26"/>
        <d v="2025-11-12T21:04:31"/>
        <d v="2026-01-18T05:31:29"/>
        <d v="2025-05-30T04:04:09"/>
        <d v="2025-06-14T07:21:42"/>
        <d v="2026-04-17T20:33:00"/>
        <d v="2025-12-20T10:26:06"/>
        <d v="2025-11-13T00:52:29"/>
        <d v="2026-02-15T08:39:24"/>
        <d v="2025-11-22T16:23:50"/>
        <d v="2026-03-11T22:18:58"/>
        <d v="2026-01-29T02:12:13"/>
        <d v="2025-08-29T02:34:06"/>
        <d v="2025-07-10T13:58:54"/>
        <d v="2026-03-24T18:27:33"/>
        <d v="2025-06-13T17:38:18"/>
        <d v="2025-10-20T00:21:23"/>
        <d v="2026-01-20T08:16:04"/>
        <d v="2025-12-12T04:06:45"/>
        <d v="2025-11-23T19:10:30"/>
        <d v="2026-03-13T03:34:24"/>
        <d v="2026-01-05T04:44:52"/>
        <d v="2025-05-19T02:10:34"/>
        <d v="2026-04-06T23:33:17"/>
        <d v="2025-05-15T08:45:31"/>
        <d v="2025-09-29T11:21:29"/>
        <d v="2025-05-03T14:13:03"/>
        <d v="2025-12-09T02:53:18"/>
        <d v="2025-05-25T22:43:33"/>
        <d v="2026-01-06T17:48:30"/>
        <d v="2025-08-19T19:52:18"/>
        <d v="2025-07-25T10:10:28"/>
        <d v="2025-12-17T11:00:32"/>
        <d v="2026-04-16T02:18:05"/>
        <d v="2025-05-22T09:59:09"/>
        <d v="2026-04-16T06:21:50"/>
        <d v="2026-01-20T10:13:11"/>
        <d v="2025-12-22T22:54:17"/>
        <d v="2025-07-02T05:31:12"/>
        <d v="2025-11-09T03:49:38"/>
        <d v="2026-02-24T02:00:22"/>
        <d v="2026-03-06T22:07:46"/>
        <d v="2025-09-12T14:05:09"/>
        <d v="2025-10-24T13:52:03"/>
        <d v="2025-10-01T16:41:41"/>
        <d v="2025-07-12T12:17:01"/>
        <d v="2026-03-23T00:10:02"/>
        <d v="2025-08-25T05:37:30"/>
        <d v="2025-06-16T15:49:41"/>
        <d v="2025-08-19T20:14:09"/>
        <d v="2025-09-05T05:02:00"/>
        <d v="2025-07-23T22:01:22"/>
        <d v="2025-05-22T20:21:56"/>
        <d v="2025-11-22T14:20:35"/>
        <d v="2025-08-15T20:58:13"/>
        <d v="2025-05-31T18:57:14"/>
        <d v="2026-02-14T09:16:01"/>
        <d v="2025-08-23T07:44:55"/>
        <d v="2025-06-07T23:14:41"/>
        <d v="2025-10-02T08:07:32"/>
        <d v="2025-07-16T23:10:13"/>
        <d v="2025-08-08T05:15:01"/>
        <d v="2025-09-07T06:38:57"/>
        <d v="2025-07-21T21:28:09"/>
        <d v="2026-04-03T02:15:29"/>
        <d v="2025-11-19T19:18:01"/>
        <d v="2026-01-21T03:39:23"/>
        <d v="2025-07-28T03:24:25"/>
        <d v="2025-06-12T12:51:01"/>
        <d v="2026-02-16T14:54:50"/>
        <d v="2025-10-02T18:20:57"/>
        <d v="2026-03-24T18:11:24"/>
        <d v="2026-04-08T04:13:31"/>
        <d v="2026-02-06T10:22:01"/>
        <d v="2025-08-25T00:58:04"/>
        <d v="2025-09-15T07:06:14"/>
        <d v="2026-03-06T12:33:24"/>
        <d v="2026-04-29T16:59:56"/>
        <d v="2026-04-24T17:07:47"/>
        <d v="2026-03-02T13:42:07"/>
        <d v="2025-10-11T16:04:23"/>
        <d v="2025-05-22T01:23:47"/>
        <d v="2025-05-09T15:52:38"/>
        <d v="2025-12-17T18:16:23"/>
        <d v="2025-08-24T11:23:58"/>
        <d v="2026-02-10T09:22:29"/>
        <d v="2026-04-29T00:23:05"/>
        <d v="2025-09-02T05:23:15"/>
        <d v="2026-04-25T09:13:02"/>
        <d v="2025-06-18T01:35:25"/>
        <d v="2025-09-13T22:13:28"/>
        <d v="2025-10-23T09:27:33"/>
        <d v="2025-05-16T02:37:48"/>
        <d v="2025-05-04T08:23:46"/>
        <d v="2026-02-22T11:18:44"/>
        <d v="2026-01-12T16:43:38"/>
        <d v="2025-07-24T21:38:39"/>
        <d v="2026-02-02T01:37:58"/>
        <d v="2025-08-07T11:47:45"/>
        <d v="2026-01-16T07:13:45"/>
        <d v="2025-05-14T12:15:17"/>
        <d v="2026-04-25T07:19:04"/>
        <d v="2025-11-14T21:20:40"/>
        <d v="2025-07-04T11:53:05"/>
        <d v="2025-11-18T18:49:20"/>
        <d v="2026-03-27T03:24:00"/>
        <d v="2026-02-09T10:10:02"/>
        <d v="2026-02-22T14:36:09"/>
        <d v="2025-08-06T04:21:29"/>
        <d v="2026-01-12T08:54:00"/>
        <d v="2025-07-22T04:39:03"/>
        <d v="2026-02-18T00:31:53"/>
        <d v="2025-11-27T11:39:45"/>
        <d v="2025-12-05T22:10:10"/>
        <d v="2026-01-01T13:45:39"/>
        <d v="2025-12-30T15:22:08"/>
        <d v="2025-11-24T15:34:01"/>
        <d v="2025-07-10T02:19:11"/>
        <d v="2026-02-24T03:24:29"/>
        <d v="2025-10-04T04:46:29"/>
        <d v="2026-03-04T16:02:18"/>
        <d v="2025-09-22T15:47:16"/>
        <d v="2025-06-27T02:57:02"/>
        <d v="2025-09-29T14:32:05"/>
        <d v="2025-06-09T01:50:56"/>
        <d v="2025-07-01T20:14:10"/>
        <d v="2026-04-20T04:47:46"/>
        <d v="2026-03-27T02:50:03"/>
        <d v="2025-12-11T09:34:17"/>
        <d v="2026-04-06T19:44:00"/>
        <d v="2026-03-21T01:34:04"/>
        <d v="2026-03-25T22:14:50"/>
        <d v="2025-11-09T07:52:42"/>
        <d v="2026-02-11T16:51:29"/>
        <d v="2025-12-25T08:29:44"/>
        <d v="2025-06-06T21:33:38"/>
        <d v="2025-10-05T01:03:06"/>
        <d v="2025-11-22T18:14:28"/>
        <d v="2025-09-15T21:38:30"/>
        <d v="2025-06-08T19:34:09"/>
        <d v="2025-06-16T01:37:19"/>
        <d v="2026-01-18T16:47:09"/>
        <d v="2026-03-11T04:59:53"/>
        <d v="2025-09-19T09:27:40"/>
        <d v="2025-11-19T21:17:54"/>
        <d v="2025-09-26T20:47:42"/>
        <d v="2025-11-24T05:51:50"/>
        <d v="2025-05-02T21:47:33"/>
        <d v="2026-01-10T23:38:34"/>
        <d v="2025-05-19T17:29:21"/>
        <d v="2026-03-24T21:04:52"/>
        <d v="2026-04-20T02:53:29"/>
        <d v="2026-03-28T08:03:10"/>
        <d v="2025-05-03T10:38:23"/>
        <d v="2025-08-07T10:44:44"/>
        <d v="2025-05-05T20:42:11"/>
        <d v="2025-05-03T09:54:53"/>
        <d v="2025-09-07T08:52:46"/>
        <d v="2025-05-30T06:52:59"/>
        <d v="2026-02-04T13:29:12"/>
        <d v="2025-12-21T08:58:52"/>
        <d v="2025-09-21T21:04:25"/>
        <d v="2025-11-04T01:01:24"/>
        <d v="2025-07-21T04:14:49"/>
        <d v="2025-05-03T15:08:59"/>
        <d v="2026-02-08T04:56:22"/>
        <d v="2025-11-30T14:22:08"/>
        <d v="2026-02-09T04:09:28"/>
        <d v="2025-11-18T16:01:13"/>
        <d v="2025-05-26T17:41:06"/>
        <d v="2025-12-21T09:26:51"/>
        <d v="2026-03-12T15:25:44"/>
        <d v="2025-12-16T06:01:48"/>
        <d v="2025-06-08T01:24:25"/>
        <d v="2025-08-17T21:41:31"/>
        <d v="2025-08-27T18:03:16"/>
        <d v="2025-12-31T04:13:35"/>
        <d v="2025-05-19T03:56:44"/>
        <d v="2025-12-08T03:27:04"/>
        <d v="2026-03-16T14:05:07"/>
        <d v="2025-09-05T07:00:11"/>
        <d v="2026-04-09T09:31:45"/>
        <d v="2025-11-27T07:41:55"/>
        <d v="2025-12-05T09:31:25"/>
        <d v="2025-12-07T19:10:36"/>
        <d v="2026-01-08T00:46:10"/>
        <d v="2025-05-18T07:58:48"/>
        <d v="2026-02-16T09:45:21"/>
        <d v="2025-07-28T14:04:21"/>
        <d v="2025-06-22T13:53:20"/>
        <d v="2025-06-28T13:49:00"/>
        <d v="2025-09-08T02:04:40"/>
        <d v="2025-12-21T01:24:43"/>
        <d v="2025-12-26T09:54:28"/>
        <d v="2026-04-13T15:26:42"/>
        <d v="2025-12-13T22:12:02"/>
        <d v="2026-03-01T14:02:58"/>
        <d v="2025-10-14T04:30:02"/>
        <d v="2025-08-10T11:25:58"/>
        <d v="2026-02-20T16:19:30"/>
        <d v="2025-09-28T09:08:36"/>
        <d v="2026-03-02T15:42:40"/>
        <d v="2026-01-24T17:01:25"/>
        <d v="2025-07-30T15:30:08"/>
        <d v="2025-10-04T11:40:50"/>
        <d v="2025-07-25T15:37:54"/>
        <d v="2025-10-14T01:56:24"/>
        <d v="2026-03-25T22:15:29"/>
        <d v="2026-03-14T21:40:32"/>
        <d v="2026-02-12T18:37:43"/>
        <d v="2026-02-01T18:51:31"/>
        <d v="2025-08-15T09:30:44"/>
        <d v="2025-12-06T08:04:06"/>
        <d v="2025-05-23T12:40:27"/>
        <d v="2026-02-27T06:08:50"/>
        <d v="2025-05-17T06:33:08"/>
        <d v="2025-06-28T19:42:20"/>
        <d v="2026-01-02T03:10:39"/>
        <d v="2025-10-17T20:22:48"/>
        <d v="2025-07-11T02:58:32"/>
        <d v="2025-11-30T23:08:54"/>
        <d v="2026-02-09T16:51:30"/>
        <d v="2025-05-14T17:38:22"/>
        <d v="2025-07-21T23:04:04"/>
        <d v="2025-07-31T17:18:55"/>
        <d v="2025-11-30T17:34:09"/>
        <d v="2025-11-14T17:26:26"/>
        <d v="2025-08-01T05:09:49"/>
        <d v="2025-08-24T07:15:07"/>
        <d v="2025-11-18T19:49:24"/>
        <d v="2025-10-09T10:48:23"/>
        <d v="2025-06-23T17:47:41"/>
        <d v="2025-09-22T11:22:33"/>
        <d v="2026-02-09T15:40:21"/>
        <d v="2026-03-27T00:24:14"/>
        <d v="2026-03-11T12:03:33"/>
        <d v="2026-04-04T21:37:08"/>
        <d v="2026-01-31T08:54:45"/>
        <d v="2025-05-22T16:57:30"/>
        <d v="2025-06-14T16:13:02"/>
        <d v="2026-01-20T15:15:58"/>
        <d v="2025-07-31T07:28:36"/>
        <d v="2025-06-25T15:24:40"/>
        <d v="2026-02-27T03:12:44"/>
        <d v="2025-06-06T23:22:09"/>
        <d v="2025-08-07T10:52:50"/>
        <d v="2025-06-30T12:58:54"/>
        <d v="2025-08-16T15:26:22"/>
        <d v="2025-08-05T03:57:11"/>
        <d v="2025-10-25T09:37:37"/>
        <d v="2025-05-01T21:36:49"/>
        <d v="2025-08-07T05:13:48"/>
        <d v="2025-10-08T04:46:43"/>
        <d v="2025-11-19T16:49:55"/>
        <d v="2026-02-02T16:44:09"/>
        <d v="2025-08-30T23:57:35"/>
        <d v="2026-02-12T05:47:39"/>
        <d v="2025-11-19T12:39:50"/>
        <d v="2025-11-04T19:48:21"/>
        <d v="2026-02-28T19:26:00"/>
        <d v="2026-04-14T15:54:12"/>
        <d v="2025-06-15T00:31:01"/>
        <d v="2026-02-19T03:11:13"/>
        <d v="2025-06-16T21:58:21"/>
        <d v="2025-08-05T01:35:30"/>
        <d v="2025-08-29T16:34:34"/>
        <d v="2026-02-26T02:33:26"/>
        <d v="2026-01-13T07:13:36"/>
        <d v="2026-01-23T08:27:42"/>
        <d v="2025-05-14T15:58:05"/>
        <d v="2025-05-06T07:38:17"/>
        <d v="2025-12-31T11:56:27"/>
        <d v="2026-03-29T02:31:33"/>
        <d v="2025-08-31T11:14:37"/>
        <d v="2025-12-14T00:58:08"/>
        <d v="2026-02-20T04:55:37"/>
        <d v="2026-02-06T23:40:59"/>
        <d v="2026-04-04T12:03:19"/>
        <d v="2025-08-11T14:49:55"/>
        <d v="2025-12-02T08:21:00"/>
        <d v="2026-03-08T10:32:19"/>
        <d v="2026-02-11T08:37:44"/>
        <d v="2025-12-08T05:39:16"/>
        <d v="2026-04-03T18:33:46"/>
        <d v="2025-11-14T11:21:22"/>
        <d v="2025-09-17T21:17:14"/>
        <d v="2025-08-13T19:46:24"/>
        <d v="2026-02-03T17:26:31"/>
        <d v="2026-01-18T06:36:20"/>
        <d v="2025-09-03T11:34:43"/>
        <d v="2025-07-04T22:48:00"/>
        <d v="2026-03-02T21:03:43"/>
        <d v="2026-03-16T23:48:00"/>
        <d v="2026-02-21T18:38:35"/>
        <d v="2025-05-16T02:19:57"/>
        <d v="2025-09-28T15:09:34"/>
        <d v="2025-07-28T16:28:35"/>
        <d v="2025-07-04T08:46:25"/>
        <d v="2026-01-13T20:57:18"/>
        <d v="2026-02-12T04:06:35"/>
        <d v="2026-01-26T15:54:54"/>
        <d v="2026-02-18T02:03:22"/>
        <d v="2026-03-16T04:18:29"/>
        <d v="2025-08-20T07:14:56"/>
        <d v="2025-06-21T09:38:20"/>
        <d v="2025-08-02T07:14:44"/>
        <d v="2025-07-06T13:25:20"/>
        <d v="2025-06-27T07:31:46"/>
        <d v="2025-06-07T00:44:17"/>
        <d v="2025-07-25T02:40:10"/>
        <d v="2025-10-18T20:57:52"/>
        <d v="2025-07-06T22:11:22"/>
        <d v="2026-01-14T11:05:48"/>
        <d v="2025-09-23T02:18:26"/>
        <d v="2026-04-23T02:04:04"/>
        <d v="2025-05-28T23:53:25"/>
        <d v="2025-09-27T09:58:33"/>
        <d v="2026-03-08T13:03:50"/>
        <d v="2026-04-18T19:51:33"/>
        <d v="2026-01-19T16:03:54"/>
        <d v="2025-09-22T12:00:15"/>
        <d v="2025-08-28T08:38:56"/>
        <d v="2026-01-20T13:56:36"/>
        <d v="2026-02-20T16:40:41"/>
        <d v="2025-11-19T17:29:02"/>
        <d v="2025-07-05T00:28:05"/>
        <d v="2026-01-25T18:11:39"/>
        <d v="2025-12-05T02:30:47"/>
        <d v="2025-08-27T14:36:15"/>
        <d v="2025-11-16T07:56:47"/>
        <d v="2025-11-23T15:53:17"/>
        <d v="2025-12-16T18:55:27"/>
        <d v="2025-12-28T02:00:11"/>
        <d v="2026-02-16T15:33:21"/>
        <d v="2026-04-04T05:47:44"/>
        <d v="2025-05-11T15:05:36"/>
        <d v="2025-05-26T09:45:50"/>
        <d v="2025-10-03T02:07:57"/>
        <d v="2025-11-12T20:45:05"/>
        <d v="2025-10-09T07:42:35"/>
        <d v="2026-03-04T07:40:01"/>
        <d v="2025-07-14T12:05:43"/>
        <d v="2025-11-26T07:00:28"/>
        <d v="2026-02-05T12:11:01"/>
        <d v="2026-04-23T23:06:14"/>
        <d v="2025-07-26T20:18:30"/>
        <d v="2025-10-12T07:55:01"/>
        <d v="2026-02-13T05:03:26"/>
        <d v="2025-07-29T20:14:42"/>
        <d v="2026-03-29T23:32:53"/>
        <d v="2026-04-12T14:29:56"/>
        <d v="2026-04-06T06:04:40"/>
        <d v="2026-02-06T09:12:08"/>
        <d v="2025-05-13T09:03:06"/>
        <d v="2025-09-01T01:28:39"/>
        <d v="2025-11-14T02:21:10"/>
        <d v="2025-07-10T01:12:47"/>
        <d v="2026-02-17T14:07:26"/>
        <d v="2025-09-16T10:35:30"/>
        <d v="2025-10-18T06:09:49"/>
        <d v="2025-09-10T04:30:08"/>
        <d v="2026-02-13T05:17:51"/>
        <d v="2026-04-21T10:07:28"/>
        <d v="2025-08-09T13:24:32"/>
        <d v="2025-06-11T13:58:43"/>
        <d v="2026-01-10T04:24:00"/>
        <d v="2026-03-20T08:35:05"/>
        <d v="2026-04-07T09:23:28"/>
        <d v="2025-11-28T00:16:45"/>
        <d v="2025-05-07T01:15:15"/>
        <d v="2025-11-18T01:08:24"/>
        <d v="2025-11-16T06:23:10"/>
        <d v="2025-08-30T15:59:30"/>
        <d v="2025-10-04T10:40:16"/>
        <d v="2025-07-20T03:30:23"/>
        <d v="2026-01-19T20:27:45"/>
        <d v="2025-11-10T17:20:57"/>
        <d v="2026-03-03T23:46:52"/>
        <d v="2026-02-06T05:18:02"/>
        <d v="2025-09-12T11:50:11"/>
        <d v="2025-12-28T02:08:26"/>
        <d v="2025-06-18T21:44:28"/>
        <d v="2025-09-01T00:32:37"/>
        <d v="2025-07-26T07:00:29"/>
        <d v="2025-11-29T23:14:28"/>
        <d v="2025-10-19T12:13:16"/>
        <d v="2026-04-26T20:27:55"/>
        <d v="2026-02-28T16:03:27"/>
        <d v="2025-05-17T13:39:57"/>
        <d v="2026-03-15T14:43:44"/>
        <d v="2026-03-30T22:41:47"/>
        <d v="2025-10-30T05:32:39"/>
        <d v="2025-07-21T15:22:16"/>
        <d v="2026-03-31T04:35:23"/>
        <d v="2025-11-07T15:46:25"/>
        <d v="2026-04-24T11:39:31"/>
        <d v="2025-09-14T06:50:01"/>
        <d v="2025-11-15T19:15:27"/>
        <d v="2026-02-04T17:03:33"/>
        <d v="2025-09-08T14:55:32"/>
        <d v="2026-02-19T03:34:35"/>
        <d v="2026-04-30T18:21:09"/>
        <d v="2025-05-11T04:42:48"/>
        <d v="2026-04-16T01:25:18"/>
        <d v="2026-03-05T06:20:25"/>
        <d v="2026-01-10T15:44:37"/>
        <d v="2025-12-07T14:50:46"/>
        <d v="2025-10-27T22:11:14"/>
        <d v="2026-01-15T07:59:34"/>
        <d v="2025-09-23T21:25:35"/>
        <d v="2025-11-20T02:56:14"/>
        <d v="2026-04-26T03:01:21"/>
        <d v="2026-03-11T18:50:55"/>
        <d v="2025-06-24T21:12:29"/>
        <d v="2025-12-14T15:33:01"/>
        <d v="2026-04-04T05:58:12"/>
        <d v="2026-04-01T03:59:49"/>
        <d v="2025-12-21T21:40:43"/>
        <d v="2025-05-20T13:49:14"/>
        <d v="2026-04-20T05:12:04"/>
        <d v="2026-04-15T09:48:57"/>
        <d v="2025-07-04T05:10:14"/>
        <d v="2025-05-16T19:05:53"/>
        <d v="2025-07-19T12:22:25"/>
        <d v="2026-02-14T07:32:30"/>
        <d v="2025-10-07T10:19:13"/>
        <d v="2025-08-24T03:23:11"/>
        <d v="2025-06-13T19:40:21"/>
        <d v="2026-04-24T16:43:59"/>
        <d v="2025-10-22T00:54:38"/>
        <d v="2025-10-24T00:18:56"/>
        <d v="2025-08-27T17:52:13"/>
        <d v="2025-10-25T22:59:26"/>
        <d v="2025-05-02T15:43:24"/>
        <d v="2025-09-10T00:55:35"/>
        <d v="2025-12-01T15:52:36"/>
        <d v="2025-06-22T15:20:32"/>
        <d v="2025-05-17T08:17:19"/>
        <d v="2025-11-01T06:41:43"/>
        <d v="2025-09-15T05:05:31"/>
        <d v="2025-07-31T14:43:59"/>
        <d v="2026-03-28T05:57:12"/>
        <d v="2025-08-23T11:35:51"/>
        <d v="2025-10-11T03:37:35"/>
        <d v="2026-01-06T08:21:43"/>
        <d v="2026-04-07T01:35:49"/>
        <d v="2025-12-06T19:58:52"/>
        <d v="2026-03-28T20:38:42"/>
        <d v="2026-02-23T14:52:28"/>
        <d v="2026-03-01T12:55:45"/>
        <d v="2025-06-04T20:32:28"/>
        <d v="2026-02-19T09:38:29"/>
        <d v="2025-10-10T06:25:41"/>
        <d v="2025-08-06T16:53:44"/>
        <d v="2025-10-19T15:09:54"/>
        <d v="2025-11-13T12:45:23"/>
        <d v="2026-01-13T19:56:54"/>
        <d v="2026-02-27T12:20:37"/>
        <d v="2025-08-30T08:38:51"/>
        <d v="2025-06-14T02:10:46"/>
        <d v="2025-09-08T18:58:53"/>
        <d v="2025-05-06T01:51:31"/>
        <d v="2025-09-18T00:15:01"/>
        <d v="2026-01-13T19:07:15"/>
        <d v="2025-12-04T08:56:29"/>
        <d v="2025-10-01T19:07:08"/>
        <d v="2025-06-07T05:46:47"/>
        <d v="2025-10-23T10:24:39"/>
        <d v="2026-03-12T01:38:42"/>
        <d v="2026-02-03T15:33:21"/>
        <d v="2025-12-29T22:14:27"/>
        <d v="2026-02-20T21:53:22"/>
        <d v="2025-09-26T00:34:13"/>
        <d v="2025-07-14T10:37:32"/>
        <d v="2025-05-31T12:56:41"/>
        <d v="2025-12-29T05:10:19"/>
        <d v="2025-12-30T07:35:07"/>
        <d v="2025-11-03T14:05:41"/>
        <d v="2025-06-04T14:26:54"/>
        <d v="2025-06-17T08:41:03"/>
        <d v="2025-05-25T19:02:45"/>
        <d v="2025-10-02T08:54:56"/>
        <d v="2026-01-04T20:44:26"/>
        <d v="2025-10-19T09:03:24"/>
        <d v="2025-11-12T22:39:40"/>
        <d v="2026-02-17T01:16:53"/>
        <d v="2025-07-31T06:46:50"/>
        <d v="2025-07-26T10:50:54"/>
        <d v="2025-09-28T22:51:38"/>
        <d v="2025-05-17T13:54:45"/>
        <d v="2025-08-01T07:08:05"/>
        <d v="2025-09-18T01:59:47"/>
        <d v="2025-10-15T21:50:34"/>
        <d v="2026-02-28T20:04:42"/>
        <d v="2025-09-05T18:58:44"/>
        <d v="2025-08-22T20:31:27"/>
        <d v="2025-11-26T20:48:45"/>
        <d v="2025-08-13T14:52:21"/>
        <d v="2026-03-09T21:49:50"/>
        <d v="2025-07-26T09:24:15"/>
        <d v="2025-11-13T20:08:09"/>
        <d v="2025-10-29T02:35:47"/>
        <d v="2025-11-27T10:26:51"/>
        <d v="2025-05-20T12:26:43"/>
        <d v="2026-01-05T23:33:17"/>
        <d v="2026-04-14T19:36:57"/>
        <d v="2025-08-18T04:08:38"/>
        <d v="2025-05-05T06:58:39"/>
        <d v="2025-08-24T07:46:28"/>
        <d v="2025-08-02T13:51:50"/>
        <d v="2025-10-11T08:18:26"/>
        <d v="2026-03-17T03:19:34"/>
        <d v="2026-04-18T17:41:54"/>
        <d v="2025-07-02T13:48:52"/>
        <d v="2025-11-02T05:18:21"/>
        <d v="2025-11-04T09:16:43"/>
        <d v="2025-09-16T14:07:41"/>
        <d v="2026-01-30T23:06:26"/>
        <d v="2025-06-25T20:26:10"/>
        <d v="2025-09-30T18:41:39"/>
        <d v="2025-05-11T18:21:14"/>
        <d v="2025-06-17T16:58:01"/>
        <d v="2025-05-31T17:59:51"/>
        <d v="2026-03-08T13:15:21"/>
        <d v="2025-05-23T13:02:20"/>
        <d v="2025-11-20T02:13:50"/>
        <d v="2025-06-26T19:26:45"/>
        <d v="2025-12-31T01:32:25"/>
        <d v="2026-03-08T23:20:37"/>
        <d v="2025-12-18T12:34:38"/>
        <d v="2026-03-11T21:28:47"/>
        <d v="2025-08-13T09:24:23"/>
        <d v="2025-06-21T13:36:40"/>
        <d v="2025-09-18T00:06:14"/>
        <d v="2026-02-07T07:38:38"/>
        <d v="2025-11-16T05:59:29"/>
        <d v="2025-05-09T03:00:52"/>
        <d v="2025-06-12T21:00:09"/>
        <d v="2026-03-03T09:25:07"/>
        <d v="2025-06-08T14:34:21"/>
        <d v="2026-03-13T03:36:46"/>
        <d v="2025-08-17T02:52:15"/>
        <d v="2025-09-09T01:33:02"/>
        <d v="2025-12-14T15:09:04"/>
        <d v="2025-07-07T02:53:11"/>
        <d v="2025-10-03T08:50:57"/>
        <d v="2025-07-21T18:09:29"/>
        <d v="2025-09-12T06:20:33"/>
        <d v="2025-10-06T14:02:20"/>
        <d v="2025-08-11T01:10:46"/>
        <d v="2025-12-22T22:59:27"/>
        <d v="2025-11-09T00:57:11"/>
        <d v="2025-06-12T17:08:12"/>
        <d v="2026-03-06T08:01:26"/>
        <d v="2025-10-20T11:21:30"/>
        <d v="2025-09-17T18:09:01"/>
        <d v="2026-03-11T14:06:20"/>
        <d v="2025-12-01T03:30:15"/>
        <d v="2026-04-28T09:43:27"/>
        <d v="2026-04-29T19:47:11"/>
        <d v="2025-10-10T10:30:19"/>
        <d v="2026-03-29T16:45:41"/>
        <d v="2026-03-30T18:03:36"/>
        <d v="2025-08-18T00:10:54"/>
        <d v="2026-04-01T18:57:14"/>
        <d v="2025-07-15T22:57:04"/>
        <d v="2025-05-11T04:19:48"/>
        <d v="2026-01-08T19:17:38"/>
        <d v="2026-02-08T23:06:38"/>
        <d v="2025-12-31T17:59:48"/>
        <d v="2025-07-05T23:27:03"/>
        <d v="2025-12-21T00:58:37"/>
        <d v="2025-09-26T14:40:35"/>
        <d v="2025-10-30T16:28:07"/>
        <d v="2026-04-30T16:35:57"/>
        <d v="2025-11-06T14:02:03"/>
        <d v="2025-12-06T11:59:23"/>
        <d v="2025-12-06T10:47:37"/>
        <d v="2025-08-06T13:50:14"/>
        <d v="2026-03-16T10:40:21"/>
        <d v="2026-02-08T21:49:37"/>
        <d v="2025-08-23T19:44:23"/>
        <d v="2025-11-05T01:32:59"/>
        <d v="2025-05-13T11:41:09"/>
        <d v="2025-10-10T18:02:32"/>
        <d v="2025-10-06T03:34:14"/>
        <d v="2025-10-09T03:08:12"/>
        <d v="2025-09-23T13:13:41"/>
        <d v="2025-10-04T10:58:53"/>
        <d v="2025-05-28T05:40:36"/>
        <d v="2025-12-23T10:52:04"/>
        <d v="2025-12-31T08:11:23"/>
        <d v="2026-02-17T02:30:59"/>
        <d v="2025-10-21T20:20:04"/>
        <d v="2025-08-31T23:23:35"/>
        <d v="2025-09-21T23:39:52"/>
        <d v="2025-05-08T14:15:19"/>
        <d v="2025-07-05T21:13:39"/>
        <d v="2025-11-20T00:20:07"/>
        <d v="2026-01-20T07:02:45"/>
        <d v="2025-05-17T01:01:29"/>
        <d v="2025-10-25T17:38:13"/>
        <d v="2026-02-21T19:27:48"/>
        <d v="2025-09-11T20:19:47"/>
        <d v="2025-05-23T03:53:38"/>
        <d v="2025-05-03T10:59:27"/>
        <d v="2025-09-03T04:38:53"/>
        <d v="2025-11-04T11:32:41"/>
        <d v="2026-03-12T11:31:36"/>
        <d v="2025-09-27T03:36:39"/>
        <d v="2025-09-27T23:21:23"/>
        <d v="2025-11-26T13:33:32"/>
        <d v="2026-02-23T21:12:22"/>
        <d v="2025-10-02T13:37:25"/>
        <d v="2025-06-15T21:01:46"/>
        <d v="2026-01-23T10:44:03"/>
        <d v="2026-01-28T06:25:09"/>
        <d v="2025-11-14T03:38:29"/>
        <d v="2025-07-10T06:35:28"/>
        <d v="2025-05-30T13:54:33"/>
        <d v="2025-08-10T22:43:09"/>
        <d v="2025-06-08T01:17:10"/>
        <d v="2026-04-28T09:29:43"/>
        <d v="2025-11-19T17:04:04"/>
        <d v="2025-09-09T15:55:57"/>
        <d v="2025-10-26T12:21:41"/>
        <d v="2025-11-12T01:32:13"/>
        <d v="2025-06-15T11:35:24"/>
        <d v="2025-12-18T18:12:00"/>
        <d v="2025-10-14T15:49:18"/>
        <d v="2025-11-13T23:16:24"/>
        <d v="2026-02-09T17:47:13"/>
        <d v="2026-01-03T11:55:07"/>
        <d v="2026-01-13T15:56:03"/>
        <d v="2025-11-27T17:42:26"/>
        <d v="2025-07-06T18:37:55"/>
        <d v="2026-03-10T16:12:53"/>
        <d v="2026-02-06T14:33:31"/>
        <d v="2025-11-04T18:34:27"/>
        <d v="2025-10-09T20:30:51"/>
        <d v="2025-08-20T17:16:40"/>
        <d v="2025-05-30T00:48:43"/>
        <d v="2025-05-19T04:38:57"/>
        <d v="2026-03-16T02:00:00"/>
        <d v="2026-04-23T14:06:07"/>
        <d v="2026-04-15T06:44:40"/>
        <d v="2026-01-31T17:26:52"/>
        <d v="2025-10-31T09:58:18"/>
        <d v="2025-10-15T11:51:50"/>
        <d v="2025-05-15T01:25:15"/>
        <d v="2025-11-28T07:48:18"/>
        <d v="2025-08-31T04:47:24"/>
        <d v="2025-12-24T20:12:42"/>
        <d v="2025-12-23T04:54:08"/>
        <d v="2026-04-17T02:06:17"/>
        <d v="2026-03-25T09:04:32"/>
        <d v="2025-07-30T18:27:22"/>
        <d v="2025-08-24T08:58:01"/>
        <d v="2026-02-21T23:05:28"/>
        <d v="2025-06-23T10:29:51"/>
        <d v="2026-04-14T10:23:28"/>
        <d v="2026-03-14T04:55:46"/>
        <d v="2025-10-17T00:25:26"/>
        <d v="2026-02-21T04:47:36"/>
        <d v="2026-02-18T04:26:42"/>
        <d v="2025-06-14T16:50:35"/>
        <d v="2025-12-06T19:32:44"/>
        <d v="2025-11-03T15:06:17"/>
        <d v="2025-12-29T21:00:42"/>
        <d v="2025-08-17T22:43:53"/>
        <d v="2025-05-12T01:26:09"/>
        <d v="2025-07-28T22:32:54"/>
        <d v="2026-02-25T21:48:32"/>
        <d v="2025-05-02T02:54:24"/>
        <d v="2025-12-24T07:53:08"/>
        <d v="2026-03-26T17:49:34"/>
        <d v="2025-06-02T00:24:18"/>
        <d v="2025-09-12T22:54:20"/>
        <d v="2025-07-31T17:31:41"/>
        <d v="2026-03-04T21:26:29"/>
        <d v="2025-09-01T06:20:24"/>
        <d v="2025-11-08T20:08:32"/>
        <d v="2026-01-27T21:44:51"/>
        <d v="2025-10-02T16:45:18"/>
        <d v="2025-05-24T16:23:34"/>
        <d v="2026-01-18T14:00:35"/>
        <d v="2026-02-27T14:45:33"/>
        <d v="2026-02-17T10:21:09"/>
        <d v="2025-08-01T03:03:24"/>
        <d v="2025-08-25T21:20:22"/>
        <d v="2025-08-01T14:07:42"/>
        <d v="2025-09-28T17:57:02"/>
        <d v="2025-10-04T05:14:53"/>
        <d v="2025-06-22T16:05:23"/>
        <d v="2025-11-19T08:00:51"/>
        <d v="2025-05-07T16:52:28"/>
        <d v="2025-10-07T22:25:02"/>
        <d v="2025-11-07T00:06:13"/>
        <d v="2025-11-26T09:57:10"/>
        <d v="2025-10-09T03:49:37"/>
        <d v="2025-07-26T22:29:43"/>
        <d v="2025-11-13T19:12:01"/>
        <d v="2025-09-05T14:05:15"/>
        <d v="2026-02-27T19:53:13"/>
        <d v="2025-06-23T20:12:39"/>
        <d v="2026-02-24T04:54:33"/>
        <d v="2025-07-30T09:26:49"/>
        <d v="2026-01-24T04:37:17"/>
        <d v="2025-06-27T18:33:34"/>
        <d v="2025-05-12T18:31:39"/>
        <d v="2026-02-05T13:20:06"/>
        <d v="2026-04-10T19:09:14"/>
        <d v="2026-01-15T16:38:23"/>
        <d v="2025-10-30T18:41:11"/>
        <d v="2025-08-20T07:12:11"/>
        <d v="2025-11-14T13:54:02"/>
        <d v="2025-11-04T00:19:38"/>
        <d v="2025-08-22T01:22:29"/>
        <d v="2025-12-31T15:12:59"/>
        <d v="2025-07-09T06:19:02"/>
        <d v="2025-09-28T12:24:34"/>
        <d v="2025-11-09T03:17:59"/>
        <d v="2026-04-03T09:43:52"/>
        <d v="2026-01-07T07:53:06"/>
        <d v="2026-03-26T01:12:36"/>
        <d v="2025-11-16T14:30:14"/>
        <d v="2025-06-14T12:26:57"/>
        <d v="2025-12-28T15:29:18"/>
        <d v="2025-12-27T05:07:01"/>
        <d v="2025-10-02T05:01:22"/>
        <d v="2025-06-14T16:45:30"/>
        <d v="2025-07-03T19:09:35"/>
        <d v="2026-04-22T12:06:47"/>
        <d v="2025-08-04T20:39:44"/>
        <d v="2025-11-08T07:11:36"/>
        <d v="2025-07-04T11:56:27"/>
        <d v="2026-04-15T08:42:32"/>
        <d v="2025-11-05T19:38:14"/>
        <d v="2025-06-23T06:02:34"/>
        <d v="2026-04-25T23:47:13"/>
        <d v="2025-05-18T04:16:21"/>
        <d v="2025-11-24T13:34:14"/>
        <d v="2026-02-28T20:14:11"/>
        <d v="2025-06-28T16:39:20"/>
        <d v="2026-03-01T06:42:44"/>
        <d v="2026-02-04T18:24:51"/>
        <d v="2026-02-15T13:57:11"/>
        <d v="2025-06-13T21:37:52"/>
        <d v="2026-03-24T02:14:26"/>
        <d v="2026-01-08T01:46:23"/>
        <d v="2025-08-19T05:09:00"/>
        <d v="2025-11-07T11:11:07"/>
        <d v="2025-10-20T12:17:47"/>
        <d v="2025-12-30T20:21:12"/>
        <d v="2025-10-01T07:26:03"/>
        <d v="2025-06-10T05:00:00"/>
        <d v="2026-03-27T18:03:12"/>
        <d v="2025-10-07T06:03:43"/>
        <d v="2025-08-09T20:20:52"/>
        <d v="2025-08-26T00:22:58"/>
        <d v="2025-10-24T14:14:39"/>
        <d v="2025-11-01T12:25:15"/>
        <d v="2025-10-26T00:15:22"/>
        <d v="2025-09-22T11:16:39"/>
        <d v="2026-04-08T09:52:39"/>
        <d v="2026-01-30T13:57:25"/>
        <d v="2025-06-17T20:53:48"/>
        <d v="2026-03-19T18:38:12"/>
        <d v="2025-10-09T00:41:17"/>
        <d v="2026-03-23T20:59:39"/>
        <d v="2026-04-10T16:04:51"/>
        <d v="2026-01-17T15:40:06"/>
        <d v="2025-06-20T05:31:13"/>
        <d v="2025-05-29T15:47:22"/>
        <d v="2026-01-07T12:32:02"/>
        <d v="2025-05-12T11:36:22"/>
        <d v="2026-03-29T19:44:43"/>
        <d v="2026-03-19T19:48:54"/>
        <d v="2026-01-16T23:52:12"/>
        <d v="2025-12-08T17:26:24"/>
        <d v="2025-08-05T14:47:24"/>
        <d v="2026-03-13T04:51:18"/>
        <d v="2025-10-16T07:05:40"/>
        <d v="2026-04-21T18:38:19"/>
        <d v="2026-01-07T06:52:46"/>
        <d v="2025-12-03T11:30:13"/>
        <d v="2025-10-10T09:20:29"/>
        <d v="2025-12-13T06:59:35"/>
        <d v="2026-02-20T05:46:28"/>
        <d v="2026-03-20T15:04:22"/>
        <d v="2026-04-04T19:32:29"/>
        <d v="2025-07-14T17:47:26"/>
        <d v="2025-11-19T23:38:59"/>
        <d v="2025-05-25T12:43:39"/>
        <d v="2025-10-28T12:56:41"/>
        <d v="2026-02-21T21:34:47"/>
        <d v="2025-06-25T17:09:00"/>
        <d v="2026-02-18T18:23:29"/>
        <d v="2025-09-07T14:10:48"/>
        <d v="2025-05-13T16:29:50"/>
        <d v="2026-03-29T00:39:42"/>
        <d v="2025-09-13T21:13:30"/>
        <d v="2025-12-18T23:11:43"/>
        <d v="2026-01-12T12:17:03"/>
        <d v="2025-08-26T05:17:40"/>
        <d v="2025-12-07T07:24:20"/>
        <d v="2025-12-26T19:11:12"/>
        <d v="2025-11-17T12:49:23"/>
        <d v="2025-08-21T23:17:46"/>
        <d v="2025-06-30T21:05:21"/>
        <d v="2025-12-23T17:56:18"/>
        <d v="2026-01-20T20:07:05"/>
        <d v="2025-11-03T10:16:58"/>
        <d v="2025-06-26T23:09:54"/>
        <d v="2025-11-01T03:48:38"/>
        <d v="2025-11-16T12:11:44"/>
        <d v="2026-03-22T12:40:06"/>
        <d v="2025-05-24T19:15:54"/>
        <d v="2026-04-30T16:01:21"/>
        <d v="2025-12-02T19:49:59"/>
        <d v="2025-05-13T04:55:23"/>
        <d v="2026-04-03T05:11:53"/>
        <d v="2025-07-14T23:07:52"/>
        <d v="2025-11-20T14:59:48"/>
        <d v="2025-10-03T01:50:07"/>
        <d v="2025-07-01T09:22:59"/>
        <d v="2025-11-14T09:54:10"/>
        <d v="2025-09-16T20:41:02"/>
        <d v="2025-11-25T02:29:13"/>
        <d v="2025-06-22T17:29:09"/>
        <d v="2025-05-09T14:05:01"/>
        <d v="2026-03-03T20:41:36"/>
        <d v="2026-02-15T20:00:16"/>
        <d v="2025-06-16T08:32:30"/>
        <d v="2025-12-10T01:59:46"/>
        <d v="2025-11-08T15:22:38"/>
        <d v="2025-07-07T11:02:56"/>
        <d v="2025-10-30T11:45:35"/>
        <d v="2025-12-17T19:26:50"/>
        <d v="2025-10-30T19:56:51"/>
        <d v="2025-05-14T21:29:02"/>
        <d v="2025-12-12T09:08:01"/>
        <d v="2026-01-04T16:10:58"/>
        <d v="2025-11-09T19:48:51"/>
        <d v="2025-10-25T16:28:56"/>
        <d v="2025-11-13T01:32:29"/>
        <d v="2025-07-12T20:50:58"/>
        <d v="2026-02-09T23:43:33"/>
        <d v="2025-09-11T17:11:54"/>
        <d v="2025-11-14T02:25:53"/>
        <d v="2025-11-27T20:39:19"/>
        <d v="2025-07-09T13:09:05"/>
        <d v="2026-04-25T06:17:08"/>
        <d v="2026-03-19T05:04:30"/>
        <d v="2025-10-03T14:01:20"/>
        <d v="2025-06-10T22:30:05"/>
        <d v="2025-05-10T00:01:16"/>
        <d v="2026-03-02T08:45:13"/>
        <d v="2025-07-29T12:50:55"/>
        <d v="2025-09-11T06:08:19"/>
        <d v="2025-12-19T21:18:58"/>
        <d v="2025-06-01T22:25:00"/>
        <d v="2026-02-14T12:02:17"/>
        <d v="2025-12-18T22:32:18"/>
        <d v="2025-06-17T08:40:30"/>
        <d v="2025-12-07T08:31:41"/>
        <d v="2026-04-11T12:06:42"/>
        <d v="2025-12-01T06:10:46"/>
        <d v="2025-12-19T15:38:21"/>
        <d v="2025-09-23T05:25:10"/>
        <d v="2026-02-11T18:55:43"/>
        <d v="2025-06-25T08:22:39"/>
        <d v="2025-05-31T07:54:48"/>
        <d v="2025-11-03T23:46:50"/>
        <d v="2025-11-01T22:49:51"/>
        <d v="2026-03-01T17:52:34"/>
        <d v="2025-07-31T05:47:52"/>
        <d v="2025-06-02T21:23:54"/>
        <d v="2025-12-27T05:07:00"/>
        <d v="2025-12-27T20:11:46"/>
        <d v="2025-09-24T23:46:26"/>
        <d v="2026-01-04T15:27:26"/>
        <d v="2026-01-04T19:41:06"/>
        <d v="2026-04-20T14:33:16"/>
        <d v="2026-01-29T05:29:57"/>
        <d v="2026-03-28T22:31:47"/>
        <d v="2025-12-30T15:36:42"/>
        <d v="2025-10-31T17:48:29"/>
        <d v="2025-12-04T11:21:13"/>
        <d v="2025-06-25T03:45:21"/>
        <d v="2025-09-10T09:55:54"/>
        <d v="2025-07-01T22:24:59"/>
        <d v="2026-01-27T04:19:24"/>
        <d v="2025-12-30T13:59:28"/>
        <d v="2025-11-22T23:39:18"/>
        <d v="2025-09-22T11:40:11"/>
        <d v="2026-03-16T13:50:54"/>
        <d v="2026-04-08T06:17:47"/>
        <d v="2026-04-11T21:11:44"/>
        <d v="2025-08-03T23:33:03"/>
        <d v="2025-06-14T18:42:01"/>
        <d v="2026-03-28T17:36:42"/>
        <d v="2025-06-24T06:29:40"/>
        <d v="2026-03-21T04:18:55"/>
        <d v="2025-06-12T10:08:34"/>
        <d v="2025-06-27T01:12:56"/>
        <d v="2026-04-18T06:59:24"/>
        <d v="2026-04-24T14:38:45"/>
        <d v="2025-08-12T07:24:33"/>
        <d v="2025-11-25T17:01:15"/>
        <d v="2025-10-29T14:14:58"/>
        <d v="2026-04-14T04:44:47"/>
        <d v="2026-01-11T01:34:52"/>
        <d v="2026-04-10T03:35:30"/>
        <d v="2025-10-24T18:27:54"/>
        <d v="2026-04-13T06:31:18"/>
        <d v="2025-08-31T20:36:37"/>
        <d v="2026-03-16T01:03:20"/>
        <d v="2025-09-18T11:41:56"/>
        <d v="2026-03-09T17:47:44"/>
        <d v="2025-11-19T01:11:12"/>
        <d v="2026-03-29T15:53:09"/>
        <d v="2025-11-14T01:25:43"/>
        <d v="2025-08-22T13:48:20"/>
        <d v="2025-05-27T09:31:22"/>
        <d v="2025-10-15T20:29:22"/>
        <d v="2026-04-01T23:22:36"/>
        <d v="2025-08-17T11:49:11"/>
        <d v="2026-04-12T10:03:15"/>
        <d v="2025-06-24T00:44:46"/>
        <d v="2025-09-16T03:46:24"/>
        <d v="2025-07-19T23:42:13"/>
        <d v="2025-10-17T16:07:31"/>
        <d v="2026-02-24T03:54:29"/>
        <d v="2025-10-20T16:52:48"/>
        <d v="2025-05-04T20:46:42"/>
        <d v="2025-12-15T18:56:59"/>
        <d v="2025-08-09T05:54:16"/>
        <d v="2025-07-18T09:07:11"/>
        <d v="2025-06-22T04:01:14"/>
        <d v="2025-10-07T10:05:53"/>
        <d v="2025-07-05T03:39:06"/>
        <d v="2025-09-15T05:55:11"/>
        <d v="2025-11-11T03:22:50"/>
        <d v="2026-02-07T01:36:50"/>
        <d v="2026-02-23T12:31:06"/>
        <d v="2025-06-14T03:49:32"/>
        <d v="2026-03-04T22:51:29"/>
        <d v="2026-01-19T16:50:12"/>
        <d v="2025-05-15T08:44:00"/>
        <d v="2025-09-17T17:02:24"/>
        <d v="2025-11-10T00:00:10"/>
        <d v="2025-06-04T02:02:39"/>
        <d v="2026-04-06T07:56:34"/>
        <d v="2025-11-17T18:50:50"/>
        <d v="2026-03-17T10:21:18"/>
        <d v="2025-09-11T23:50:41"/>
        <d v="2025-09-21T23:09:22"/>
        <d v="2025-11-10T14:42:07"/>
        <d v="2026-03-23T05:58:47"/>
        <d v="2025-05-18T14:46:28"/>
        <d v="2025-06-23T10:46:12"/>
        <d v="2026-03-20T08:15:57"/>
        <d v="2025-11-09T01:55:30"/>
        <d v="2025-12-13T11:10:32"/>
        <d v="2026-01-02T05:23:26"/>
        <d v="2025-09-22T01:13:49"/>
        <d v="2025-07-08T09:23:12"/>
        <d v="2025-07-14T09:06:26"/>
        <d v="2025-06-10T19:25:04"/>
        <d v="2026-02-10T04:53:18"/>
        <d v="2025-12-14T07:07:46"/>
        <d v="2025-05-01T23:10:41"/>
        <d v="2025-06-06T03:24:30"/>
        <d v="2025-06-09T09:46:20"/>
        <d v="2025-10-27T09:56:46"/>
        <d v="2026-03-27T21:13:19"/>
        <d v="2025-12-16T22:04:42"/>
        <d v="2026-04-03T00:29:22"/>
        <d v="2026-03-04T08:21:59"/>
        <d v="2025-06-16T15:09:42"/>
        <d v="2026-04-03T17:11:26"/>
        <d v="2025-07-05T07:41:18"/>
        <d v="2025-12-29T01:03:16"/>
        <d v="2026-04-18T02:14:11"/>
        <d v="2026-01-06T05:58:19"/>
        <d v="2025-11-18T12:50:08"/>
        <d v="2025-12-21T06:47:19"/>
        <d v="2025-10-01T06:33:56"/>
        <d v="2025-06-10T20:07:01"/>
        <d v="2026-01-25T09:54:11"/>
        <d v="2025-10-30T17:23:07"/>
        <d v="2026-04-02T07:12:29"/>
        <d v="2025-10-29T05:26:17"/>
        <d v="2025-11-09T00:23:49"/>
        <d v="2025-12-14T22:45:18"/>
        <d v="2025-09-19T07:51:11"/>
        <d v="2025-06-04T00:06:57"/>
        <d v="2025-07-09T20:03:48"/>
        <d v="2026-04-01T08:37:35"/>
        <d v="2025-12-04T16:17:06"/>
        <d v="2026-03-02T02:19:20"/>
        <d v="2025-10-22T21:56:39"/>
        <d v="2026-04-28T09:01:57"/>
        <d v="2025-12-26T07:19:11"/>
        <d v="2026-03-20T22:01:55"/>
        <d v="2026-03-08T13:17:12"/>
        <d v="2025-10-18T09:54:48"/>
        <d v="2025-05-14T09:25:25"/>
        <d v="2025-06-29T14:39:34"/>
        <d v="2026-01-01T13:56:02"/>
        <d v="2025-10-02T04:04:49"/>
        <d v="2025-09-25T01:00:04"/>
        <d v="2026-01-30T12:21:19"/>
        <d v="2025-10-07T02:36:55"/>
        <d v="2025-08-02T15:43:13"/>
        <d v="2026-03-10T01:35:06"/>
        <d v="2026-01-02T11:46:23"/>
        <d v="2025-11-08T08:08:05"/>
        <d v="2026-03-10T16:36:34"/>
        <d v="2026-02-11T06:59:57"/>
        <d v="2026-03-10T10:27:56"/>
        <d v="2025-12-14T11:08:40"/>
        <d v="2025-10-01T14:40:53"/>
        <d v="2025-06-24T11:03:20"/>
        <d v="2025-06-16T16:13:54"/>
        <d v="2025-07-15T08:44:00"/>
        <d v="2025-12-22T18:01:04"/>
        <d v="2025-07-29T15:12:03"/>
        <d v="2025-07-17T13:58:34"/>
        <d v="2025-07-09T13:05:41"/>
        <d v="2025-08-23T07:59:42"/>
        <d v="2025-11-22T19:06:02"/>
        <d v="2025-08-25T10:37:02"/>
        <d v="2026-03-03T08:58:36"/>
        <d v="2026-01-07T22:05:33"/>
        <d v="2025-10-18T13:03:01"/>
        <d v="2025-09-11T04:54:46"/>
        <d v="2025-11-24T14:49:02"/>
        <d v="2025-10-18T02:56:38"/>
        <d v="2025-06-14T03:37:10"/>
        <d v="2025-05-15T10:47:05"/>
        <d v="2026-03-19T06:00:08"/>
        <d v="2025-08-31T12:58:12"/>
        <d v="2026-04-10T18:46:58"/>
        <d v="2026-02-21T21:17:11"/>
        <d v="2025-08-10T17:49:16"/>
        <d v="2026-03-27T18:48:00"/>
        <d v="2025-05-09T16:49:15"/>
        <d v="2026-02-22T07:19:48"/>
        <d v="2025-05-01T07:38:23"/>
        <d v="2025-09-21T12:30:40"/>
        <d v="2025-11-19T20:20:22"/>
        <d v="2025-09-07T08:37:38"/>
        <d v="2025-11-12T02:23:58"/>
        <d v="2025-08-02T07:47:09"/>
        <d v="2025-12-31T01:26:51"/>
        <d v="2026-04-18T00:29:29"/>
        <d v="2025-07-06T09:07:30"/>
        <d v="2026-01-15T16:07:45"/>
        <d v="2025-10-12T07:46:36"/>
        <d v="2025-11-30T00:44:27"/>
        <d v="2026-02-07T18:50:17"/>
        <d v="2025-11-28T14:53:05"/>
        <d v="2025-06-22T10:24:19"/>
        <d v="2025-09-04T07:13:02"/>
        <d v="2025-08-07T13:53:44"/>
        <d v="2025-12-27T11:41:57"/>
        <d v="2025-11-02T08:20:10"/>
        <d v="2025-05-03T07:27:47"/>
        <d v="2025-07-28T04:26:51"/>
        <d v="2026-01-24T07:48:33"/>
        <d v="2025-06-13T20:57:18"/>
        <d v="2026-01-06T02:55:10"/>
        <d v="2025-05-13T19:21:47"/>
        <d v="2026-04-30T05:24:34"/>
        <d v="2025-05-24T15:15:26"/>
        <d v="2025-12-22T11:37:07"/>
        <d v="2025-05-21T14:54:25"/>
        <d v="2025-12-02T19:26:49"/>
        <d v="2025-11-30T05:41:55"/>
        <d v="2025-06-01T05:52:03"/>
        <d v="2025-10-14T12:45:57"/>
        <d v="2025-06-29T15:55:56"/>
        <d v="2025-12-16T11:57:45"/>
        <d v="2025-12-08T08:24:40"/>
        <d v="2026-03-17T20:31:43"/>
        <d v="2025-11-12T14:23:59"/>
        <d v="2026-03-06T12:53:12"/>
        <d v="2025-11-01T07:49:52"/>
        <d v="2025-07-18T02:42:48"/>
        <d v="2026-01-08T19:48:57"/>
        <d v="2025-07-19T04:10:02"/>
        <d v="2026-01-16T13:59:40"/>
        <d v="2025-11-09T21:27:05"/>
        <d v="2025-05-16T08:01:45"/>
        <d v="2025-12-14T17:17:19"/>
        <d v="2025-06-30T11:52:37"/>
        <d v="2026-04-01T23:13:05"/>
        <d v="2025-09-15T19:40:42"/>
        <d v="2025-09-26T19:37:36"/>
        <d v="2025-10-04T17:10:41"/>
        <d v="2025-10-02T01:59:52"/>
        <d v="2025-08-24T05:27:13"/>
        <d v="2025-12-11T21:09:11"/>
        <d v="2025-09-21T05:27:04"/>
        <d v="2026-01-03T10:55:11"/>
        <d v="2026-02-03T18:51:44"/>
        <d v="2025-12-28T04:46:08"/>
        <d v="2026-02-06T22:31:45"/>
        <d v="2026-01-28T13:23:09"/>
        <d v="2026-02-07T04:18:48"/>
        <d v="2025-06-11T06:58:52"/>
        <d v="2025-09-21T11:12:18"/>
        <d v="2026-03-17T16:42:43"/>
        <d v="2025-10-27T21:33:46"/>
        <d v="2026-04-21T23:18:48"/>
        <d v="2025-06-10T17:53:36"/>
        <d v="2025-08-02T09:27:27"/>
        <d v="2026-01-31T14:24:16"/>
        <d v="2025-09-05T03:52:03"/>
        <d v="2025-06-02T18:21:20"/>
        <d v="2026-04-17T23:59:14"/>
        <d v="2025-07-23T06:48:08"/>
        <d v="2025-05-28T06:50:05"/>
        <d v="2025-09-28T12:03:56"/>
        <d v="2026-03-16T01:04:44"/>
        <d v="2025-05-26T15:26:33"/>
        <d v="2025-07-09T18:50:34"/>
        <d v="2025-05-07T07:14:33"/>
        <d v="2025-05-14T15:00:22"/>
        <d v="2026-04-06T08:03:40"/>
        <d v="2026-03-25T20:11:05"/>
        <d v="2025-11-10T00:33:43"/>
        <d v="2025-10-19T00:27:50"/>
        <d v="2025-06-12T00:02:51"/>
        <d v="2026-01-19T00:24:45"/>
        <d v="2025-08-11T04:53:45"/>
        <d v="2025-05-20T17:07:58"/>
        <d v="2025-09-26T00:49:04"/>
        <d v="2026-04-05T04:47:28"/>
        <d v="2025-10-08T06:42:27"/>
        <d v="2025-08-04T09:44:05"/>
        <d v="2026-02-01T18:13:02"/>
        <d v="2025-07-04T16:05:49"/>
        <d v="2026-04-03T07:43:20"/>
        <d v="2025-06-19T04:42:12"/>
        <d v="2026-01-11T22:52:37"/>
        <d v="2025-08-24T03:58:33"/>
        <d v="2026-01-18T12:28:11"/>
        <d v="2025-10-01T16:12:38"/>
        <d v="2026-03-17T00:26:12"/>
        <d v="2026-04-19T11:39:45"/>
        <d v="2025-06-23T20:12:47"/>
        <d v="2026-01-08T10:01:29"/>
        <d v="2025-05-06T00:17:16"/>
        <d v="2026-03-08T19:23:25"/>
        <d v="2026-02-24T17:04:57"/>
        <d v="2025-08-06T02:16:11"/>
        <d v="2025-06-03T02:03:59"/>
        <d v="2026-03-06T23:39:08"/>
        <d v="2025-09-15T14:42:28"/>
        <d v="2026-04-27T13:23:13"/>
        <d v="2025-12-18T04:03:53"/>
        <d v="2025-07-04T13:13:19"/>
        <d v="2025-10-09T08:50:23"/>
        <d v="2025-05-30T15:57:32"/>
        <d v="2025-08-29T14:43:20"/>
        <d v="2026-01-29T09:13:19"/>
        <d v="2025-06-14T04:46:32"/>
        <d v="2025-07-13T11:03:33"/>
        <d v="2026-02-15T21:56:33"/>
        <d v="2025-06-14T23:04:58"/>
        <d v="2026-03-20T19:27:50"/>
        <d v="2025-12-01T18:40:38"/>
        <d v="2026-03-15T09:46:30"/>
        <d v="2025-05-20T23:32:16"/>
        <d v="2026-02-24T22:59:04"/>
        <d v="2025-06-30T08:10:06"/>
        <d v="2025-11-05T17:33:08"/>
        <d v="2025-12-25T09:22:30"/>
        <d v="2025-06-20T02:45:15"/>
        <d v="2025-12-15T08:57:20"/>
        <d v="2025-09-24T07:28:14"/>
        <d v="2026-01-24T23:16:28"/>
        <d v="2025-05-03T22:32:48"/>
        <d v="2025-11-21T19:36:57"/>
        <d v="2026-03-06T07:33:31"/>
        <d v="2025-05-01T23:21:09"/>
        <d v="2025-10-26T06:13:27"/>
        <d v="2025-09-04T23:15:30"/>
        <d v="2026-01-26T04:37:51"/>
        <d v="2025-06-29T23:01:50"/>
        <d v="2025-08-14T02:13:55"/>
        <d v="2025-12-01T23:47:32"/>
        <d v="2026-03-10T06:21:32"/>
        <d v="2025-07-20T19:43:22"/>
        <d v="2025-06-22T07:11:57"/>
        <d v="2025-12-08T18:49:44"/>
        <d v="2025-09-29T16:59:45"/>
        <d v="2025-08-28T04:13:10"/>
        <d v="2025-05-06T13:12:37"/>
        <d v="2025-11-22T16:29:40"/>
        <d v="2025-10-22T02:26:40"/>
        <d v="2025-06-18T18:36:19"/>
        <d v="2025-11-21T07:09:58"/>
        <d v="2025-08-28T07:54:11"/>
        <d v="2026-03-31T23:10:57"/>
        <d v="2025-05-02T03:47:16"/>
        <d v="2026-02-01T10:46:00"/>
        <d v="2026-03-31T09:34:48"/>
        <d v="2025-10-23T03:48:10"/>
        <d v="2025-10-01T00:06:57"/>
        <d v="2025-12-24T22:05:06"/>
        <d v="2025-05-04T12:59:40"/>
        <d v="2026-04-14T04:56:01"/>
        <d v="2026-02-19T06:56:35"/>
        <d v="2025-09-01T16:11:48"/>
        <d v="2025-05-24T09:42:09"/>
        <d v="2025-12-31T07:30:18"/>
        <d v="2025-06-26T11:19:53"/>
        <d v="2025-09-25T04:15:09"/>
        <d v="2026-03-14T22:30:37"/>
        <d v="2025-12-05T09:24:38"/>
        <d v="2025-05-30T20:18:59"/>
        <d v="2026-01-11T06:00:33"/>
        <d v="2026-01-09T16:00:25"/>
        <d v="2025-08-07T16:37:01"/>
        <d v="2025-07-18T15:16:59"/>
        <d v="2025-08-03T19:01:38"/>
        <d v="2025-05-14T08:08:34"/>
        <d v="2025-06-03T21:23:08"/>
        <d v="2025-08-03T10:52:07"/>
        <d v="2025-12-23T14:51:45"/>
        <d v="2025-07-22T14:03:16"/>
        <d v="2025-05-25T22:28:43"/>
        <d v="2025-05-01T02:48:10"/>
        <d v="2025-10-29T03:59:14"/>
        <d v="2025-08-24T14:52:37"/>
        <d v="2025-05-19T06:18:22"/>
        <d v="2025-07-14T13:42:57"/>
        <d v="2025-08-21T21:33:42"/>
        <d v="2025-07-15T11:40:09"/>
        <d v="2025-09-06T14:53:15"/>
        <d v="2025-12-04T13:19:52"/>
        <d v="2025-09-04T01:23:28"/>
        <d v="2025-07-19T14:19:16"/>
        <d v="2025-06-23T22:38:17"/>
        <d v="2025-09-24T07:29:55"/>
        <d v="2026-03-18T05:46:40"/>
        <d v="2025-12-26T03:15:04"/>
        <d v="2025-11-03T21:16:35"/>
        <d v="2025-07-23T19:54:09"/>
        <d v="2025-07-16T22:24:00"/>
        <d v="2026-04-23T04:40:00"/>
        <d v="2026-03-30T02:02:37"/>
        <d v="2025-09-07T18:50:25"/>
        <d v="2026-02-15T12:20:28"/>
        <d v="2026-03-11T08:19:28"/>
        <d v="2025-07-09T15:56:07"/>
        <d v="2025-06-12T13:32:57"/>
        <d v="2026-03-13T09:19:51"/>
        <d v="2025-06-22T19:20:26"/>
        <d v="2026-03-18T07:30:20"/>
        <d v="2025-11-14T10:38:43"/>
        <d v="2025-12-17T18:50:29"/>
        <d v="2025-06-10T12:58:45"/>
        <d v="2026-03-23T21:13:38"/>
        <d v="2025-10-08T10:25:51"/>
        <d v="2025-10-01T23:48:08"/>
        <d v="2026-02-17T23:32:51"/>
        <d v="2026-04-04T15:01:48"/>
        <d v="2025-09-10T05:42:10"/>
        <d v="2026-02-17T05:10:35"/>
        <d v="2026-02-01T23:02:51"/>
        <d v="2025-05-09T06:11:39"/>
        <d v="2025-11-11T18:08:06"/>
        <d v="2025-11-27T12:37:24"/>
        <d v="2026-01-12T22:07:16"/>
        <d v="2025-11-29T06:35:08"/>
        <d v="2025-12-09T20:43:00"/>
        <d v="2025-06-03T17:19:13"/>
        <d v="2026-03-04T18:32:29"/>
        <d v="2025-08-31T07:20:15"/>
        <d v="2026-03-11T23:48:23"/>
        <d v="2025-05-29T21:26:21"/>
        <d v="2025-09-08T15:21:27"/>
        <d v="2025-07-09T08:30:46"/>
        <d v="2025-10-09T01:22:27"/>
        <d v="2025-05-17T03:52:52"/>
        <d v="2026-04-12T23:46:56"/>
        <d v="2025-06-24T22:53:34"/>
        <d v="2026-03-16T23:51:36"/>
        <d v="2025-07-07T04:47:35"/>
        <d v="2026-02-04T12:41:16"/>
        <d v="2025-08-11T04:37:13"/>
        <d v="2025-06-21T21:07:25"/>
        <d v="2026-02-01T17:17:25"/>
        <d v="2025-05-21T13:29:49"/>
        <d v="2025-09-10T14:06:10"/>
        <d v="2026-04-18T23:58:49"/>
        <d v="2025-12-02T23:50:23"/>
        <d v="2026-03-05T20:08:49"/>
        <d v="2026-04-25T09:44:39"/>
        <d v="2025-10-18T20:19:43"/>
        <d v="2025-08-27T11:09:53"/>
        <d v="2025-08-13T01:48:47"/>
        <d v="2025-10-12T00:08:41"/>
        <d v="2025-08-15T11:24:44"/>
        <d v="2025-09-23T11:41:39"/>
        <d v="2025-11-30T04:52:15"/>
        <d v="2025-10-29T19:12:01"/>
        <d v="2025-09-19T09:45:31"/>
        <d v="2026-01-14T11:34:49"/>
        <d v="2026-02-23T16:43:50"/>
        <d v="2026-02-19T23:58:58"/>
        <d v="2025-11-15T09:43:04"/>
        <d v="2025-09-04T18:43:35"/>
        <d v="2025-05-26T12:22:46"/>
        <d v="2025-11-05T08:17:40"/>
        <d v="2025-11-11T06:57:43"/>
        <d v="2025-10-16T10:47:14"/>
        <d v="2026-01-24T06:56:06"/>
        <d v="2025-12-11T11:45:49"/>
        <d v="2026-01-20T03:15:38"/>
        <d v="2025-11-23T05:14:54"/>
        <d v="2026-04-01T02:55:47"/>
        <d v="2025-08-15T05:09:27"/>
        <d v="2025-12-13T09:57:51"/>
        <d v="2025-12-18T13:19:26"/>
        <d v="2026-02-06T04:25:46"/>
        <d v="2025-06-05T22:06:22"/>
        <d v="2025-11-14T12:08:42"/>
        <d v="2025-09-10T15:53:54"/>
        <d v="2025-06-18T14:56:26"/>
        <d v="2025-05-30T12:48:02"/>
        <d v="2026-01-17T04:41:37"/>
        <d v="2025-11-17T17:33:44"/>
        <d v="2026-02-19T16:05:13"/>
        <d v="2025-05-07T14:16:47"/>
        <d v="2025-07-24T02:59:36"/>
        <d v="2026-02-08T02:50:32"/>
        <d v="2025-06-13T21:22:04"/>
        <d v="2025-06-27T07:32:49"/>
        <d v="2026-02-05T08:57:16"/>
        <d v="2026-02-21T23:59:29"/>
        <d v="2026-02-13T22:39:25"/>
        <d v="2026-02-16T21:13:28"/>
        <d v="2025-11-14T06:05:29"/>
        <d v="2026-03-18T16:40:25"/>
        <d v="2025-10-06T21:22:39"/>
        <d v="2025-05-12T21:18:26"/>
        <d v="2025-09-07T21:06:04"/>
        <d v="2026-01-31T19:00:39"/>
        <d v="2025-10-24T21:28:39"/>
        <d v="2025-08-11T05:46:44"/>
        <d v="2025-09-26T09:14:25"/>
        <d v="2025-06-07T17:56:22"/>
        <d v="2026-02-14T03:54:33"/>
        <d v="2026-04-02T08:58:30"/>
        <d v="2025-09-06T18:35:51"/>
        <d v="2025-07-22T04:49:29"/>
        <d v="2026-01-26T01:59:17"/>
        <d v="2025-06-15T14:13:45"/>
        <d v="2025-09-05T06:53:58"/>
        <d v="2026-01-19T22:08:07"/>
        <d v="2026-02-10T07:18:28"/>
        <d v="2025-05-16T13:59:16"/>
        <d v="2025-09-21T11:06:02"/>
        <d v="2025-10-03T19:48:04"/>
        <d v="2025-09-14T04:07:35"/>
        <d v="2025-08-16T02:51:36"/>
        <d v="2025-08-31T08:56:21"/>
        <d v="2026-01-02T21:41:06"/>
        <d v="2025-08-11T07:13:48"/>
        <d v="2025-12-29T23:50:44"/>
        <d v="2025-09-06T03:27:08"/>
        <d v="2026-04-11T07:12:38"/>
        <d v="2025-08-11T15:43:08"/>
        <d v="2026-02-14T00:33:24"/>
        <d v="2025-05-28T08:46:50"/>
        <d v="2025-07-18T03:27:37"/>
        <d v="2025-06-04T21:14:27"/>
        <d v="2025-10-06T01:55:06"/>
        <d v="2025-08-08T07:31:48"/>
        <d v="2025-07-26T16:03:18"/>
        <d v="2026-02-01T11:52:00"/>
        <d v="2025-09-26T17:47:47"/>
        <d v="2026-03-09T20:43:51"/>
        <d v="2025-10-26T23:11:31"/>
        <d v="2026-03-14T21:18:43"/>
        <d v="2025-05-31T09:38:27"/>
        <d v="2025-07-09T07:12:08"/>
        <d v="2025-10-23T22:40:06"/>
        <d v="2025-12-24T17:09:16"/>
        <d v="2026-02-02T21:56:04"/>
        <d v="2025-06-10T10:50:33"/>
        <d v="2026-03-26T21:44:01"/>
        <d v="2025-10-30T15:50:23"/>
        <d v="2026-02-11T14:36:29"/>
        <d v="2026-01-07T21:28:46"/>
        <d v="2025-09-11T20:11:51"/>
        <d v="2025-05-14T10:02:56"/>
        <d v="2026-02-26T02:47:38"/>
        <d v="2025-09-30T14:52:43"/>
        <d v="2025-07-17T15:59:33"/>
        <d v="2025-10-17T12:27:26"/>
        <d v="2026-04-29T18:57:45"/>
        <d v="2026-01-16T14:58:22"/>
        <d v="2025-12-31T14:02:37"/>
        <d v="2026-01-02T15:19:17"/>
        <d v="2025-08-16T15:45:04"/>
        <d v="2025-06-10T00:56:30"/>
        <d v="2025-05-28T11:16:21"/>
        <d v="2026-03-16T02:19:44"/>
        <d v="2026-01-18T22:16:04"/>
        <d v="2025-09-14T01:29:36"/>
        <d v="2026-03-26T07:26:50"/>
        <d v="2025-08-23T18:29:23"/>
        <d v="2025-05-14T02:20:23"/>
        <d v="2026-01-19T20:44:55"/>
        <d v="2025-08-19T11:22:24"/>
        <d v="2026-01-09T14:32:58"/>
        <d v="2025-05-03T07:08:25"/>
        <d v="2025-05-20T09:46:03"/>
        <d v="2025-10-14T21:44:11"/>
        <d v="2025-06-07T02:54:19"/>
        <d v="2025-06-16T22:39:50"/>
        <d v="2026-04-14T13:13:19"/>
        <d v="2025-05-14T03:33:35"/>
        <d v="2025-06-29T05:02:15"/>
        <d v="2025-07-02T10:17:34"/>
        <d v="2025-10-26T10:30:05"/>
        <d v="2026-03-23T04:56:11"/>
        <d v="2025-08-12T16:38:01"/>
        <d v="2025-08-30T16:54:39"/>
        <d v="2026-04-18T10:08:02"/>
        <d v="2026-02-02T00:15:49"/>
        <d v="2025-11-24T11:50:44"/>
        <d v="2026-03-16T20:16:43"/>
        <d v="2025-11-16T21:38:32"/>
        <d v="2025-10-01T19:06:06"/>
        <d v="2025-06-10T16:26:38"/>
        <d v="2026-04-20T04:36:54"/>
        <d v="2025-08-14T18:33:04"/>
        <d v="2025-09-23T17:10:01"/>
        <d v="2025-08-24T06:52:28"/>
        <d v="2025-07-04T12:00:07"/>
        <d v="2026-03-26T13:01:01"/>
        <d v="2025-07-11T17:35:27"/>
        <d v="2025-12-21T13:10:47"/>
        <d v="2025-05-23T16:05:45"/>
        <d v="2025-11-08T15:27:41"/>
        <d v="2026-01-01T02:15:16"/>
        <d v="2025-11-01T15:08:14"/>
        <d v="2025-11-29T13:01:02"/>
        <d v="2025-10-09T21:24:01"/>
        <d v="2025-09-11T08:41:40"/>
        <d v="2025-05-30T13:40:21"/>
        <d v="2026-03-11T14:45:04"/>
        <d v="2025-09-30T00:58:57"/>
        <d v="2025-05-08T04:51:48"/>
        <d v="2025-05-07T19:14:11"/>
        <d v="2026-01-01T11:28:42"/>
        <d v="2025-11-07T10:51:00"/>
        <d v="2025-08-28T09:14:40"/>
        <d v="2025-11-17T12:37:10"/>
        <d v="2026-04-17T19:12:04"/>
        <d v="2025-10-03T22:11:53"/>
        <d v="2025-08-05T12:42:31"/>
        <d v="2026-04-24T10:24:37"/>
        <d v="2025-08-20T02:09:52"/>
        <d v="2025-12-03T13:29:27"/>
        <d v="2025-08-31T07:44:46"/>
        <d v="2026-04-27T06:31:25"/>
        <d v="2026-01-04T17:00:42"/>
        <d v="2025-10-13T12:08:08"/>
        <d v="2026-02-23T20:07:30"/>
        <d v="2025-09-28T10:11:11"/>
        <d v="2025-06-08T01:12:20"/>
        <d v="2025-10-04T07:14:22"/>
        <d v="2025-07-24T04:54:45"/>
        <d v="2025-11-28T22:33:40"/>
        <d v="2025-09-24T03:46:13"/>
        <d v="2025-08-28T00:10:46"/>
        <d v="2025-06-29T14:20:20"/>
        <d v="2025-12-11T02:05:09"/>
        <d v="2025-10-10T22:29:07"/>
        <d v="2025-07-14T17:23:48"/>
        <d v="2025-12-28T08:53:48"/>
        <d v="2025-07-30T10:04:58"/>
        <d v="2025-11-19T07:14:38"/>
        <d v="2025-12-30T01:51:41"/>
        <d v="2026-03-06T17:30:52"/>
        <d v="2025-12-25T11:30:39"/>
        <d v="2025-10-09T07:47:45"/>
        <d v="2025-08-23T02:48:55"/>
        <d v="2026-02-15T09:09:39"/>
        <d v="2025-09-19T00:06:11"/>
        <d v="2026-01-23T09:54:00"/>
        <d v="2026-01-12T23:45:46"/>
        <d v="2026-02-25T20:43:03"/>
        <d v="2026-02-17T09:13:34"/>
        <d v="2025-08-01T18:58:22"/>
        <d v="2025-09-25T22:26:32"/>
        <d v="2026-01-26T13:16:01"/>
        <d v="2026-03-27T05:59:21"/>
        <d v="2026-01-10T12:59:40"/>
        <d v="2025-06-24T04:13:50"/>
        <d v="2025-10-06T13:05:25"/>
        <d v="2025-07-08T05:35:40"/>
        <d v="2025-11-12T01:58:18"/>
        <d v="2025-10-08T14:13:56"/>
        <d v="2026-01-22T04:11:07"/>
        <d v="2025-09-15T20:10:21"/>
        <d v="2025-05-02T21:19:15"/>
        <d v="2025-10-17T14:50:43"/>
        <d v="2026-03-05T08:12:35"/>
        <d v="2025-10-17T16:19:26"/>
        <d v="2026-03-03T01:38:52"/>
        <d v="2025-11-21T04:41:23"/>
        <d v="2026-01-04T21:09:24"/>
        <d v="2025-08-28T20:19:44"/>
        <d v="2026-01-20T20:33:31"/>
        <d v="2025-10-01T01:11:28"/>
        <d v="2026-03-09T20:01:03"/>
        <d v="2025-12-23T20:50:33"/>
        <d v="2026-01-24T04:51:19"/>
        <d v="2025-11-21T20:25:59"/>
        <d v="2025-09-10T10:12:55"/>
        <d v="2026-03-21T06:37:34"/>
        <d v="2026-03-23T14:14:46"/>
        <d v="2026-03-02T11:31:21"/>
        <d v="2025-11-14T02:56:49"/>
        <d v="2025-11-25T19:36:01"/>
        <d v="2025-09-02T08:14:04"/>
        <d v="2025-08-30T17:14:31"/>
        <d v="2025-09-14T15:38:25"/>
        <d v="2025-06-11T02:11:46"/>
        <d v="2026-01-25T19:54:27"/>
        <d v="2025-05-06T00:04:25"/>
        <d v="2025-05-30T15:10:08"/>
        <d v="2025-12-06T13:58:15"/>
        <d v="2025-11-18T20:40:25"/>
        <d v="2025-08-18T18:31:22"/>
        <d v="2025-10-17T08:31:57"/>
        <d v="2025-09-24T09:55:17"/>
        <d v="2026-02-06T22:58:24"/>
        <d v="2026-03-11T16:29:16"/>
        <d v="2025-07-01T00:40:53"/>
        <d v="2026-04-20T14:56:17"/>
        <d v="2025-05-25T10:44:07"/>
        <d v="2026-04-15T12:22:19"/>
        <d v="2026-01-02T23:18:19"/>
        <d v="2025-10-25T07:18:12"/>
        <d v="2026-04-03T00:42:40"/>
        <d v="2026-02-03T12:41:39"/>
        <d v="2025-08-28T11:38:22"/>
        <d v="2026-02-10T21:55:34"/>
        <d v="2025-09-05T01:31:17"/>
        <d v="2026-03-12T02:30:39"/>
        <d v="2026-03-31T02:36:29"/>
        <d v="2026-02-10T08:27:50"/>
        <d v="2025-12-08T10:14:26"/>
        <d v="2025-05-22T17:32:11"/>
        <d v="2026-01-20T13:38:43"/>
        <d v="2026-03-16T04:01:07"/>
        <d v="2026-01-30T17:24:41"/>
        <d v="2025-10-07T15:12:06"/>
        <d v="2025-09-02T17:36:55"/>
        <d v="2026-02-26T06:20:38"/>
        <d v="2025-07-27T00:20:23"/>
        <d v="2025-10-18T21:48:10"/>
        <d v="2025-06-17T09:22:02"/>
        <d v="2026-04-22T16:36:56"/>
        <d v="2025-05-19T22:04:20"/>
        <d v="2025-11-26T19:10:12"/>
        <d v="2025-09-26T18:10:16"/>
        <d v="2025-11-26T15:09:43"/>
        <d v="2026-02-19T18:11:42"/>
        <d v="2025-11-03T06:22:25"/>
        <d v="2025-05-16T16:29:07"/>
        <d v="2025-10-08T05:52:36"/>
        <d v="2025-11-05T05:04:47"/>
        <d v="2026-04-22T01:05:24"/>
        <d v="2025-06-22T06:29:08"/>
        <d v="2025-07-24T11:12:26"/>
        <d v="2025-09-06T09:39:10"/>
        <d v="2025-11-01T04:58:08"/>
        <d v="2026-03-21T16:53:48"/>
        <d v="2025-07-18T15:18:08"/>
        <d v="2025-06-03T23:42:50"/>
        <d v="2026-02-10T03:45:21"/>
        <d v="2025-12-27T18:27:36"/>
        <d v="2025-06-23T12:10:16"/>
        <d v="2025-11-24T03:53:18"/>
        <d v="2025-10-29T18:38:28"/>
        <d v="2025-07-31T12:26:45"/>
        <d v="2026-04-15T09:09:31"/>
        <d v="2025-09-24T08:48:56"/>
        <d v="2025-11-26T06:15:34"/>
        <d v="2026-03-20T08:09:54"/>
        <d v="2026-03-24T11:55:16"/>
        <d v="2025-07-06T17:56:06"/>
        <d v="2026-01-10T15:58:19"/>
        <d v="2026-04-02T07:11:26"/>
        <d v="2026-03-17T21:56:00"/>
        <d v="2025-08-10T09:39:58"/>
        <d v="2026-04-14T17:41:03"/>
        <d v="2026-04-09T19:27:10"/>
        <d v="2025-05-23T17:41:06"/>
        <d v="2025-06-17T20:09:46"/>
        <d v="2026-02-12T14:30:45"/>
        <d v="2025-07-19T11:47:52"/>
        <d v="2025-08-23T15:16:49"/>
        <d v="2025-12-12T08:12:47"/>
        <d v="2025-07-17T02:27:54"/>
        <d v="2025-09-25T20:48:47"/>
        <d v="2025-05-05T16:39:29"/>
        <d v="2026-02-23T07:30:20"/>
        <d v="2025-09-13T21:15:03"/>
        <d v="2025-12-22T20:10:39"/>
        <d v="2025-12-18T15:49:03"/>
        <d v="2026-01-29T19:31:43"/>
        <d v="2025-06-22T21:44:26"/>
        <d v="2026-01-12T09:59:32"/>
        <d v="2026-02-21T00:05:16"/>
        <d v="2026-02-04T04:32:29"/>
        <d v="2025-04-30T20:23:10"/>
        <d v="2026-01-26T16:31:19"/>
        <d v="2025-08-18T18:18:57"/>
        <d v="2026-02-12T10:47:15"/>
        <d v="2025-10-18T17:36:07"/>
        <d v="2025-08-24T00:06:13"/>
        <d v="2025-07-23T22:40:59"/>
        <d v="2026-03-01T05:42:01"/>
        <d v="2026-04-11T17:44:35"/>
        <d v="2025-07-04T13:34:35"/>
        <d v="2025-12-13T13:12:45"/>
        <d v="2025-07-26T21:37:50"/>
        <d v="2026-02-12T07:16:54"/>
        <d v="2026-03-03T09:21:50"/>
        <d v="2025-12-29T11:00:26"/>
        <d v="2026-04-16T12:14:55"/>
        <d v="2026-01-13T21:54:30"/>
        <d v="2025-06-13T09:57:53"/>
        <d v="2026-04-22T21:02:20"/>
        <d v="2026-02-05T14:24:17"/>
        <d v="2025-05-07T17:40:44"/>
        <d v="2026-02-20T07:48:39"/>
        <d v="2025-10-14T16:33:00"/>
        <d v="2025-10-04T13:05:23"/>
        <d v="2025-09-21T06:51:38"/>
        <d v="2025-08-17T04:20:11"/>
        <d v="2026-04-30T00:20:09"/>
        <d v="2025-07-21T03:32:09"/>
        <d v="2026-03-18T15:33:58"/>
        <d v="2026-03-09T08:16:45"/>
        <d v="2026-03-11T13:41:28"/>
        <d v="2025-08-21T14:55:41"/>
        <d v="2025-10-31T21:08:15"/>
        <d v="2025-07-21T15:44:27"/>
        <d v="2025-07-23T00:14:06"/>
        <d v="2025-07-09T09:53:42"/>
        <d v="2025-06-03T21:41:16"/>
        <d v="2025-07-17T17:06:07"/>
        <d v="2025-09-05T05:47:13"/>
        <d v="2025-11-08T05:15:51"/>
        <d v="2026-01-28T03:18:36"/>
        <d v="2026-03-14T05:50:23"/>
        <d v="2026-04-11T16:53:16"/>
        <d v="2025-08-23T22:14:44"/>
        <d v="2025-06-22T10:52:33"/>
        <d v="2025-10-21T22:08:20"/>
        <d v="2025-08-23T04:46:18"/>
        <d v="2026-04-15T11:41:28"/>
        <d v="2025-07-11T12:12:10"/>
        <d v="2025-11-25T18:20:14"/>
        <d v="2025-09-18T08:52:11"/>
        <d v="2025-10-11T21:01:30"/>
        <d v="2026-01-30T21:01:36"/>
        <d v="2026-01-05T19:43:42"/>
        <d v="2026-03-25T13:46:41"/>
        <d v="2026-04-30T13:42:59"/>
        <d v="2026-03-21T05:48:27"/>
        <d v="2026-02-12T12:18:55"/>
        <d v="2026-03-06T18:18:06"/>
        <d v="2026-03-23T00:18:28"/>
        <d v="2025-08-29T21:16:03"/>
        <d v="2025-08-14T20:57:54"/>
        <d v="2025-08-31T08:02:56"/>
        <d v="2026-04-08T21:43:08"/>
        <d v="2026-04-12T22:22:36"/>
        <d v="2025-09-13T23:58:41"/>
        <d v="2025-08-07T13:41:36"/>
        <d v="2025-10-18T05:55:15"/>
        <d v="2025-06-24T00:27:04"/>
        <d v="2026-03-31T16:00:35"/>
        <d v="2026-01-26T12:00:59"/>
        <d v="2025-07-12T20:06:13"/>
        <d v="2025-08-11T16:28:17"/>
        <d v="2025-12-12T22:17:18"/>
        <d v="2026-03-07T22:55:37"/>
        <d v="2025-09-03T17:33:26"/>
        <d v="2025-09-25T13:19:50"/>
        <d v="2026-03-18T15:16:19"/>
        <d v="2026-04-30T16:53:44"/>
        <d v="2026-01-22T07:33:21"/>
        <d v="2026-01-14T13:28:11"/>
        <d v="2025-10-21T22:43:06"/>
        <d v="2026-03-22T22:05:00"/>
        <d v="2025-12-11T15:36:03"/>
        <d v="2025-12-16T08:01:46"/>
        <d v="2026-01-31T04:00:10"/>
        <d v="2025-08-28T04:43:29"/>
        <d v="2025-11-27T06:58:12"/>
        <d v="2025-06-12T23:29:43"/>
        <d v="2026-04-24T14:29:12"/>
        <d v="2026-03-04T23:59:17"/>
        <d v="2026-02-28T12:44:37"/>
        <d v="2025-09-12T23:58:36"/>
        <d v="2025-10-05T07:23:17"/>
        <d v="2026-02-07T12:00:08"/>
        <d v="2025-08-23T17:18:37"/>
        <d v="2026-04-09T00:45:08"/>
        <d v="2025-06-28T20:41:24"/>
        <d v="2026-03-03T04:16:36"/>
        <d v="2025-06-26T22:31:45"/>
        <d v="2026-04-14T23:36:31"/>
        <d v="2025-08-25T23:19:15"/>
        <d v="2025-05-23T20:53:46"/>
        <d v="2026-03-13T14:31:47"/>
        <d v="2025-05-02T16:17:56"/>
        <d v="2025-08-12T18:00:44"/>
        <d v="2025-09-13T01:20:15"/>
        <d v="2026-01-01T18:54:31"/>
        <d v="2025-12-17T23:05:59"/>
        <d v="2025-11-03T00:55:56"/>
        <d v="2025-11-29T23:44:15"/>
        <d v="2026-02-13T23:14:58"/>
        <d v="2025-09-21T07:14:28"/>
        <d v="2025-08-17T07:52:44"/>
        <d v="2025-09-09T02:31:45"/>
        <d v="2025-11-19T21:13:37"/>
        <d v="2026-04-13T02:31:35"/>
        <d v="2025-11-15T03:51:27"/>
        <d v="2026-04-09T03:59:32"/>
        <d v="2025-05-24T20:49:12"/>
        <d v="2025-10-04T14:15:17"/>
        <d v="2026-04-07T13:19:45"/>
        <d v="2026-04-22T16:21:37"/>
        <d v="2025-08-08T02:32:04"/>
        <d v="2025-07-05T12:07:41"/>
        <d v="2025-10-07T09:56:35"/>
        <d v="2025-08-11T02:32:41"/>
        <d v="2025-11-16T20:54:30"/>
        <d v="2025-10-07T07:19:10"/>
        <d v="2026-04-04T12:30:58"/>
        <d v="2025-10-20T12:49:12"/>
        <d v="2026-03-13T23:40:40"/>
        <d v="2026-02-28T08:10:09"/>
        <d v="2025-07-09T14:24:02"/>
        <d v="2025-09-22T09:01:54"/>
        <d v="2026-03-07T01:32:52"/>
        <d v="2026-04-20T05:06:02"/>
        <d v="2025-06-12T00:38:57"/>
        <d v="2026-04-26T05:09:16"/>
        <d v="2025-07-02T04:49:53"/>
        <d v="2025-08-10T04:25:37"/>
        <d v="2025-07-26T06:41:44"/>
        <d v="2025-11-07T07:44:46"/>
        <d v="2026-01-11T01:55:18"/>
        <d v="2026-04-17T17:35:56"/>
        <d v="2025-10-25T13:18:32"/>
        <d v="2025-09-16T01:52:12"/>
        <d v="2025-06-20T12:34:29"/>
        <d v="2025-12-30T01:23:49"/>
        <d v="2025-10-26T17:16:26"/>
        <d v="2025-07-31T22:48:03"/>
        <d v="2026-03-16T20:54:44"/>
        <d v="2026-02-01T04:11:57"/>
        <d v="2025-11-09T12:27:47"/>
        <d v="2025-08-28T17:52:29"/>
        <d v="2026-01-14T22:03:41"/>
        <d v="2025-11-22T11:34:52"/>
        <d v="2025-10-28T09:17:31"/>
        <d v="2026-04-24T13:57:18"/>
        <d v="2026-03-13T09:23:25"/>
        <d v="2025-08-01T09:27:30"/>
        <d v="2025-09-05T11:50:08"/>
        <d v="2026-03-06T15:19:25"/>
        <d v="2025-10-15T14:23:20"/>
        <d v="2025-10-04T21:48:14"/>
        <d v="2025-10-02T03:56:47"/>
        <d v="2025-12-18T06:17:31"/>
        <d v="2025-05-07T22:02:43"/>
        <d v="2025-08-08T10:03:56"/>
        <d v="2025-10-31T14:17:57"/>
        <d v="2025-09-24T15:12:41"/>
        <d v="2025-09-12T09:05:57"/>
        <d v="2025-10-30T00:20:40"/>
        <d v="2025-11-24T10:24:00"/>
        <d v="2026-04-14T16:38:14"/>
        <d v="2025-06-04T21:43:36"/>
        <d v="2025-06-17T04:14:45"/>
        <d v="2025-09-19T08:53:55"/>
        <d v="2026-03-12T04:30:34"/>
        <d v="2025-09-23T03:58:31"/>
        <d v="2025-10-27T12:18:13"/>
        <d v="2026-04-22T06:26:29"/>
        <d v="2026-04-22T17:59:37"/>
        <d v="2025-07-26T04:24:47"/>
        <d v="2025-08-04T16:54:25"/>
        <d v="2025-09-23T21:14:52"/>
        <d v="2025-05-27T06:57:41"/>
        <d v="2025-10-04T01:57:01"/>
        <d v="2025-08-09T22:26:08"/>
        <d v="2025-08-18T18:35:33"/>
        <d v="2026-01-10T09:04:37"/>
        <d v="2025-06-30T01:34:30"/>
        <d v="2025-05-13T12:23:47"/>
        <d v="2025-08-08T11:12:32"/>
        <d v="2026-03-02T23:54:08"/>
        <d v="2026-01-12T13:07:46"/>
        <d v="2025-12-30T18:41:34"/>
        <d v="2025-07-28T20:42:48"/>
        <d v="2025-06-05T10:12:46"/>
        <d v="2025-05-02T20:56:18"/>
        <d v="2025-12-06T12:09:53"/>
        <d v="2025-10-10T16:25:19"/>
        <d v="2025-05-27T07:24:37"/>
        <d v="2025-11-15T14:26:01"/>
        <d v="2026-04-21T11:24:33"/>
        <d v="2026-01-27T10:29:28"/>
        <d v="2026-02-08T17:03:23"/>
        <d v="2026-04-22T01:37:13"/>
        <d v="2026-02-14T09:12:20"/>
        <d v="2026-03-18T23:26:19"/>
        <d v="2025-08-19T16:07:18"/>
        <d v="2026-04-13T06:30:03"/>
        <d v="2026-01-17T16:08:26"/>
        <d v="2026-01-08T08:30:56"/>
        <d v="2025-10-28T12:04:18"/>
        <d v="2026-02-10T21:42:20"/>
        <d v="2025-10-18T14:39:22"/>
        <d v="2026-01-20T01:16:40"/>
        <d v="2026-02-08T03:56:55"/>
        <d v="2025-05-06T06:13:00"/>
        <d v="2025-09-17T03:27:36"/>
        <d v="2025-08-18T16:20:55"/>
        <d v="2025-09-25T22:18:36"/>
        <d v="2026-01-09T18:42:59"/>
        <d v="2026-04-25T00:52:08"/>
        <d v="2025-07-10T11:34:38"/>
        <d v="2026-01-26T09:05:20"/>
        <d v="2025-08-26T16:31:18"/>
        <d v="2026-04-13T06:15:04"/>
        <d v="2025-08-06T04:02:47"/>
        <d v="2025-09-21T01:22:27"/>
        <d v="2025-05-02T14:36:52"/>
        <d v="2025-10-09T13:45:46"/>
        <d v="2025-12-14T08:36:10"/>
        <d v="2025-12-26T23:25:04"/>
        <d v="2025-06-05T20:56:54"/>
        <d v="2025-11-03T02:01:33"/>
        <d v="2025-11-23T05:38:36"/>
        <d v="2025-12-16T20:55:45"/>
        <d v="2025-12-19T10:37:14"/>
        <d v="2025-08-27T13:20:02"/>
        <d v="2025-05-06T06:09:32"/>
        <d v="2025-06-07T17:51:28"/>
        <d v="2025-05-21T14:31:19"/>
        <d v="2026-01-16T01:08:14"/>
        <d v="2025-07-28T15:09:39"/>
        <d v="2026-03-03T08:35:42"/>
        <d v="2025-12-10T03:55:19"/>
        <d v="2026-04-07T12:49:07"/>
        <d v="2025-05-07T09:07:51"/>
        <d v="2025-10-26T04:25:47"/>
        <d v="2026-02-17T09:58:30"/>
        <d v="2026-01-06T16:30:17"/>
        <d v="2026-03-16T19:22:09"/>
        <d v="2025-11-21T13:06:34"/>
        <d v="2025-11-28T23:25:17"/>
        <d v="2025-08-15T09:14:07"/>
        <d v="2025-09-03T12:58:07"/>
        <d v="2025-11-20T23:12:30"/>
        <d v="2025-08-15T19:15:01"/>
        <d v="2025-07-19T00:10:49"/>
        <d v="2025-12-30T14:16:47"/>
        <d v="2025-07-20T03:57:40"/>
        <d v="2026-02-27T03:07:54"/>
        <d v="2026-04-22T17:41:56"/>
        <d v="2025-11-13T19:19:34"/>
        <d v="2026-01-31T17:03:43"/>
        <d v="2025-07-03T23:35:31"/>
        <d v="2026-03-22T22:21:43"/>
        <d v="2025-09-11T21:31:41"/>
        <d v="2026-02-22T11:20:18"/>
        <d v="2026-03-08T11:02:05"/>
        <d v="2025-11-29T10:35:55"/>
        <d v="2025-08-21T15:11:25"/>
        <d v="2026-02-02T23:06:37"/>
        <d v="2025-05-03T08:39:12"/>
        <d v="2026-03-16T14:01:43"/>
        <d v="2026-04-30T12:40:47"/>
        <d v="2025-12-31T01:43:15"/>
        <d v="2025-10-25T06:48:14"/>
        <d v="2025-10-26T21:09:09"/>
        <d v="2025-08-13T21:07:09"/>
        <d v="2026-04-03T07:39:52"/>
        <d v="2025-09-30T12:06:17"/>
        <d v="2026-02-01T17:16:23"/>
        <d v="2026-03-12T18:20:46"/>
        <d v="2025-12-22T12:34:58"/>
        <d v="2025-06-19T00:00:43"/>
        <d v="2025-12-08T21:48:48"/>
        <d v="2025-07-04T14:57:52"/>
        <d v="2025-12-13T15:39:46"/>
        <d v="2025-08-23T16:58:48"/>
        <d v="2025-09-22T04:55:15"/>
        <d v="2025-06-14T13:45:13"/>
        <d v="2025-12-15T22:23:39"/>
        <d v="2025-06-22T18:34:25"/>
        <d v="2025-09-05T00:42:47"/>
        <d v="2025-11-23T00:59:40"/>
        <d v="2026-02-22T01:11:39"/>
        <d v="2026-04-01T00:31:06"/>
        <d v="2026-02-05T13:56:26"/>
        <d v="2026-04-16T16:26:25"/>
        <d v="2026-02-02T07:07:37"/>
        <d v="2025-06-23T20:58:26"/>
        <d v="2026-03-28T18:56:58"/>
        <d v="2026-01-04T04:54:11"/>
        <d v="2026-03-18T09:14:37"/>
        <d v="2025-05-21T07:24:16"/>
        <d v="2025-11-24T10:04:56"/>
        <d v="2025-12-28T03:24:43"/>
        <d v="2025-09-18T17:51:33"/>
        <d v="2026-03-08T22:11:38"/>
        <d v="2025-09-28T23:31:57"/>
        <d v="2025-11-25T15:02:52"/>
        <d v="2025-05-09T11:59:15"/>
        <d v="2026-03-13T13:09:08"/>
        <d v="2025-12-16T07:05:32"/>
        <d v="2025-09-12T09:56:22"/>
        <d v="2025-05-14T09:11:50"/>
        <d v="2025-06-17T06:52:22"/>
        <d v="2025-09-12T03:11:29"/>
        <d v="2026-04-07T08:24:01"/>
        <d v="2025-09-22T18:24:39"/>
        <d v="2025-07-12T17:08:03"/>
        <d v="2025-12-04T17:12:35"/>
        <d v="2025-10-28T06:32:22"/>
        <d v="2025-05-15T09:16:47"/>
        <d v="2025-07-18T20:21:58"/>
        <d v="2026-04-17T23:12:52"/>
        <d v="2026-01-20T07:54:39"/>
        <d v="2025-11-02T15:38:36"/>
        <d v="2025-10-22T21:43:45"/>
        <d v="2025-12-12T23:52:42"/>
        <d v="2025-07-27T00:43:20"/>
        <d v="2026-03-10T09:22:14"/>
        <d v="2025-05-24T22:29:05"/>
        <d v="2026-04-05T18:30:40"/>
        <d v="2026-04-08T10:02:16"/>
        <d v="2026-02-15T18:21:29"/>
        <d v="2026-04-01T16:14:38"/>
        <d v="2026-04-29T12:56:58"/>
        <d v="2025-11-05T07:00:37"/>
        <d v="2026-01-03T04:41:25"/>
        <d v="2026-04-04T18:11:21"/>
        <d v="2026-01-02T11:08:33"/>
        <d v="2026-04-12T17:25:58"/>
        <d v="2026-01-16T10:52:56"/>
        <d v="2026-01-02T14:51:19"/>
        <d v="2025-10-24T10:24:49"/>
        <d v="2025-09-19T13:33:41"/>
        <d v="2026-01-01T06:21:29"/>
        <d v="2026-02-27T17:31:09"/>
        <d v="2025-07-07T08:52:27"/>
        <d v="2026-01-12T10:23:14"/>
        <d v="2026-04-27T13:09:15"/>
        <d v="2025-08-29T10:32:24"/>
        <d v="2026-01-29T16:30:42"/>
        <d v="2025-06-09T12:23:49"/>
        <d v="2025-07-26T03:41:01"/>
        <d v="2026-04-12T18:29:26"/>
        <d v="2025-08-16T00:32:26"/>
        <d v="2026-03-18T18:17:02"/>
        <d v="2025-11-15T08:57:29"/>
        <d v="2026-04-24T05:51:27"/>
        <d v="2025-09-26T01:14:06"/>
        <d v="2025-09-03T02:14:00"/>
        <d v="2025-07-20T17:41:39"/>
        <d v="2025-08-05T14:52:20"/>
        <d v="2026-01-28T18:35:22"/>
        <d v="2025-11-19T14:17:41"/>
        <d v="2026-04-30T02:04:31"/>
        <d v="2025-10-19T08:42:53"/>
        <d v="2025-12-29T13:19:57"/>
        <d v="2025-05-04T13:28:51"/>
        <d v="2025-08-27T05:23:05"/>
        <d v="2026-01-17T03:22:48"/>
        <d v="2026-04-05T04:06:44"/>
        <d v="2025-08-17T19:27:24"/>
        <d v="2025-07-01T10:31:04"/>
        <d v="2026-02-03T11:05:45"/>
        <d v="2025-09-26T15:38:59"/>
        <d v="2026-02-01T16:36:21"/>
        <d v="2026-03-16T11:53:34"/>
        <d v="2025-07-16T07:02:18"/>
        <d v="2025-06-23T22:19:01"/>
        <d v="2025-11-03T23:53:07"/>
        <d v="2025-09-18T11:36:19"/>
        <d v="2025-05-07T08:07:19"/>
        <d v="2025-12-10T06:05:33"/>
        <d v="2026-02-13T02:28:22"/>
        <d v="2025-12-31T16:29:57"/>
        <d v="2025-06-18T05:33:33"/>
        <d v="2026-04-24T00:15:25"/>
        <d v="2026-03-16T01:38:49"/>
        <d v="2025-08-21T15:10:58"/>
        <d v="2025-06-29T19:46:04"/>
        <d v="2025-08-23T15:36:34"/>
        <d v="2025-11-07T11:47:04"/>
        <d v="2025-06-09T10:02:59"/>
        <d v="2025-09-04T02:48:48"/>
        <d v="2026-03-29T07:27:19"/>
        <d v="2025-06-15T06:26:32"/>
        <d v="2025-10-17T19:15:25"/>
        <d v="2025-05-18T22:57:27"/>
        <d v="2025-06-14T12:13:16"/>
        <d v="2026-03-02T09:28:35"/>
        <d v="2026-04-27T01:18:10"/>
        <d v="2025-07-31T01:03:00"/>
        <d v="2025-10-06T15:24:53"/>
        <d v="2026-03-24T09:38:47"/>
        <d v="2025-11-11T22:10:02"/>
        <d v="2025-05-06T20:22:27"/>
        <d v="2025-05-07T16:55:41"/>
        <d v="2025-08-31T13:48:41"/>
        <d v="2025-07-23T05:41:57"/>
        <d v="2026-04-27T09:29:24"/>
        <d v="2025-08-09T20:50:05"/>
        <d v="2025-10-25T08:53:21"/>
        <d v="2026-04-05T17:52:23"/>
        <d v="2025-07-05T01:44:26"/>
        <d v="2025-11-16T19:21:09"/>
        <d v="2026-03-02T04:55:27"/>
        <d v="2025-10-16T17:26:31"/>
        <d v="2025-08-25T21:01:50"/>
        <d v="2025-05-12T10:31:34"/>
        <d v="2025-12-02T14:54:52"/>
        <d v="2025-05-29T14:55:15"/>
        <d v="2026-01-07T02:25:36"/>
        <d v="2026-04-11T15:27:14"/>
        <d v="2026-03-28T08:41:57"/>
        <d v="2026-01-22T01:05:08"/>
        <d v="2025-05-26T07:19:59"/>
        <d v="2025-12-08T16:59:43"/>
        <d v="2026-04-06T06:06:10"/>
        <d v="2026-01-17T07:38:23"/>
        <d v="2025-09-02T23:42:35"/>
        <d v="2025-05-28T23:25:42"/>
        <d v="2025-05-11T22:21:13"/>
        <d v="2025-07-30T17:21:30"/>
        <d v="2026-02-06T08:11:26"/>
        <d v="2025-12-05T05:56:16"/>
        <d v="2025-10-28T14:50:27"/>
        <d v="2025-12-25T04:24:42"/>
        <d v="2026-01-15T22:33:45"/>
        <d v="2025-05-02T01:43:36"/>
        <d v="2025-09-03T20:00:30"/>
        <d v="2025-07-06T15:39:00"/>
        <d v="2025-08-20T00:14:17"/>
        <d v="2025-08-30T13:19:07"/>
        <d v="2026-02-14T09:27:42"/>
        <d v="2026-04-20T09:59:14"/>
        <d v="2025-08-09T17:21:10"/>
        <d v="2025-05-13T05:52:15"/>
        <d v="2025-09-22T20:08:37"/>
        <d v="2026-04-25T04:28:10"/>
        <d v="2025-12-25T15:52:40"/>
        <d v="2025-05-05T16:37:13"/>
        <d v="2026-03-13T12:43:12"/>
        <d v="2026-01-11T05:48:21"/>
        <d v="2025-11-07T07:24:39"/>
        <d v="2026-01-11T21:37:30"/>
        <d v="2025-07-22T12:22:08"/>
        <d v="2025-09-26T05:20:56"/>
        <d v="2026-02-16T04:43:14"/>
        <d v="2025-08-25T03:21:22"/>
        <d v="2025-08-19T08:59:28"/>
        <d v="2026-04-03T11:58:10"/>
        <d v="2025-05-01T03:39:25"/>
        <d v="2025-10-27T02:14:17"/>
        <d v="2025-07-24T09:22:22"/>
        <d v="2025-12-31T19:40:23"/>
        <d v="2025-11-23T02:59:38"/>
        <d v="2025-12-29T22:25:40"/>
        <d v="2025-09-06T08:06:15"/>
        <d v="2025-12-31T20:14:11"/>
        <d v="2025-07-30T13:14:22"/>
        <d v="2026-01-02T11:18:33"/>
        <d v="2025-07-18T18:16:35"/>
        <d v="2026-03-25T18:08:17"/>
        <d v="2025-12-02T01:58:47"/>
        <d v="2026-03-24T08:53:39"/>
        <d v="2026-02-01T11:44:47"/>
        <d v="2026-01-28T11:39:18"/>
        <d v="2025-07-15T09:49:15"/>
        <d v="2026-01-07T12:56:12"/>
        <d v="2026-02-19T06:44:23"/>
        <d v="2026-02-19T22:22:59"/>
        <d v="2025-07-22T02:24:30"/>
        <d v="2025-11-01T03:42:27"/>
        <d v="2025-09-13T02:42:49"/>
        <d v="2026-04-12T20:45:08"/>
        <d v="2025-11-06T05:56:51"/>
        <d v="2026-01-12T02:26:56"/>
        <d v="2025-12-19T20:22:28"/>
        <d v="2025-08-20T19:42:36"/>
        <d v="2025-10-02T21:53:05"/>
        <d v="2026-03-30T17:48:24"/>
        <d v="2026-01-27T03:24:09"/>
        <d v="2025-05-01T09:56:23"/>
        <d v="2025-07-30T01:09:48"/>
        <d v="2025-09-10T16:32:40"/>
        <d v="2025-06-02T06:33:03"/>
        <d v="2026-04-18T01:53:56"/>
        <d v="2025-05-03T00:57:01"/>
        <d v="2025-07-13T14:25:01"/>
        <d v="2025-10-30T16:34:18"/>
        <d v="2026-01-08T16:47:45"/>
        <d v="2026-04-10T22:08:28"/>
        <d v="2025-07-19T04:57:31"/>
        <d v="2025-10-14T17:30:49"/>
        <d v="2025-06-28T06:46:53"/>
        <d v="2026-04-04T10:34:40"/>
        <d v="2025-10-27T07:28:07"/>
        <d v="2026-01-19T08:35:51"/>
        <d v="2025-10-22T20:50:17"/>
        <d v="2025-11-10T08:42:04"/>
        <d v="2025-11-11T22:55:10"/>
        <d v="2025-11-22T12:48:19"/>
        <d v="2025-07-29T14:34:04"/>
        <d v="2025-10-04T08:06:25"/>
        <d v="2025-10-12T15:43:01"/>
        <d v="2025-10-09T09:59:51"/>
        <d v="2025-11-29T02:59:13"/>
        <d v="2026-02-19T17:17:39"/>
        <d v="2025-11-17T16:13:51"/>
        <d v="2026-02-15T16:23:09"/>
        <d v="2025-12-08T09:22:35"/>
        <d v="2025-08-16T12:26:00"/>
        <d v="2026-04-17T19:48:59"/>
        <d v="2025-11-07T07:00:45"/>
        <d v="2025-05-18T17:00:05"/>
        <d v="2025-12-14T06:27:58"/>
        <d v="2025-08-31T04:39:44"/>
        <d v="2025-10-27T13:35:01"/>
        <d v="2026-03-21T03:19:39"/>
        <d v="2026-04-29T04:42:36"/>
        <d v="2025-07-18T09:31:27"/>
        <d v="2026-02-15T09:26:15"/>
        <d v="2025-08-27T16:23:50"/>
        <d v="2025-06-14T23:15:33"/>
        <d v="2025-06-25T06:24:45"/>
        <d v="2025-06-22T23:14:37"/>
        <d v="2026-01-22T22:58:13"/>
        <d v="2025-05-22T07:15:21"/>
        <d v="2025-06-11T00:47:19"/>
        <d v="2025-09-06T14:58:19"/>
        <d v="2025-10-04T12:58:01"/>
        <d v="2025-11-06T21:59:51"/>
        <d v="2026-03-30T11:50:42"/>
        <d v="2025-09-17T18:45:49"/>
        <d v="2025-10-29T06:01:46"/>
        <d v="2026-02-02T12:13:45"/>
        <d v="2025-11-28T20:31:03"/>
        <d v="2026-03-10T10:05:37"/>
        <d v="2025-12-10T06:17:36"/>
        <d v="2026-04-15T23:13:41"/>
        <d v="2025-08-21T10:47:17"/>
        <d v="2025-11-09T04:25:35"/>
        <d v="2026-02-20T13:35:30"/>
        <d v="2025-12-08T18:45:03"/>
        <d v="2025-09-26T20:44:52"/>
        <d v="2025-07-31T13:34:02"/>
        <d v="2026-02-21T15:43:17"/>
        <d v="2025-09-26T16:57:55"/>
        <d v="2025-06-04T00:16:43"/>
        <d v="2026-04-16T15:55:30"/>
        <d v="2025-09-03T17:06:39"/>
        <d v="2025-09-02T08:34:48"/>
        <d v="2025-05-16T11:56:15"/>
        <d v="2025-07-06T23:10:52"/>
        <d v="2026-03-20T14:17:47"/>
        <d v="2026-04-09T15:46:55"/>
        <d v="2026-03-24T00:21:24"/>
        <d v="2025-10-22T15:08:57"/>
        <d v="2025-12-31T21:51:16"/>
        <d v="2026-03-18T10:05:08"/>
        <d v="2026-04-08T04:47:28"/>
        <d v="2026-01-02T16:03:38"/>
        <d v="2025-05-22T17:51:17"/>
        <d v="2026-03-10T22:39:14"/>
        <d v="2025-12-26T23:47:36"/>
        <d v="2025-05-04T22:00:14"/>
        <d v="2025-06-21T09:19:20"/>
        <d v="2025-07-30T16:14:07"/>
        <d v="2025-07-29T11:03:11"/>
        <d v="2025-09-13T12:00:28"/>
        <d v="2025-05-08T01:59:16"/>
        <d v="2025-09-10T23:47:55"/>
        <d v="2025-07-29T20:14:56"/>
        <d v="2025-09-10T06:03:59"/>
        <d v="2026-02-23T11:55:09"/>
        <d v="2026-01-24T18:49:22"/>
        <d v="2025-07-13T10:09:23"/>
        <d v="2025-12-02T00:50:15"/>
        <d v="2025-10-16T03:59:59"/>
        <d v="2025-12-10T20:01:57"/>
        <d v="2025-08-26T23:07:55"/>
        <d v="2025-11-10T22:12:18"/>
        <d v="2025-09-21T19:42:29"/>
        <d v="2026-01-03T21:09:34"/>
        <d v="2025-12-12T15:48:16"/>
        <d v="2026-03-03T07:33:29"/>
        <d v="2025-05-21T07:05:11"/>
        <d v="2025-11-25T11:04:20"/>
        <d v="2025-09-30T14:04:57"/>
        <d v="2025-08-16T15:12:56"/>
        <d v="2025-06-13T14:02:45"/>
        <d v="2026-04-10T08:30:24"/>
        <d v="2025-09-03T18:26:51"/>
        <d v="2025-11-21T13:49:30"/>
        <d v="2026-01-28T23:47:34"/>
        <d v="2025-12-05T02:50:54"/>
        <d v="2025-06-06T03:04:02"/>
        <d v="2025-08-14T17:50:13"/>
        <d v="2025-09-05T18:25:13"/>
        <d v="2025-08-27T05:21:54"/>
        <d v="2026-03-23T00:47:03"/>
        <d v="2026-03-31T00:04:28"/>
        <d v="2025-05-29T03:04:12"/>
        <d v="2025-09-22T06:59:09"/>
        <d v="2026-01-18T07:13:51"/>
        <d v="2025-05-07T18:14:50"/>
        <d v="2026-02-25T04:00:31"/>
        <d v="2025-07-02T13:12:32"/>
        <d v="2025-09-03T22:11:25"/>
        <d v="2025-07-15T04:14:53"/>
        <d v="2026-01-01T20:18:29"/>
        <d v="2025-09-01T06:14:28"/>
        <d v="2025-10-30T14:12:11"/>
        <d v="2026-02-21T07:49:09"/>
        <d v="2025-06-13T12:03:19"/>
        <d v="2025-07-14T00:25:48"/>
        <d v="2026-03-10T15:31:19"/>
        <d v="2025-10-23T08:26:48"/>
        <d v="2026-04-19T01:38:42"/>
        <d v="2026-01-26T23:31:28"/>
        <d v="2025-10-16T22:11:29"/>
        <d v="2025-12-28T01:29:20"/>
        <d v="2025-12-17T02:26:40"/>
        <d v="2025-12-30T06:52:21"/>
        <d v="2026-03-29T09:48:02"/>
        <d v="2025-08-29T12:42:29"/>
        <d v="2025-12-05T03:00:59"/>
        <d v="2025-08-23T13:41:55"/>
        <d v="2025-08-31T06:45:41"/>
        <d v="2026-02-26T12:58:07"/>
        <d v="2025-12-10T06:41:25"/>
        <d v="2026-02-22T17:47:40"/>
        <d v="2025-10-22T01:21:52"/>
        <d v="2025-10-21T12:39:30"/>
        <d v="2025-12-31T18:43:38"/>
        <d v="2025-05-11T11:59:54"/>
        <d v="2025-09-30T15:31:01"/>
        <d v="2026-01-13T16:37:10"/>
        <d v="2025-12-16T16:33:47"/>
        <d v="2025-05-29T18:40:09"/>
        <d v="2026-01-26T19:28:44"/>
        <d v="2025-06-27T12:01:15"/>
        <d v="2025-08-17T01:35:22"/>
        <d v="2026-03-03T04:56:11"/>
        <d v="2025-08-19T06:22:50"/>
        <d v="2025-12-26T21:04:05"/>
        <d v="2025-08-29T18:19:39"/>
        <d v="2025-10-27T12:05:19"/>
        <d v="2026-03-28T21:56:23"/>
        <d v="2025-10-13T14:16:24"/>
        <d v="2025-08-30T14:50:15"/>
        <d v="2026-04-28T05:17:30"/>
        <d v="2026-03-10T01:31:13"/>
        <d v="2025-08-15T14:19:27"/>
        <d v="2025-12-07T16:43:19"/>
        <d v="2025-11-09T00:58:55"/>
        <d v="2025-10-03T07:00:00"/>
        <d v="2026-04-26T03:32:46"/>
        <d v="2026-02-07T13:26:54"/>
        <d v="2025-11-15T20:31:03"/>
        <d v="2025-12-24T05:48:02"/>
        <d v="2026-02-08T19:45:34"/>
        <d v="2025-10-10T22:58:29"/>
        <d v="2025-10-05T14:45:43"/>
        <d v="2025-06-21T12:54:09"/>
        <d v="2026-02-01T15:44:02"/>
        <d v="2026-04-30T16:59:59"/>
        <d v="2025-08-04T23:08:51"/>
        <d v="2025-05-19T10:53:41"/>
        <d v="2025-08-31T19:58:23"/>
        <d v="2025-08-03T23:57:40"/>
        <d v="2025-08-04T02:26:41"/>
        <d v="2025-10-09T07:02:05"/>
        <d v="2026-02-18T11:51:05"/>
        <d v="2025-11-11T11:41:15"/>
        <d v="2026-01-01T08:37:45"/>
        <d v="2025-12-19T10:35:54"/>
        <d v="2026-03-05T23:08:19"/>
        <d v="2025-09-19T23:35:31"/>
        <d v="2025-06-16T14:00:04"/>
        <d v="2025-10-10T12:49:08"/>
        <d v="2025-07-25T12:53:09"/>
        <d v="2025-12-16T22:24:10"/>
        <d v="2025-07-17T04:22:21"/>
        <d v="2026-02-23T14:45:26"/>
        <d v="2025-05-31T03:14:06"/>
        <d v="2025-07-31T13:58:11"/>
        <d v="2025-06-20T21:48:26"/>
        <d v="2026-04-28T18:25:41"/>
        <d v="2025-08-28T19:28:51"/>
        <d v="2025-05-13T21:11:56"/>
        <d v="2025-09-10T20:50:46"/>
        <d v="2025-05-14T17:57:06"/>
        <d v="2026-02-01T15:13:29"/>
        <d v="2026-01-26T13:17:57"/>
        <d v="2025-05-25T04:47:41"/>
        <d v="2025-10-12T02:21:55"/>
        <d v="2026-04-07T12:11:13"/>
        <d v="2026-03-28T21:09:42"/>
        <d v="2025-10-15T16:41:59"/>
        <d v="2025-12-26T17:46:28"/>
        <d v="2025-08-18T03:07:21"/>
        <d v="2025-11-03T23:44:48"/>
        <d v="2025-09-07T09:19:56"/>
        <d v="2025-09-17T20:34:15"/>
        <d v="2025-12-06T08:06:43"/>
        <d v="2025-11-17T16:11:56"/>
        <d v="2025-08-05T16:03:42"/>
        <d v="2025-12-18T13:18:23"/>
        <d v="2025-06-14T19:58:33"/>
        <d v="2025-09-16T12:41:32"/>
        <d v="2025-10-17T06:20:28"/>
        <d v="2025-06-11T14:36:05"/>
        <d v="2026-03-20T05:57:40"/>
        <d v="2025-06-16T17:29:06"/>
        <d v="2025-11-21T00:38:38"/>
        <d v="2025-08-29T01:35:59"/>
        <d v="2026-01-29T06:37:45"/>
        <d v="2025-09-15T06:21:39"/>
        <d v="2025-05-15T09:45:25"/>
        <d v="2026-01-23T11:18:53"/>
        <d v="2026-03-15T19:42:59"/>
        <d v="2025-10-18T10:57:56"/>
        <d v="2026-02-06T11:53:10"/>
        <d v="2025-07-23T03:18:22"/>
        <d v="2025-06-30T04:59:26"/>
        <d v="2025-06-13T13:11:38"/>
        <d v="2025-12-14T16:00:10"/>
        <d v="2025-11-01T15:25:00"/>
        <d v="2025-12-11T11:06:33"/>
        <d v="2026-04-26T19:26:28"/>
        <d v="2026-03-10T17:50:41"/>
        <d v="2025-08-03T12:16:26"/>
        <d v="2025-11-12T05:22:42"/>
        <d v="2026-02-01T13:39:54"/>
        <d v="2026-03-09T22:10:57"/>
        <d v="2026-01-09T09:58:20"/>
        <d v="2025-07-14T13:23:32"/>
        <d v="2025-08-23T12:56:27"/>
        <d v="2025-11-10T01:03:10"/>
        <d v="2026-04-26T05:30:08"/>
        <d v="2025-11-20T14:43:38"/>
        <d v="2026-04-09T19:04:25"/>
        <d v="2025-06-05T12:23:39"/>
        <d v="2026-03-05T15:08:15"/>
        <d v="2026-01-21T17:00:19"/>
        <d v="2025-09-05T18:46:09"/>
        <d v="2025-11-11T02:13:32"/>
        <d v="2025-08-23T20:00:38"/>
        <d v="2025-11-17T11:52:46"/>
        <d v="2026-04-19T09:02:34"/>
        <d v="2025-08-09T22:29:08"/>
        <d v="2026-04-16T21:31:27"/>
        <d v="2026-04-18T12:12:12"/>
        <d v="2025-09-22T00:29:26"/>
        <d v="2026-04-16T12:09:04"/>
        <d v="2025-05-19T15:54:17"/>
        <d v="2025-11-08T08:40:21"/>
        <d v="2025-11-11T13:11:41"/>
        <d v="2026-02-28T16:54:59"/>
        <d v="2025-10-22T03:19:11"/>
        <d v="2025-08-03T08:08:50"/>
        <d v="2025-09-26T05:17:31"/>
        <d v="2025-05-22T23:31:48"/>
        <d v="2026-01-03T23:31:02"/>
        <d v="2026-03-14T11:51:59"/>
        <d v="2025-12-08T12:48:36"/>
        <d v="2026-04-19T16:06:37"/>
        <d v="2025-11-26T15:08:34"/>
        <d v="2025-06-21T16:13:03"/>
        <d v="2026-03-27T16:04:02"/>
        <d v="2026-04-21T05:38:25"/>
        <d v="2025-08-26T10:17:01"/>
        <d v="2025-07-26T18:56:21"/>
        <d v="2026-03-27T05:30:14"/>
        <d v="2025-05-26T15:51:51"/>
        <d v="2026-03-27T07:55:29"/>
        <d v="2025-07-27T14:17:38"/>
        <d v="2025-07-04T10:58:29"/>
        <d v="2025-06-20T22:10:41"/>
        <d v="2026-04-24T16:07:55"/>
        <d v="2026-02-27T02:35:23"/>
        <d v="2025-08-28T16:35:27"/>
        <d v="2026-02-02T20:01:20"/>
        <d v="2025-05-01T07:25:57"/>
        <d v="2025-10-07T11:50:21"/>
        <d v="2025-06-04T06:03:05"/>
        <d v="2026-01-29T12:36:38"/>
        <d v="2025-11-05T16:30:08"/>
        <d v="2025-06-19T04:21:45"/>
        <d v="2025-11-04T03:44:15"/>
        <d v="2025-05-23T21:41:49"/>
        <d v="2025-08-03T01:22:26"/>
        <d v="2026-02-13T13:39:00"/>
        <d v="2025-06-20T09:04:19"/>
        <d v="2026-02-13T12:16:06"/>
        <d v="2026-04-14T20:00:45"/>
        <d v="2025-07-10T07:43:39"/>
        <d v="2026-04-21T00:36:55"/>
        <d v="2025-08-09T19:31:10"/>
        <d v="2025-11-12T19:37:53"/>
        <d v="2025-05-10T01:16:52"/>
        <d v="2026-03-26T05:31:49"/>
        <d v="2025-08-14T02:43:31"/>
        <d v="2025-12-05T15:44:17"/>
        <d v="2025-09-12T00:59:56"/>
        <d v="2025-06-08T13:51:08"/>
        <d v="2025-05-21T16:31:10"/>
        <d v="2025-12-26T14:34:48"/>
        <d v="2026-03-16T03:26:50"/>
        <d v="2026-02-20T21:31:17"/>
        <d v="2025-12-04T22:19:21"/>
        <d v="2025-07-13T17:08:00"/>
        <d v="2025-09-12T10:53:09"/>
        <d v="2025-11-11T15:23:00"/>
        <d v="2026-04-19T04:53:12"/>
        <d v="2025-07-18T03:47:01"/>
        <d v="2025-10-08T05:04:46"/>
        <d v="2025-08-20T11:23:08"/>
        <d v="2025-05-22T01:22:55"/>
        <d v="2026-04-24T21:31:31"/>
        <d v="2026-01-09T06:17:48"/>
        <d v="2026-04-22T19:40:39"/>
        <d v="2025-09-03T16:53:54"/>
        <d v="2026-01-18T05:30:23"/>
        <d v="2025-05-14T02:49:39"/>
        <d v="2025-07-12T03:58:32"/>
        <d v="2025-07-10T12:34:42"/>
        <d v="2026-04-28T05:59:42"/>
        <d v="2026-04-03T01:38:33"/>
        <d v="2026-03-16T11:24:34"/>
        <d v="2025-10-13T15:11:48"/>
        <d v="2026-04-05T09:46:13"/>
        <d v="2025-09-02T16:47:36"/>
        <d v="2025-09-22T20:20:40"/>
        <d v="2026-02-22T17:43:27"/>
        <d v="2025-09-25T12:13:31"/>
        <d v="2025-12-24T18:49:44"/>
        <d v="2026-01-30T08:20:02"/>
        <d v="2026-03-06T11:29:27"/>
        <d v="2025-12-22T23:08:12"/>
        <d v="2025-08-30T07:07:13"/>
        <d v="2025-08-16T02:44:14"/>
        <d v="2025-08-16T15:09:28"/>
        <d v="2025-06-14T05:31:57"/>
        <d v="2025-11-16T05:37:01"/>
        <d v="2026-04-22T04:08:06"/>
        <d v="2025-09-13T20:04:29"/>
        <d v="2025-12-17T19:47:52"/>
        <d v="2026-03-07T23:39:50"/>
        <d v="2026-02-26T15:42:41"/>
        <d v="2025-05-03T05:51:09"/>
        <d v="2025-07-28T08:55:01"/>
        <d v="2025-08-28T04:00:13"/>
        <d v="2025-10-12T03:33:23"/>
        <d v="2025-12-15T07:16:01"/>
        <d v="2025-06-03T04:02:01"/>
        <d v="2025-10-17T17:12:09"/>
        <d v="2025-07-28T18:29:03"/>
        <d v="2025-05-24T16:13:31"/>
        <d v="2025-08-27T06:05:40"/>
        <d v="2025-11-21T02:18:55"/>
        <d v="2025-10-04T21:32:27"/>
        <d v="2026-02-08T15:08:56"/>
        <d v="2025-06-09T09:16:04"/>
        <d v="2026-04-13T01:17:43"/>
        <d v="2025-10-27T20:17:04"/>
        <d v="2025-05-05T00:15:47"/>
        <d v="2025-08-19T06:24:00"/>
        <d v="2025-05-24T14:51:05"/>
        <d v="2026-03-04T04:31:19"/>
        <d v="2025-08-16T03:17:27"/>
        <d v="2026-04-15T17:06:54"/>
        <d v="2026-03-07T22:24:11"/>
        <d v="2026-02-08T14:38:59"/>
        <d v="2025-10-19T17:31:33"/>
        <d v="2025-07-05T03:26:25"/>
        <d v="2026-03-07T09:00:55"/>
        <d v="2025-08-25T21:46:35"/>
        <d v="2025-11-14T19:15:39"/>
        <d v="2025-11-10T22:45:30"/>
        <d v="2025-06-13T17:07:23"/>
        <d v="2025-11-02T06:28:04"/>
        <d v="2025-08-10T15:10:04"/>
        <d v="2025-07-26T08:33:15"/>
        <d v="2026-04-20T03:31:26"/>
        <d v="2025-09-10T06:09:00"/>
        <d v="2025-12-26T16:16:54"/>
        <d v="2025-07-06T09:48:00"/>
        <d v="2026-02-25T22:59:24"/>
        <d v="2026-01-04T11:23:30"/>
        <d v="2026-02-15T02:58:31"/>
        <d v="2025-09-18T13:24:44"/>
        <d v="2025-05-10T07:20:17"/>
        <d v="2026-03-13T21:19:13"/>
        <d v="2025-08-25T22:39:16"/>
        <d v="2026-01-07T12:32:31"/>
        <d v="2026-03-23T09:37:21"/>
        <d v="2025-11-12T13:36:41"/>
        <d v="2025-09-10T14:01:39"/>
        <d v="2026-04-05T01:53:56"/>
        <d v="2026-01-10T05:44:50"/>
        <d v="2025-05-05T12:35:13"/>
        <d v="2025-05-22T04:37:17"/>
        <d v="2026-03-21T13:37:15"/>
        <d v="2025-12-06T16:38:33"/>
        <d v="2025-09-26T07:01:37"/>
        <d v="2025-07-09T20:34:46"/>
        <d v="2026-03-04T00:07:52"/>
        <d v="2025-06-04T13:42:48"/>
        <d v="2025-07-05T19:09:16"/>
        <d v="2025-11-11T06:52:23"/>
        <d v="2026-01-02T16:49:42"/>
        <d v="2026-04-05T00:07:06"/>
        <d v="2026-04-07T13:08:16"/>
        <d v="2025-09-05T07:57:16"/>
        <d v="2025-06-19T12:32:18"/>
        <d v="2025-07-07T23:49:17"/>
        <d v="2025-06-09T23:03:55"/>
        <d v="2026-01-24T07:02:28"/>
        <d v="2025-05-11T16:39:49"/>
        <d v="2026-03-07T09:31:21"/>
        <d v="2025-09-17T09:06:29"/>
        <d v="2025-06-02T14:05:55"/>
        <d v="2025-08-12T15:44:50"/>
        <d v="2026-01-07T01:08:48"/>
        <d v="2025-07-03T23:07:00"/>
        <d v="2025-07-28T19:34:49"/>
        <d v="2025-12-26T03:10:27"/>
        <d v="2026-03-01T14:05:12"/>
        <d v="2025-09-25T20:24:00"/>
        <d v="2025-11-05T14:10:11"/>
        <d v="2025-07-05T19:22:13"/>
        <d v="2025-07-19T20:42:53"/>
        <d v="2025-11-19T07:12:53"/>
        <d v="2026-02-13T13:08:50"/>
        <d v="2025-05-23T08:47:37"/>
        <d v="2026-01-21T07:14:41"/>
        <d v="2025-12-04T05:28:08"/>
        <d v="2025-10-28T11:33:01"/>
        <d v="2026-02-15T19:34:38"/>
        <d v="2025-05-12T16:25:57"/>
        <d v="2025-11-01T18:08:42"/>
        <d v="2026-01-16T18:05:10"/>
        <d v="2026-01-23T01:48:49"/>
        <d v="2025-05-09T12:27:36"/>
        <d v="2025-07-07T16:27:38"/>
        <d v="2025-10-04T14:01:20"/>
        <d v="2025-06-03T20:01:33"/>
        <d v="2025-06-04T21:46:35"/>
        <d v="2026-04-08T22:52:02"/>
        <d v="2026-02-14T16:36:07"/>
        <d v="2026-03-09T03:54:43"/>
        <d v="2025-10-28T14:28:16"/>
        <d v="2026-01-01T05:14:15"/>
        <d v="2025-08-29T17:55:06"/>
        <d v="2026-04-18T15:28:19"/>
        <d v="2026-04-19T01:55:00"/>
        <d v="2025-06-19T12:57:48"/>
        <d v="2025-07-15T15:41:10"/>
        <d v="2026-04-30T03:30:25"/>
        <d v="2025-05-04T00:24:59"/>
        <d v="2026-03-25T02:13:54"/>
        <d v="2026-04-13T16:53:46"/>
        <d v="2025-07-21T12:28:54"/>
        <d v="2025-10-20T10:35:25"/>
        <d v="2025-06-22T18:59:34"/>
        <d v="2025-06-04T21:48:43"/>
        <d v="2025-09-12T10:28:48"/>
        <d v="2026-04-20T22:07:06"/>
        <d v="2025-10-19T17:07:25"/>
        <d v="2025-11-11T09:42:59"/>
        <d v="2026-03-27T14:30:12"/>
        <d v="2025-07-20T09:04:54"/>
        <d v="2026-03-22T10:34:01"/>
        <d v="2025-11-25T06:16:44"/>
        <d v="2026-04-02T01:30:47"/>
        <d v="2025-07-07T16:42:20"/>
        <d v="2025-09-03T21:01:27"/>
        <d v="2025-11-29T06:51:18"/>
        <d v="2025-08-13T13:28:01"/>
        <d v="2025-12-24T18:20:29"/>
        <d v="2025-10-10T23:25:24"/>
        <d v="2025-09-17T05:18:50"/>
        <d v="2025-06-17T22:49:07"/>
        <d v="2026-04-24T14:56:07"/>
        <d v="2025-12-29T17:25:40"/>
        <d v="2026-01-12T08:20:43"/>
        <d v="2026-02-27T08:10:45"/>
        <d v="2026-04-16T21:23:14"/>
        <d v="2025-05-01T16:23:26"/>
        <d v="2026-02-21T00:53:37"/>
        <d v="2025-11-13T18:24:40"/>
        <d v="2025-05-29T17:03:18"/>
        <d v="2025-05-18T21:56:19"/>
        <d v="2025-07-03T07:41:36"/>
        <d v="2025-07-08T05:24:52"/>
        <d v="2025-07-06T13:10:18"/>
        <d v="2025-05-04T19:36:22"/>
        <d v="2025-11-18T14:31:13"/>
        <d v="2025-11-17T01:51:23"/>
        <d v="2026-03-02T18:59:26"/>
        <d v="2025-05-15T06:00:11"/>
        <d v="2026-01-05T15:20:42"/>
        <d v="2025-05-27T10:37:28"/>
        <d v="2025-06-25T16:30:58"/>
        <d v="2026-04-02T04:32:25"/>
        <d v="2026-04-16T16:31:55"/>
        <d v="2026-01-22T07:30:11"/>
        <d v="2026-02-22T17:00:08"/>
        <d v="2026-01-06T03:16:43"/>
        <d v="2025-08-15T01:27:03"/>
        <d v="2025-10-17T11:50:11"/>
        <d v="2026-01-01T08:33:06"/>
        <d v="2026-02-02T12:42:23"/>
        <d v="2025-06-15T06:47:18"/>
        <d v="2025-07-21T23:40:37"/>
        <d v="2025-06-17T10:59:05"/>
        <d v="2025-12-03T01:21:27"/>
        <d v="2025-08-06T13:18:08"/>
        <d v="2025-12-18T07:33:55"/>
        <d v="2025-12-07T11:16:54"/>
        <d v="2025-06-27T20:01:38"/>
        <d v="2026-04-20T15:45:03"/>
        <d v="2026-04-22T13:17:11"/>
        <d v="2025-11-26T10:06:15"/>
        <d v="2025-10-29T14:46:17"/>
        <d v="2025-12-29T00:35:13"/>
        <d v="2025-07-08T14:47:23"/>
        <d v="2026-01-23T11:16:38"/>
        <d v="2025-05-21T04:39:25"/>
        <d v="2025-08-11T07:15:39"/>
        <d v="2025-09-28T01:02:35"/>
        <d v="2026-03-24T15:12:30"/>
        <d v="2025-11-30T09:01:31"/>
        <d v="2026-01-15T01:56:10"/>
        <d v="2026-01-25T20:46:36"/>
        <d v="2025-08-06T01:54:28"/>
        <d v="2025-11-30T20:02:31"/>
        <d v="2025-05-11T15:10:47"/>
        <d v="2026-02-01T03:01:02"/>
        <d v="2025-09-09T11:42:33"/>
        <d v="2025-11-19T04:01:17"/>
        <d v="2025-09-04T04:02:29"/>
        <d v="2025-06-22T15:00:22"/>
        <d v="2026-03-15T16:54:30"/>
        <d v="2025-07-30T06:13:28"/>
        <d v="2025-12-07T23:41:12"/>
        <d v="2025-07-26T02:27:56"/>
        <d v="2025-05-27T13:50:06"/>
        <d v="2026-01-27T11:52:49"/>
        <d v="2025-11-06T11:56:37"/>
        <d v="2025-05-23T06:24:22"/>
        <d v="2025-09-23T23:26:17"/>
        <d v="2025-05-05T21:11:13"/>
        <d v="2025-10-26T17:31:37"/>
        <d v="2026-02-09T23:46:50"/>
        <d v="2026-03-10T12:06:14"/>
        <d v="2025-09-04T18:31:43"/>
        <d v="2026-03-01T03:32:34"/>
        <d v="2025-06-13T04:32:43"/>
        <d v="2025-06-09T12:41:49"/>
        <d v="2025-07-22T07:51:23"/>
        <d v="2026-02-01T16:20:06"/>
        <d v="2025-11-07T02:02:42"/>
        <d v="2025-11-09T07:17:28"/>
        <d v="2025-11-14T02:22:44"/>
        <d v="2026-03-27T14:18:58"/>
        <d v="2025-11-27T19:05:12"/>
        <d v="2025-05-25T23:10:08"/>
        <d v="2025-05-19T08:40:00"/>
        <d v="2025-07-24T14:32:15"/>
        <d v="2025-10-03T13:17:33"/>
        <d v="2025-08-27T06:47:37"/>
        <d v="2025-08-04T08:15:22"/>
        <d v="2026-01-16T14:54:11"/>
        <d v="2025-05-29T22:40:39"/>
        <d v="2025-07-05T01:35:32"/>
        <d v="2025-06-18T19:49:28"/>
        <d v="2025-06-20T04:23:14"/>
        <d v="2026-01-03T04:28:15"/>
        <d v="2025-05-03T19:18:03"/>
        <d v="2026-02-23T07:13:27"/>
        <d v="2025-09-07T18:57:12"/>
        <d v="2026-02-23T04:16:32"/>
        <d v="2025-07-24T02:58:27"/>
        <d v="2025-05-27T20:21:54"/>
        <d v="2025-05-24T08:29:10"/>
        <d v="2026-01-08T21:27:45"/>
        <d v="2025-12-13T16:46:23"/>
        <d v="2026-01-22T09:52:25"/>
        <d v="2026-04-02T21:36:39"/>
        <d v="2025-11-27T06:38:34"/>
        <d v="2026-02-05T05:07:37"/>
        <d v="2025-05-26T23:04:26"/>
        <d v="2025-07-11T11:33:27"/>
        <d v="2025-12-31T09:48:44"/>
        <d v="2026-01-22T16:16:48"/>
        <d v="2026-02-17T23:39:41"/>
        <d v="2025-10-14T17:09:04"/>
        <d v="2026-01-22T05:22:50"/>
        <d v="2025-12-29T12:19:59"/>
        <d v="2025-05-06T10:17:05"/>
        <d v="2025-09-04T21:22:16"/>
        <d v="2025-10-21T21:57:04"/>
        <d v="2026-02-13T12:58:14"/>
        <d v="2026-02-11T10:57:16"/>
        <d v="2025-07-28T03:19:27"/>
        <d v="2025-05-26T08:51:12"/>
        <d v="2025-11-04T05:43:01"/>
        <d v="2026-02-05T15:45:54"/>
        <d v="2025-12-30T16:08:57"/>
        <d v="2025-07-31T07:01:53"/>
        <d v="2026-03-08T16:01:06"/>
        <d v="2025-05-07T14:11:05"/>
        <d v="2025-09-20T07:34:49"/>
        <d v="2025-09-10T09:46:38"/>
        <d v="2025-12-17T21:57:59"/>
        <d v="2025-10-20T07:15:55"/>
        <d v="2025-08-17T12:55:29"/>
        <d v="2025-12-20T07:49:24"/>
        <d v="2025-12-23T16:50:01"/>
        <d v="2025-05-13T22:48:33"/>
        <d v="2025-08-14T04:19:25"/>
        <d v="2026-04-14T08:30:53"/>
        <d v="2025-05-05T14:50:06"/>
        <d v="2026-04-16T21:32:59"/>
        <d v="2026-01-22T14:27:21"/>
        <d v="2026-01-11T23:20:11"/>
        <d v="2026-02-01T11:35:31"/>
        <d v="2025-10-20T06:39:41"/>
        <d v="2025-07-18T23:56:43"/>
        <d v="2026-02-09T11:58:26"/>
        <d v="2025-07-03T15:44:43"/>
        <d v="2025-08-02T15:58:38"/>
        <d v="2026-04-22T02:40:47"/>
        <d v="2025-12-15T23:54:23"/>
        <d v="2026-01-24T18:39:10"/>
        <d v="2025-12-05T05:36:06"/>
        <d v="2025-12-04T22:20:08"/>
        <d v="2025-10-25T20:39:16"/>
        <d v="2025-12-24T19:28:52"/>
        <d v="2025-11-02T19:40:42"/>
        <d v="2025-08-14T00:47:55"/>
        <d v="2026-03-11T05:39:12"/>
        <d v="2025-07-14T21:11:26"/>
        <d v="2025-06-30T13:57:07"/>
        <d v="2025-05-06T17:42:45"/>
        <d v="2025-05-29T20:42:28"/>
        <d v="2025-08-31T00:33:41"/>
        <d v="2026-01-29T09:46:55"/>
        <d v="2026-01-05T17:32:11"/>
        <d v="2026-04-26T14:52:36"/>
        <d v="2025-08-04T03:01:52"/>
        <d v="2025-05-17T08:10:09"/>
        <d v="2025-11-06T06:08:05"/>
        <d v="2025-05-22T00:55:30"/>
        <d v="2026-01-28T08:48:17"/>
        <d v="2025-11-13T19:01:05"/>
        <d v="2025-12-23T13:34:54"/>
        <d v="2026-04-16T18:11:42"/>
        <d v="2025-10-01T12:53:30"/>
        <d v="2026-01-27T18:12:45"/>
        <d v="2026-02-26T02:27:48"/>
        <d v="2025-10-04T05:02:31"/>
        <d v="2025-10-20T23:15:09"/>
        <d v="2025-06-05T20:41:49"/>
        <d v="2025-08-30T04:36:18"/>
        <d v="2026-03-13T21:45:16"/>
        <d v="2025-08-31T02:50:50"/>
        <d v="2025-12-31T05:16:07"/>
        <d v="2025-06-18T13:10:13"/>
        <d v="2025-05-28T08:34:21"/>
        <d v="2026-01-23T10:51:03"/>
        <d v="2025-10-19T08:04:16"/>
        <d v="2026-04-01T20:35:28"/>
        <d v="2026-03-02T16:33:38"/>
        <d v="2026-03-22T06:13:54"/>
        <d v="2025-07-03T00:20:49"/>
        <d v="2025-11-22T12:22:43"/>
        <d v="2025-08-13T05:46:05"/>
        <d v="2025-06-08T23:13:35"/>
        <d v="2025-06-19T10:32:07"/>
        <d v="2025-05-21T20:13:41"/>
        <d v="2026-01-18T20:29:53"/>
        <d v="2026-03-15T08:31:38"/>
        <d v="2025-07-28T13:42:14"/>
        <d v="2025-05-13T21:51:34"/>
        <d v="2026-03-18T11:33:18"/>
        <d v="2026-03-06T10:22:51"/>
        <d v="2025-10-05T13:33:31"/>
        <d v="2025-07-03T15:15:21"/>
        <d v="2026-03-22T11:35:33"/>
        <d v="2025-11-10T15:08:54"/>
        <d v="2025-07-11T13:12:11"/>
        <d v="2025-10-05T16:28:22"/>
        <d v="2025-10-24T21:29:32"/>
        <d v="2025-09-28T02:43:46"/>
        <d v="2026-04-02T13:19:10"/>
        <d v="2026-02-18T10:41:15"/>
        <d v="2026-03-29T00:42:36"/>
        <d v="2025-05-01T13:21:29"/>
        <d v="2025-06-30T10:18:40"/>
        <d v="2025-06-17T04:30:02"/>
        <d v="2025-06-21T04:58:18"/>
        <d v="2025-09-03T10:39:06"/>
        <d v="2026-01-04T10:17:09"/>
        <d v="2025-06-10T09:24:17"/>
        <d v="2026-02-28T18:33:29"/>
        <d v="2025-05-27T08:08:34"/>
        <d v="2025-10-08T21:52:01"/>
        <d v="2025-11-06T20:44:47"/>
        <d v="2026-01-07T01:28:39"/>
        <d v="2025-09-14T12:17:43"/>
        <d v="2026-01-24T14:37:26"/>
        <d v="2026-03-16T02:08:18"/>
        <d v="2025-06-29T19:45:45"/>
        <d v="2026-03-16T15:54:38"/>
        <d v="2025-10-08T10:19:58"/>
        <d v="2026-01-06T00:29:46"/>
        <d v="2026-04-19T12:18:23"/>
        <d v="2026-01-11T19:31:54"/>
        <d v="2025-05-15T15:18:13"/>
        <d v="2025-10-05T02:07:44"/>
        <d v="2026-02-23T17:55:07"/>
        <d v="2025-05-09T22:03:45"/>
        <d v="2025-12-03T16:26:36"/>
        <d v="2025-09-02T18:35:34"/>
        <d v="2025-11-11T22:13:13"/>
        <d v="2025-10-04T01:16:47"/>
        <d v="2025-05-02T04:25:15"/>
        <d v="2026-01-13T07:08:37"/>
        <d v="2025-07-14T20:07:56"/>
        <d v="2025-09-29T15:29:58"/>
        <d v="2026-02-23T19:37:12"/>
        <d v="2026-04-29T18:52:51"/>
        <d v="2026-03-12T01:16:44"/>
        <d v="2025-12-15T06:03:55"/>
        <d v="2025-06-22T05:12:33"/>
        <d v="2025-12-01T17:27:55"/>
        <d v="2025-12-05T22:33:55"/>
        <d v="2025-08-03T10:08:40"/>
        <d v="2026-03-24T13:48:31"/>
        <d v="2025-05-07T16:36:58"/>
        <d v="2026-04-02T06:39:33"/>
        <d v="2025-11-17T21:24:26"/>
        <d v="2025-08-31T09:25:32"/>
        <d v="2026-01-22T05:09:16"/>
        <d v="2025-06-29T02:10:47"/>
        <d v="2026-03-24T04:11:06"/>
        <d v="2025-07-02T17:48:30"/>
        <d v="2025-12-11T07:02:35"/>
        <d v="2025-09-13T03:23:02"/>
        <d v="2025-08-02T13:00:33"/>
        <d v="2025-07-12T17:34:58"/>
        <d v="2026-04-14T13:19:55"/>
        <d v="2025-06-29T14:31:29"/>
        <d v="2025-10-21T00:07:14"/>
        <d v="2026-01-01T06:33:08"/>
        <d v="2025-06-22T20:51:46"/>
        <d v="2025-08-13T16:15:15"/>
        <d v="2026-03-02T15:12:33"/>
        <d v="2026-01-22T05:42:05"/>
        <d v="2026-02-18T02:12:49"/>
        <d v="2026-02-09T07:31:24"/>
        <d v="2026-01-05T19:27:15"/>
        <d v="2025-12-23T10:12:32"/>
        <d v="2025-10-11T12:05:34"/>
        <d v="2025-07-18T10:38:10"/>
        <d v="2026-01-11T06:13:51"/>
        <d v="2026-03-13T19:31:18"/>
        <d v="2025-09-05T05:07:21"/>
        <d v="2025-12-03T19:52:31"/>
        <d v="2025-08-23T21:22:36"/>
        <d v="2025-11-21T11:17:15"/>
        <d v="2026-02-22T00:29:29"/>
        <d v="2026-01-10T22:11:07"/>
        <d v="2025-12-17T13:00:28"/>
        <d v="2025-09-11T03:52:17"/>
        <d v="2025-10-30T20:03:03"/>
        <d v="2025-12-01T00:47:36"/>
        <d v="2026-01-14T08:05:07"/>
        <d v="2025-07-24T00:25:01"/>
        <d v="2026-02-08T03:59:30"/>
        <d v="2025-09-01T23:41:39"/>
        <d v="2026-03-08T19:32:52"/>
        <d v="2025-06-20T08:25:23"/>
        <d v="2025-11-15T16:28:52"/>
        <d v="2026-03-17T16:20:19"/>
        <d v="2025-11-03T14:27:17"/>
        <d v="2025-05-15T13:22:07"/>
        <d v="2025-08-27T23:18:10"/>
        <d v="2025-08-19T03:59:00"/>
        <d v="2025-05-06T11:54:13"/>
        <d v="2025-09-26T10:11:34"/>
        <d v="2025-09-28T13:06:47"/>
        <d v="2025-12-17T13:40:49"/>
        <d v="2026-01-06T23:17:02"/>
        <d v="2025-09-05T22:18:29"/>
        <d v="2025-05-11T00:34:47"/>
        <d v="2025-12-14T02:03:48"/>
        <d v="2025-10-15T16:36:40"/>
        <d v="2026-01-19T09:12:43"/>
        <d v="2026-04-14T22:55:36"/>
        <d v="2025-11-16T04:10:33"/>
        <d v="2025-06-06T08:58:42"/>
        <d v="2026-04-15T19:27:45"/>
        <d v="2025-06-30T18:23:47"/>
        <d v="2025-09-21T21:10:55"/>
        <d v="2025-05-23T21:36:55"/>
        <d v="2026-03-28T21:04:47"/>
        <d v="2025-10-30T22:37:13"/>
        <d v="2026-01-10T20:54:15"/>
        <d v="2025-06-12T03:57:01"/>
        <d v="2026-02-01T05:37:40"/>
        <d v="2025-08-07T11:40:30"/>
        <d v="2026-01-27T16:06:16"/>
        <d v="2026-04-03T06:37:09"/>
        <d v="2026-01-06T19:34:46"/>
        <d v="2026-03-20T22:13:39"/>
        <d v="2025-10-03T15:43:29"/>
        <d v="2025-12-05T16:28:17"/>
        <d v="2025-12-20T12:35:41"/>
        <d v="2025-11-11T10:21:56"/>
        <d v="2025-07-22T18:03:08"/>
        <d v="2026-04-28T00:03:39"/>
        <d v="2025-09-28T09:04:53"/>
        <d v="2025-11-30T05:44:30"/>
        <d v="2025-09-12T22:38:35"/>
        <d v="2025-08-25T15:01:33"/>
        <d v="2026-03-19T08:46:22"/>
        <d v="2025-09-22T13:30:57"/>
        <d v="2025-10-13T09:47:52"/>
        <d v="2025-12-07T22:38:44"/>
        <d v="2025-08-14T22:48:51"/>
        <d v="2026-02-14T19:04:29"/>
        <d v="2026-03-26T19:20:34"/>
        <d v="2026-03-24T10:46:49"/>
        <d v="2025-12-26T03:34:29"/>
        <d v="2026-02-12T11:12:34"/>
        <d v="2025-11-02T16:44:01"/>
        <d v="2025-07-17T01:32:21"/>
        <d v="2025-08-16T01:51:12"/>
        <d v="2026-03-15T18:07:51"/>
        <d v="2025-07-15T06:30:16"/>
        <d v="2026-04-17T22:24:38"/>
        <d v="2026-03-13T05:26:08"/>
        <d v="2025-07-16T11:29:48"/>
        <d v="2025-05-08T19:55:15"/>
        <d v="2025-10-20T08:55:30"/>
        <d v="2026-03-20T14:26:00"/>
        <d v="2025-09-17T12:00:30"/>
        <d v="2025-06-04T22:28:36"/>
        <d v="2025-08-16T10:49:56"/>
        <d v="2025-10-01T07:50:45"/>
        <d v="2025-05-18T03:34:38"/>
        <d v="2026-01-14T06:12:14"/>
        <d v="2025-07-16T23:42:40"/>
        <d v="2026-04-20T02:20:17"/>
        <d v="2025-05-06T01:54:14"/>
        <d v="2025-07-06T01:13:26"/>
        <d v="2026-02-18T08:09:48"/>
        <d v="2025-10-20T00:15:31"/>
        <d v="2026-01-03T05:19:53"/>
        <d v="2025-07-06T20:40:45"/>
        <d v="2025-09-08T03:00:00"/>
        <d v="2026-03-20T05:52:08"/>
        <d v="2026-03-12T02:13:12"/>
        <d v="2025-07-22T12:20:33"/>
        <d v="2025-12-12T13:39:23"/>
        <d v="2025-09-06T06:55:57"/>
        <d v="2025-12-01T23:56:41"/>
        <d v="2025-05-24T22:20:34"/>
        <d v="2026-04-20T03:41:20"/>
        <d v="2025-05-08T21:31:52"/>
        <d v="2025-12-18T18:31:28"/>
        <d v="2025-07-25T18:18:07"/>
        <d v="2026-01-18T23:03:34"/>
        <d v="2025-12-25T22:14:26"/>
        <d v="2025-08-25T13:11:29"/>
        <d v="2025-06-23T21:37:32"/>
        <d v="2025-08-09T14:00:22"/>
        <d v="2025-06-14T12:08:32"/>
        <d v="2025-10-20T22:05:52"/>
        <d v="2026-03-25T13:54:04"/>
        <d v="2025-12-31T15:50:15"/>
        <d v="2025-09-24T23:13:29"/>
        <d v="2026-03-15T00:36:14"/>
        <d v="2026-01-22T09:15:19"/>
        <d v="2025-09-09T14:08:37"/>
        <d v="2025-08-26T04:20:36"/>
        <d v="2025-05-20T21:30:27"/>
        <d v="2025-11-22T02:27:17"/>
        <d v="2026-03-11T04:52:03"/>
        <d v="2025-07-13T23:27:45"/>
        <d v="2025-11-04T11:44:20"/>
        <d v="2026-01-01T14:05:21"/>
        <d v="2025-05-24T18:50:45"/>
        <d v="2025-11-22T23:58:07"/>
        <d v="2025-07-20T00:57:30"/>
        <d v="2025-08-11T06:32:59"/>
        <d v="2025-10-19T00:40:50"/>
        <d v="2026-02-02T02:40:43"/>
        <d v="2025-05-17T14:56:02"/>
        <d v="2025-08-11T16:12:02"/>
        <d v="2025-06-09T14:59:15"/>
        <d v="2025-05-13T16:36:55"/>
        <d v="2025-08-09T08:57:20"/>
        <d v="2025-07-01T11:58:56"/>
        <d v="2025-09-12T14:21:51"/>
        <d v="2025-08-11T17:05:53"/>
        <d v="2026-01-16T12:05:24"/>
        <d v="2025-08-29T08:48:54"/>
        <d v="2025-10-11T00:22:42"/>
        <d v="2026-04-06T12:40:54"/>
        <d v="2025-06-23T23:35:44"/>
        <d v="2026-01-01T11:15:22"/>
        <d v="2025-11-01T17:45:57"/>
        <d v="2026-01-29T13:07:36"/>
        <d v="2026-02-01T11:05:46"/>
        <d v="2025-08-02T23:05:42"/>
        <d v="2026-04-03T00:33:06"/>
        <d v="2025-12-08T21:34:27"/>
        <d v="2025-10-13T22:40:59"/>
        <d v="2025-08-21T16:35:50"/>
        <d v="2025-08-23T03:37:43"/>
        <d v="2025-06-12T18:37:33"/>
        <d v="2026-04-11T22:49:24"/>
        <d v="2025-07-05T19:02:54"/>
        <d v="2026-04-17T08:56:46"/>
        <d v="2025-10-19T00:29:10"/>
        <d v="2025-12-30T03:43:29"/>
        <d v="2025-09-21T16:56:35"/>
        <d v="2025-05-22T03:49:17"/>
        <d v="2026-03-21T10:27:34"/>
        <d v="2026-02-22T00:09:32"/>
        <d v="2025-07-05T06:38:53"/>
        <d v="2026-04-28T12:01:35"/>
        <d v="2026-02-03T10:12:32"/>
        <d v="2026-03-18T05:05:47"/>
        <d v="2026-01-26T19:39:10"/>
        <d v="2025-12-16T05:06:46"/>
        <d v="2025-07-29T02:43:47"/>
        <d v="2025-11-21T16:20:13"/>
        <d v="2025-09-01T05:19:04"/>
        <d v="2025-10-25T01:33:29"/>
        <d v="2025-09-13T19:10:10"/>
        <d v="2025-10-06T07:50:54"/>
        <d v="2025-05-24T19:07:28"/>
        <d v="2026-03-30T00:48:20"/>
        <d v="2025-11-09T15:30:23"/>
        <d v="2026-03-11T01:03:56"/>
        <d v="2025-09-26T20:15:25"/>
        <d v="2025-08-05T17:19:55"/>
        <d v="2026-03-04T15:23:56"/>
        <d v="2026-02-21T04:59:02"/>
        <d v="2025-06-25T13:11:21"/>
        <d v="2026-03-15T11:08:06"/>
        <d v="2025-11-10T20:02:15"/>
        <d v="2026-01-06T06:22:22"/>
        <d v="2026-04-13T10:06:20"/>
        <d v="2025-05-10T23:47:59"/>
        <d v="2025-09-07T13:35:50"/>
        <d v="2025-05-21T10:33:34"/>
        <d v="2026-03-12T17:59:02"/>
        <d v="2025-09-27T05:56:44"/>
        <d v="2025-12-11T04:04:30"/>
        <d v="2026-04-22T23:38:42"/>
        <d v="2025-07-12T00:45:01"/>
        <d v="2026-02-20T13:43:31"/>
        <d v="2026-03-12T03:07:05"/>
        <d v="2026-02-03T23:46:32"/>
        <d v="2026-02-16T18:53:23"/>
        <d v="2025-06-18T13:18:35"/>
        <d v="2025-09-26T06:49:07"/>
        <d v="2026-03-15T20:51:17"/>
        <d v="2025-10-03T07:59:59"/>
        <d v="2026-03-28T21:18:09"/>
        <d v="2026-04-26T00:46:19"/>
        <d v="2026-02-15T23:50:33"/>
        <d v="2025-06-09T00:30:57"/>
        <d v="2025-09-13T01:46:57"/>
        <d v="2025-12-05T19:01:19"/>
        <d v="2025-05-29T22:31:56"/>
        <d v="2026-02-13T19:52:59"/>
        <d v="2025-07-10T23:50:12"/>
        <d v="2025-05-07T17:00:50"/>
        <d v="2026-03-31T09:44:30"/>
        <d v="2026-01-01T13:38:57"/>
        <d v="2026-04-10T14:10:41"/>
        <d v="2026-02-11T20:14:40"/>
        <d v="2026-04-27T21:36:56"/>
        <d v="2025-06-20T19:06:29"/>
        <d v="2026-04-25T03:38:07"/>
        <d v="2025-05-04T18:32:56"/>
        <d v="2026-04-28T21:00:23"/>
        <d v="2026-03-21T14:18:52"/>
        <d v="2026-02-04T07:43:18"/>
        <d v="2025-10-12T07:46:40"/>
        <d v="2026-04-07T22:09:13"/>
        <d v="2025-09-19T11:15:23"/>
        <d v="2025-06-06T10:10:56"/>
        <d v="2025-12-28T11:26:51"/>
        <d v="2025-07-21T01:03:36"/>
        <d v="2026-01-07T17:45:06"/>
        <d v="2026-04-05T00:34:58"/>
        <d v="2025-12-22T00:04:07"/>
        <d v="2025-11-24T13:51:25"/>
        <d v="2025-12-15T06:37:30"/>
        <d v="2026-03-22T10:37:00"/>
        <d v="2026-04-16T03:07:55"/>
        <d v="2026-04-26T09:53:36"/>
        <d v="2025-06-27T13:09:16"/>
        <d v="2025-08-05T11:06:44"/>
        <d v="2025-11-14T02:56:16"/>
        <d v="2025-06-03T14:52:14"/>
        <d v="2025-08-28T09:49:25"/>
        <d v="2026-02-06T11:41:21"/>
        <d v="2025-07-29T14:39:10"/>
        <d v="2025-05-07T16:54:15"/>
        <d v="2026-03-21T17:52:45"/>
        <d v="2026-03-29T06:30:31"/>
        <d v="2025-09-12T16:31:52"/>
        <d v="2025-06-18T18:49:52"/>
        <d v="2026-01-06T01:39:39"/>
        <d v="2026-01-30T08:44:50"/>
        <d v="2026-02-16T02:52:39"/>
        <d v="2025-05-11T23:36:05"/>
        <d v="2026-02-02T02:05:02"/>
        <d v="2025-09-30T16:01:52"/>
        <d v="2025-07-10T17:38:27"/>
        <d v="2025-08-10T03:26:51"/>
        <d v="2026-01-17T23:34:05"/>
        <d v="2025-06-14T15:43:06"/>
        <d v="2025-07-04T02:50:54"/>
        <d v="2026-01-20T19:15:01"/>
        <d v="2026-03-28T16:17:54"/>
        <d v="2025-06-13T22:10:26"/>
        <d v="2025-05-20T16:03:12"/>
        <d v="2025-10-15T03:57:48"/>
        <d v="2025-05-24T22:32:32"/>
        <d v="2025-07-26T21:51:38"/>
        <d v="2026-01-28T12:55:19"/>
        <d v="2025-10-04T08:28:54"/>
        <d v="2026-03-04T20:03:20"/>
        <d v="2025-12-08T23:03:31"/>
        <d v="2026-01-22T05:17:16"/>
        <d v="2025-05-19T03:39:02"/>
        <d v="2025-07-04T02:18:30"/>
        <d v="2025-10-30T15:12:14"/>
        <d v="2025-06-20T14:25:08"/>
        <d v="2025-09-11T12:35:31"/>
        <d v="2026-03-07T05:51:33"/>
        <d v="2026-02-07T06:49:35"/>
        <d v="2025-11-28T05:51:31"/>
        <d v="2026-04-11T17:17:22"/>
        <d v="2025-12-18T08:50:00"/>
        <d v="2025-09-07T06:32:10"/>
        <d v="2026-04-30T15:26:13"/>
        <d v="2026-03-08T14:55:03"/>
        <d v="2026-03-19T09:28:24"/>
        <d v="2025-10-01T06:21:07"/>
        <d v="2025-09-11T12:16:50"/>
        <d v="2026-02-27T09:57:58"/>
        <d v="2025-08-27T07:36:12"/>
        <d v="2026-04-15T17:17:40"/>
        <d v="2026-04-27T18:02:31"/>
        <d v="2025-07-19T10:39:12"/>
        <d v="2025-05-27T23:23:10"/>
        <d v="2026-04-11T17:42:14"/>
        <d v="2025-11-12T20:45:36"/>
        <d v="2025-09-08T05:27:22"/>
        <d v="2025-05-31T01:08:17"/>
        <d v="2025-10-16T00:50:07"/>
        <d v="2025-10-17T09:54:25"/>
        <d v="2026-04-20T04:45:24"/>
        <d v="2025-11-27T22:10:27"/>
        <d v="2025-10-29T20:10:00"/>
        <d v="2025-10-03T20:12:21"/>
        <d v="2025-08-15T05:40:00"/>
        <d v="2025-08-18T00:21:16"/>
        <d v="2025-05-23T15:53:08"/>
        <d v="2025-11-22T03:12:39"/>
        <d v="2026-02-09T06:38:55"/>
        <d v="2026-01-04T15:57:25"/>
        <d v="2025-07-15T20:15:01"/>
        <d v="2025-06-03T17:58:54"/>
        <d v="2025-08-25T20:33:52"/>
        <d v="2026-01-04T20:48:53"/>
        <d v="2025-11-28T13:16:14"/>
        <d v="2026-04-01T11:43:31"/>
        <d v="2025-05-23T03:28:58"/>
        <d v="2026-01-05T07:02:07"/>
        <d v="2025-05-12T03:25:14"/>
        <d v="2025-09-29T18:36:33"/>
        <d v="2026-02-18T06:55:33"/>
        <d v="2025-08-09T10:08:13"/>
        <d v="2026-03-04T06:05:40"/>
        <d v="2025-06-23T19:18:21"/>
        <d v="2026-03-31T09:06:54"/>
        <d v="2025-12-24T10:17:50"/>
        <d v="2025-06-18T02:44:23"/>
        <d v="2026-02-07T05:36:18"/>
        <d v="2026-01-05T14:16:36"/>
        <d v="2025-12-23T23:02:33"/>
        <d v="2025-10-05T13:54:11"/>
        <d v="2025-05-19T21:18:32"/>
        <d v="2026-03-26T11:29:36"/>
        <d v="2025-08-30T04:58:29"/>
        <d v="2025-10-05T15:49:16"/>
        <d v="2025-11-22T07:38:03"/>
        <d v="2026-03-29T21:10:36"/>
        <d v="2025-12-06T09:13:30"/>
        <d v="2026-04-03T21:27:37"/>
        <d v="2026-03-23T13:50:30"/>
        <d v="2026-01-29T03:30:32"/>
        <d v="2026-02-28T20:25:49"/>
        <d v="2025-12-17T01:10:25"/>
        <d v="2025-05-20T07:40:16"/>
        <d v="2026-02-03T00:45:52"/>
        <d v="2025-08-28T10:46:54"/>
        <d v="2025-07-25T18:34:41"/>
        <d v="2025-07-28T18:31:24"/>
        <d v="2026-01-14T22:40:26"/>
        <d v="2025-11-07T10:37:43"/>
        <d v="2026-03-21T23:26:24"/>
        <d v="2025-07-03T21:39:32"/>
        <d v="2025-10-08T14:32:48"/>
        <d v="2025-09-23T04:41:57"/>
        <d v="2025-10-10T08:17:18"/>
        <d v="2025-09-23T11:50:01"/>
        <d v="2025-07-31T00:05:05"/>
        <d v="2025-09-03T02:46:48"/>
        <d v="2026-01-03T17:38:29"/>
        <d v="2026-04-25T23:41:45"/>
        <d v="2025-10-11T13:31:56"/>
        <d v="2026-02-08T07:27:01"/>
        <d v="2025-08-15T16:26:04"/>
        <d v="2026-01-10T09:56:49"/>
        <d v="2025-11-15T02:15:29"/>
        <d v="2026-02-03T22:05:56"/>
        <d v="2025-11-27T20:01:03"/>
        <d v="2025-12-25T20:36:41"/>
        <d v="2026-04-29T02:03:56"/>
        <d v="2026-02-05T08:33:33"/>
        <d v="2026-02-10T16:43:39"/>
        <d v="2025-09-01T13:00:36"/>
        <d v="2025-05-15T03:59:11"/>
        <d v="2026-04-28T21:01:47"/>
        <d v="2025-10-29T17:58:50"/>
        <d v="2025-12-22T02:37:14"/>
        <d v="2025-12-16T12:28:22"/>
        <d v="2026-04-01T03:07:12"/>
        <d v="2025-05-13T05:47:37"/>
        <d v="2025-09-08T03:51:15"/>
        <d v="2026-02-27T00:58:30"/>
        <d v="2025-12-01T12:31:58"/>
        <d v="2026-03-12T09:01:00"/>
        <d v="2025-07-07T20:59:07"/>
        <d v="2025-10-05T17:51:10"/>
        <d v="2025-12-01T15:05:24"/>
        <d v="2025-12-17T15:57:28"/>
        <d v="2025-09-07T13:03:02"/>
        <d v="2026-02-26T01:45:30"/>
        <d v="2025-08-16T06:10:33"/>
        <d v="2026-04-12T08:28:10"/>
        <d v="2026-01-16T01:47:22"/>
        <d v="2025-08-11T21:00:45"/>
        <d v="2025-11-12T23:45:26"/>
        <d v="2025-08-03T05:06:31"/>
        <d v="2026-03-16T09:00:45"/>
        <d v="2025-06-08T00:40:47"/>
        <d v="2025-08-11T21:00:21"/>
        <d v="2026-04-24T15:47:47"/>
        <d v="2025-09-27T03:18:11"/>
        <d v="2025-10-17T06:57:14"/>
        <d v="2025-09-25T23:26:57"/>
        <d v="2025-12-29T19:41:21"/>
        <d v="2026-01-29T02:28:07"/>
        <d v="2025-08-16T18:24:07"/>
        <d v="2026-04-05T08:16:06"/>
        <d v="2025-09-26T02:49:37"/>
        <d v="2025-11-02T20:02:04"/>
        <d v="2025-05-02T06:03:01"/>
        <d v="2025-10-20T06:46:32"/>
        <d v="2025-08-07T01:44:31"/>
        <d v="2025-06-06T00:21:13"/>
        <d v="2025-05-28T03:38:58"/>
        <d v="2025-11-23T21:24:59"/>
        <d v="2025-12-16T21:06:51"/>
        <d v="2026-03-28T05:39:25"/>
        <d v="2025-06-06T17:36:37"/>
        <d v="2025-05-02T03:19:47"/>
        <d v="2026-02-15T12:07:19"/>
        <d v="2026-01-18T22:23:30"/>
        <d v="2025-05-05T12:46:03"/>
        <d v="2025-12-29T21:12:25"/>
        <d v="2025-12-22T18:06:45"/>
        <d v="2026-01-01T07:36:53"/>
        <d v="2026-04-28T06:17:55"/>
        <d v="2025-10-28T03:28:43"/>
        <d v="2025-08-17T20:36:39"/>
        <d v="2025-09-15T04:01:53"/>
        <d v="2025-06-27T05:15:24"/>
        <d v="2025-05-27T06:14:55"/>
        <d v="2025-11-18T21:01:21"/>
        <d v="2026-01-23T19:22:07"/>
        <d v="2025-08-21T06:08:37"/>
        <d v="2026-03-03T18:20:41"/>
        <d v="2025-09-02T19:03:21"/>
        <d v="2025-11-20T07:04:44"/>
        <d v="2025-11-04T21:34:26"/>
        <d v="2026-02-14T14:08:42"/>
        <d v="2026-03-29T21:39:00"/>
        <d v="2025-12-27T16:45:16"/>
        <d v="2026-03-06T21:19:41"/>
        <d v="2025-06-24T13:45:17"/>
        <d v="2026-01-15T10:44:45"/>
        <d v="2025-08-25T01:02:32"/>
        <d v="2025-11-15T20:17:10"/>
        <d v="2026-04-29T16:59:02"/>
        <d v="2025-07-02T01:45:45"/>
        <d v="2025-06-05T09:44:30"/>
        <d v="2026-01-10T20:53:46"/>
        <d v="2025-12-29T18:17:30"/>
        <d v="2025-11-16T19:31:31"/>
        <d v="2025-10-28T18:39:14"/>
        <d v="2025-05-08T18:32:44"/>
        <d v="2025-06-21T18:01:18"/>
        <d v="2025-07-18T12:44:38"/>
        <d v="2026-01-21T10:20:50"/>
        <d v="2026-04-17T08:35:52"/>
        <d v="2025-09-02T20:03:56"/>
        <d v="2026-03-07T10:36:39"/>
        <d v="2025-09-17T13:06:40"/>
        <d v="2025-05-08T13:43:44"/>
        <d v="2025-06-12T22:28:54"/>
        <d v="2025-08-09T12:41:14"/>
        <d v="2026-04-26T08:01:20"/>
        <d v="2025-06-29T10:48:48"/>
        <d v="2026-04-09T23:22:59"/>
        <d v="2025-09-20T17:51:11"/>
        <d v="2025-11-23T03:38:19"/>
        <d v="2025-05-06T05:38:35"/>
        <d v="2026-03-22T01:02:44"/>
        <d v="2025-08-29T13:07:11"/>
        <d v="2025-11-25T04:10:05"/>
        <d v="2026-04-08T14:54:32"/>
        <d v="2025-11-07T14:30:22"/>
        <d v="2026-03-16T05:34:34"/>
        <d v="2026-03-19T09:25:14"/>
        <d v="2026-04-24T15:17:15"/>
        <d v="2025-07-03T04:45:28"/>
        <d v="2025-05-15T01:24:21"/>
        <d v="2026-04-13T15:54:59"/>
        <d v="2025-09-19T05:34:52"/>
        <d v="2025-10-28T04:42:39"/>
        <d v="2026-02-01T18:14:31"/>
        <d v="2025-11-17T16:25:37"/>
        <d v="2025-11-21T10:08:25"/>
        <d v="2025-06-01T06:03:56"/>
        <d v="2025-05-07T23:43:47"/>
        <d v="2026-04-09T13:36:59"/>
        <d v="2025-06-22T13:17:55"/>
        <d v="2026-02-25T09:47:06"/>
        <d v="2025-11-28T08:58:16"/>
        <d v="2026-01-09T06:24:11"/>
        <d v="2025-12-13T02:06:17"/>
        <d v="2025-05-17T23:13:25"/>
        <d v="2025-10-15T16:38:08"/>
        <d v="2025-11-15T07:43:00"/>
        <d v="2025-11-12T12:02:39"/>
        <d v="2025-05-24T09:13:23"/>
        <d v="2025-06-17T20:50:49"/>
        <d v="2025-12-04T19:04:24"/>
        <d v="2026-04-11T20:15:40"/>
        <d v="2026-01-31T01:42:45"/>
        <d v="2025-12-21T10:19:07"/>
        <d v="2026-03-10T19:12:10"/>
        <d v="2026-02-28T22:42:07"/>
        <d v="2026-03-27T01:57:07"/>
        <d v="2025-09-11T22:09:20"/>
        <d v="2025-10-29T05:17:46"/>
        <d v="2026-03-22T03:08:43"/>
        <d v="2025-12-22T02:58:30"/>
        <d v="2025-10-05T05:32:39"/>
        <d v="2025-10-21T10:47:50"/>
        <d v="2025-11-21T13:29:25"/>
        <d v="2025-08-14T22:06:01"/>
        <d v="2025-06-07T18:53:30"/>
        <d v="2025-12-23T14:29:43"/>
        <d v="2025-08-26T13:00:27"/>
        <d v="2025-09-30T16:30:04"/>
        <d v="2025-08-22T01:23:28"/>
        <d v="2025-10-06T07:40:37"/>
        <d v="2026-04-10T16:52:30"/>
        <d v="2025-12-01T23:47:20"/>
        <d v="2026-03-12T00:20:28"/>
        <d v="2026-04-30T12:49:55"/>
        <d v="2025-09-10T05:23:27"/>
        <d v="2026-04-17T07:41:23"/>
        <d v="2025-10-06T09:33:23"/>
        <d v="2025-11-20T17:23:32"/>
        <d v="2025-12-06T16:30:37"/>
        <d v="2025-11-03T11:30:32"/>
        <d v="2025-09-14T09:40:01"/>
        <d v="2025-06-28T05:01:53"/>
        <d v="2025-10-22T12:39:07"/>
        <d v="2026-01-08T03:32:46"/>
        <d v="2025-07-15T10:06:27"/>
        <d v="2026-01-24T19:29:22"/>
        <d v="2026-03-17T19:12:04"/>
        <d v="2026-03-11T22:52:11"/>
        <d v="2025-09-26T23:02:23"/>
        <d v="2026-01-27T11:58:20"/>
        <d v="2025-11-04T07:13:10"/>
        <d v="2025-09-15T00:47:04"/>
        <d v="2025-05-09T13:25:17"/>
        <d v="2026-01-19T19:39:49"/>
        <d v="2025-09-24T18:28:11"/>
        <d v="2025-05-19T03:29:21"/>
        <d v="2025-05-29T15:35:36"/>
        <d v="2026-04-30T08:47:02"/>
        <d v="2025-10-28T08:24:21"/>
        <d v="2026-01-09T08:35:02"/>
        <d v="2025-12-21T23:13:55"/>
        <d v="2025-09-22T10:07:24"/>
        <d v="2025-05-30T03:52:07"/>
        <d v="2025-10-06T07:38:52"/>
        <d v="2025-11-30T08:59:33"/>
        <d v="2026-04-26T11:47:39"/>
        <d v="2025-08-18T16:21:05"/>
        <d v="2025-05-04T22:11:17"/>
        <d v="2025-06-07T02:05:59"/>
        <d v="2025-10-18T05:57:41"/>
        <d v="2026-03-25T07:51:03"/>
        <d v="2026-03-15T21:54:08"/>
        <d v="2025-11-30T02:30:13"/>
        <d v="2025-08-12T08:57:52"/>
        <d v="2025-11-05T08:09:26"/>
        <d v="2025-11-30T13:42:43"/>
        <d v="2025-10-01T11:27:32"/>
        <d v="2026-02-20T14:49:46"/>
        <d v="2025-05-08T02:44:28"/>
        <d v="2026-03-14T21:14:05"/>
        <d v="2025-06-03T09:40:23"/>
        <d v="2026-01-01T20:13:39"/>
        <d v="2025-11-04T02:40:22"/>
        <d v="2026-04-04T15:18:30"/>
        <d v="2026-04-10T10:51:06"/>
        <d v="2025-06-12T07:14:33"/>
        <d v="2025-09-06T12:47:12"/>
        <d v="2026-01-22T22:06:49"/>
        <d v="2025-07-08T01:31:40"/>
        <d v="2025-05-03T10:07:01"/>
        <d v="2025-10-25T20:48:48"/>
        <d v="2025-08-09T00:49:11"/>
        <d v="2025-08-12T03:29:46"/>
        <d v="2025-06-12T06:42:26"/>
        <d v="2026-04-06T19:21:27"/>
        <d v="2025-08-08T00:21:27"/>
        <d v="2025-10-05T20:05:49"/>
        <d v="2025-06-09T14:44:36"/>
        <d v="2026-02-27T16:56:28"/>
        <d v="2025-10-19T02:02:31"/>
        <d v="2025-08-15T08:27:48"/>
        <d v="2025-08-19T00:15:26"/>
        <d v="2026-02-22T08:42:03"/>
        <d v="2026-04-21T10:09:02"/>
        <d v="2026-02-07T23:05:06"/>
        <d v="2025-10-24T18:23:09"/>
        <d v="2026-01-31T07:31:55"/>
        <d v="2026-03-15T06:18:20"/>
        <d v="2026-02-18T11:12:57"/>
        <d v="2026-01-20T08:30:43"/>
        <d v="2026-03-07T16:57:32"/>
        <d v="2026-01-01T04:37:27"/>
        <d v="2025-09-15T10:52:02"/>
        <d v="2026-03-09T15:36:05"/>
        <d v="2025-11-12T14:57:19"/>
        <d v="2025-11-10T20:48:37"/>
        <d v="2025-10-10T18:51:06"/>
        <d v="2026-04-19T00:20:42"/>
        <d v="2026-02-18T13:55:37"/>
        <d v="2026-04-23T09:36:14"/>
        <d v="2025-07-28T22:40:09"/>
        <d v="2025-10-10T19:49:30"/>
        <d v="2026-01-14T04:08:51"/>
        <d v="2025-09-23T08:48:50"/>
        <d v="2025-11-04T06:18:37"/>
        <d v="2025-11-01T21:17:32"/>
        <d v="2025-05-08T22:25:07"/>
        <d v="2025-10-30T10:57:31"/>
        <d v="2026-03-31T02:17:08"/>
        <d v="2026-03-25T07:21:24"/>
        <d v="2025-10-08T15:40:24"/>
        <d v="2025-09-14T16:33:01"/>
        <d v="2025-05-05T20:13:57"/>
        <d v="2026-03-10T12:20:04"/>
        <d v="2025-05-19T19:39:47"/>
        <d v="2025-06-12T08:48:56"/>
        <d v="2025-10-09T12:34:30"/>
        <d v="2026-02-25T12:47:55"/>
        <d v="2025-06-27T21:05:23"/>
        <d v="2025-05-10T07:14:24"/>
        <d v="2026-03-30T23:51:19"/>
        <d v="2025-05-02T01:54:04"/>
        <d v="2025-11-27T17:53:21"/>
        <d v="2026-02-03T11:24:58"/>
        <d v="2025-09-10T11:12:16"/>
        <d v="2025-09-12T15:15:41"/>
        <d v="2026-01-05T05:27:51"/>
        <d v="2025-11-17T00:55:00"/>
        <d v="2025-08-14T08:37:30"/>
        <d v="2025-08-12T23:54:41"/>
        <d v="2025-11-18T15:18:08"/>
        <d v="2025-06-07T09:23:52"/>
        <d v="2025-05-29T10:32:46"/>
        <d v="2025-05-01T14:15:31"/>
        <d v="2026-03-21T05:36:27"/>
        <d v="2026-04-27T19:28:59"/>
        <d v="2025-10-27T13:36:03"/>
        <d v="2025-12-22T17:56:12"/>
        <d v="2025-10-28T04:34:23"/>
        <d v="2025-10-16T02:31:53"/>
        <d v="2025-12-20T04:33:57"/>
        <d v="2026-04-15T08:16:30"/>
        <d v="2026-04-15T14:23:21"/>
        <d v="2026-03-03T10:21:04"/>
        <d v="2025-12-24T02:18:04"/>
        <d v="2025-08-31T08:51:52"/>
        <d v="2025-05-29T08:45:35"/>
        <d v="2025-06-10T22:54:25"/>
        <d v="2026-03-26T20:53:49"/>
        <d v="2026-03-14T11:16:26"/>
        <d v="2025-05-11T21:06:53"/>
        <d v="2026-04-28T01:08:21"/>
        <d v="2025-11-21T01:17:40"/>
        <d v="2025-07-30T16:42:49"/>
        <d v="2025-09-27T18:39:14"/>
        <d v="2025-12-14T04:18:53"/>
        <d v="2025-06-12T13:58:35"/>
        <d v="2026-02-26T22:32:40"/>
        <d v="2025-11-26T19:18:07"/>
        <d v="2026-04-03T21:21:26"/>
        <d v="2026-02-07T19:54:56"/>
        <d v="2026-03-11T19:09:07"/>
        <d v="2026-02-25T04:46:04"/>
        <d v="2026-01-05T05:39:38"/>
        <d v="2026-01-11T21:06:37"/>
        <d v="2026-04-10T02:21:59"/>
        <d v="2025-11-29T22:02:56"/>
        <d v="2025-08-12T22:01:36"/>
        <d v="2025-12-26T04:19:07"/>
        <d v="2025-12-23T05:20:57"/>
        <d v="2025-10-22T22:13:52"/>
        <d v="2025-05-22T00:20:29"/>
        <d v="2026-02-05T06:34:05"/>
        <d v="2025-10-11T10:29:10"/>
        <d v="2026-04-26T22:04:44"/>
        <d v="2025-09-19T08:24:50"/>
        <d v="2025-08-08T19:19:01"/>
        <d v="2026-03-04T19:43:31"/>
        <d v="2025-08-16T13:28:50"/>
        <d v="2025-10-28T00:13:41"/>
        <d v="2025-11-15T06:28:41"/>
        <d v="2026-04-25T09:36:38"/>
        <d v="2025-09-14T21:52:39"/>
        <d v="2026-04-21T00:51:19"/>
        <d v="2025-08-25T12:15:23"/>
        <d v="2026-02-21T03:52:45"/>
        <d v="2025-07-04T18:23:23"/>
        <d v="2026-04-29T14:04:36"/>
        <d v="2026-03-09T02:42:01"/>
        <d v="2025-06-22T08:08:14"/>
        <d v="2026-01-24T21:22:00"/>
        <d v="2026-03-12T23:02:15"/>
        <d v="2025-05-09T00:32:00"/>
        <d v="2025-05-01T14:33:35"/>
        <d v="2025-10-22T09:36:45"/>
        <d v="2026-04-29T23:05:14"/>
        <d v="2025-10-14T23:34:33"/>
        <d v="2025-10-12T19:06:11"/>
        <d v="2025-08-03T17:57:29"/>
        <d v="2026-03-20T22:24:55"/>
        <d v="2026-01-04T20:24:38"/>
        <d v="2025-06-27T11:28:07"/>
        <d v="2025-06-22T04:43:12"/>
        <d v="2025-06-10T14:06:18"/>
        <d v="2025-07-21T20:54:18"/>
        <d v="2025-10-03T07:01:42"/>
        <d v="2025-09-19T00:18:47"/>
        <d v="2026-03-17T10:20:49"/>
        <d v="2025-07-22T21:23:37"/>
        <d v="2025-11-19T22:41:24"/>
        <d v="2025-10-30T02:02:12"/>
        <d v="2025-09-20T20:58:43"/>
        <d v="2026-04-28T13:15:53"/>
        <d v="2025-12-03T14:30:50"/>
        <d v="2025-09-06T07:08:13"/>
        <d v="2025-09-18T03:45:32"/>
        <d v="2025-05-10T10:45:04"/>
        <d v="2026-02-08T15:44:33"/>
        <d v="2025-12-25T00:42:27"/>
        <d v="2025-09-17T03:08:00"/>
        <d v="2025-08-15T18:39:33"/>
        <d v="2025-05-11T18:12:06"/>
        <d v="2025-07-14T11:43:40"/>
        <d v="2026-03-05T03:14:54"/>
        <d v="2026-03-08T13:07:51"/>
        <d v="2025-06-10T00:45:05"/>
        <d v="2026-01-16T02:55:23"/>
        <d v="2025-11-25T20:55:15"/>
        <d v="2025-10-28T18:46:52"/>
      </sharedItems>
      <fieldGroup base="1">
        <rangePr groupBy="months" startDate="2025-04-30T20:23:10" endDate="2026-04-30T18:21:09"/>
        <groupItems count="14">
          <s v="&lt;30/04/2025"/>
          <s v="Jan"/>
          <s v="Feb"/>
          <s v="Mar"/>
          <s v="Apr"/>
          <s v="May"/>
          <s v="Jun"/>
          <s v="Jul"/>
          <s v="Aug"/>
          <s v="Sep"/>
          <s v="Oct"/>
          <s v="Nov"/>
          <s v="Dec"/>
          <s v="&gt;30/04/2026"/>
        </groupItems>
      </fieldGroup>
    </cacheField>
    <cacheField name="Location" numFmtId="0">
      <sharedItems count="8">
        <s v="Sylhet"/>
        <s v="Rajshahi"/>
        <s v="Khulna"/>
        <s v="Dhaka"/>
        <s v="Rangpur"/>
        <s v="Cumilla"/>
        <s v="Chittagong"/>
        <s v="Barisal"/>
      </sharedItems>
    </cacheField>
    <cacheField name="Type" numFmtId="0">
      <sharedItems count="5">
        <s v="Cash Out"/>
        <s v="Send Money"/>
        <s v="Mobile Recharge"/>
        <s v="Cash In"/>
        <s v="Payment"/>
      </sharedItems>
    </cacheField>
    <cacheField name="Amount" numFmtId="0">
      <sharedItems containsSemiMixedTypes="0" containsString="0" containsNumber="1" containsInteger="1" minValue="18" maxValue="249500"/>
    </cacheField>
    <cacheField name="Sender_Type" numFmtId="0">
      <sharedItems count="3">
        <s v="Personal"/>
        <s v="Agent"/>
        <s v="Merchant"/>
      </sharedItems>
    </cacheField>
    <cacheField name="Customer_Tenure" numFmtId="0">
      <sharedItems count="10">
        <s v="3 Years"/>
        <s v="8 Years"/>
        <s v="9 Years"/>
        <s v="7 Years"/>
        <s v="2 Years"/>
        <s v="1 Years"/>
        <s v="6 Years"/>
        <s v="4 Years"/>
        <s v="5 Years"/>
        <s v="10 Years" u="1"/>
      </sharedItems>
    </cacheField>
    <cacheField name="Merchant_Category" numFmtId="0">
      <sharedItems count="6">
        <s v="Not Merchant"/>
        <s v="Grocery"/>
        <s v="Pharmacy"/>
        <s v="Restaurant"/>
        <s v="Retail"/>
        <s v="Electronics"/>
      </sharedItems>
    </cacheField>
    <cacheField name="Service_Charge" numFmtId="0">
      <sharedItems containsSemiMixedTypes="0" containsString="0" containsNumber="1" minValue="0" maxValue="4615.75"/>
    </cacheField>
    <cacheField name="Commission_Earned" numFmtId="0">
      <sharedItems containsSemiMixedTypes="0" containsString="0" containsNumber="1" minValue="0" maxValue="1846.3"/>
    </cacheField>
    <cacheField name="Net_Revenue" numFmtId="0">
      <sharedItems containsSemiMixedTypes="0" containsString="0" containsNumber="1" minValue="0" maxValue="2769.45"/>
    </cacheField>
    <cacheField name="Success_Status" numFmtId="0">
      <sharedItems/>
    </cacheField>
  </cacheFields>
  <extLst>
    <ext xmlns:x14="http://schemas.microsoft.com/office/spreadsheetml/2009/9/main" uri="{725AE2AE-9491-48be-B2B4-4EB974FC3084}">
      <x14:pivotCacheDefinition pivotCacheId="1645861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81986035"/>
    <x v="0"/>
    <x v="0"/>
    <x v="0"/>
    <n v="127500"/>
    <x v="0"/>
    <x v="0"/>
    <x v="0"/>
    <n v="2358.75"/>
    <n v="943.5"/>
    <n v="1415.25"/>
    <s v="Success"/>
  </r>
  <r>
    <s v="TXN73400611"/>
    <x v="1"/>
    <x v="1"/>
    <x v="1"/>
    <n v="84557"/>
    <x v="0"/>
    <x v="1"/>
    <x v="0"/>
    <n v="5"/>
    <n v="0"/>
    <n v="5"/>
    <s v="Success"/>
  </r>
  <r>
    <s v="TXN39691083"/>
    <x v="2"/>
    <x v="2"/>
    <x v="2"/>
    <n v="2864"/>
    <x v="0"/>
    <x v="2"/>
    <x v="0"/>
    <n v="0"/>
    <n v="0"/>
    <n v="0"/>
    <s v="Success"/>
  </r>
  <r>
    <s v="TXN79641754"/>
    <x v="3"/>
    <x v="3"/>
    <x v="0"/>
    <n v="153000"/>
    <x v="0"/>
    <x v="3"/>
    <x v="0"/>
    <n v="2830.5"/>
    <n v="1132.2"/>
    <n v="1698.3"/>
    <s v="Success"/>
  </r>
  <r>
    <s v="TXN67625497"/>
    <x v="4"/>
    <x v="4"/>
    <x v="1"/>
    <n v="20881"/>
    <x v="0"/>
    <x v="4"/>
    <x v="0"/>
    <n v="5"/>
    <n v="0"/>
    <n v="5"/>
    <s v="Success"/>
  </r>
  <r>
    <s v="TXN11180587"/>
    <x v="5"/>
    <x v="5"/>
    <x v="3"/>
    <n v="32978"/>
    <x v="0"/>
    <x v="5"/>
    <x v="0"/>
    <n v="0"/>
    <n v="0"/>
    <n v="0"/>
    <s v="Success"/>
  </r>
  <r>
    <s v="TXN19423194"/>
    <x v="6"/>
    <x v="2"/>
    <x v="3"/>
    <n v="77015"/>
    <x v="0"/>
    <x v="3"/>
    <x v="0"/>
    <n v="0"/>
    <n v="0"/>
    <n v="0"/>
    <s v="Success"/>
  </r>
  <r>
    <s v="TXN86019141"/>
    <x v="7"/>
    <x v="2"/>
    <x v="0"/>
    <n v="134500"/>
    <x v="0"/>
    <x v="5"/>
    <x v="0"/>
    <n v="2488.25"/>
    <n v="995.3"/>
    <n v="1492.95"/>
    <s v="Success"/>
  </r>
  <r>
    <s v="TXN35574286"/>
    <x v="8"/>
    <x v="2"/>
    <x v="0"/>
    <n v="220500"/>
    <x v="0"/>
    <x v="0"/>
    <x v="0"/>
    <n v="4079.25"/>
    <n v="1631.7"/>
    <n v="2447.5500000000002"/>
    <s v="Success"/>
  </r>
  <r>
    <s v="TXN70293845"/>
    <x v="9"/>
    <x v="6"/>
    <x v="3"/>
    <n v="135485"/>
    <x v="0"/>
    <x v="4"/>
    <x v="0"/>
    <n v="0"/>
    <n v="0"/>
    <n v="0"/>
    <s v="Success"/>
  </r>
  <r>
    <s v="TXN55220292"/>
    <x v="10"/>
    <x v="7"/>
    <x v="3"/>
    <n v="124337"/>
    <x v="0"/>
    <x v="5"/>
    <x v="0"/>
    <n v="0"/>
    <n v="0"/>
    <n v="0"/>
    <s v="Success"/>
  </r>
  <r>
    <s v="TXN94667344"/>
    <x v="11"/>
    <x v="2"/>
    <x v="2"/>
    <n v="4436"/>
    <x v="0"/>
    <x v="3"/>
    <x v="0"/>
    <n v="0"/>
    <n v="0"/>
    <n v="0"/>
    <s v="Success"/>
  </r>
  <r>
    <s v="TXN20774292"/>
    <x v="12"/>
    <x v="7"/>
    <x v="2"/>
    <n v="272"/>
    <x v="0"/>
    <x v="1"/>
    <x v="0"/>
    <n v="0"/>
    <n v="0"/>
    <n v="0"/>
    <s v="Success"/>
  </r>
  <r>
    <s v="TXN91714328"/>
    <x v="13"/>
    <x v="6"/>
    <x v="4"/>
    <n v="21273"/>
    <x v="0"/>
    <x v="0"/>
    <x v="1"/>
    <n v="212.73"/>
    <n v="0"/>
    <n v="212.73"/>
    <s v="Success"/>
  </r>
  <r>
    <s v="TXN35452007"/>
    <x v="14"/>
    <x v="1"/>
    <x v="3"/>
    <n v="51837"/>
    <x v="0"/>
    <x v="4"/>
    <x v="0"/>
    <n v="0"/>
    <n v="0"/>
    <n v="0"/>
    <s v="Success"/>
  </r>
  <r>
    <s v="TXN39871502"/>
    <x v="15"/>
    <x v="5"/>
    <x v="1"/>
    <n v="37773"/>
    <x v="0"/>
    <x v="5"/>
    <x v="0"/>
    <n v="5"/>
    <n v="0"/>
    <n v="5"/>
    <s v="Success"/>
  </r>
  <r>
    <s v="TXN96505031"/>
    <x v="16"/>
    <x v="1"/>
    <x v="0"/>
    <n v="245000"/>
    <x v="1"/>
    <x v="6"/>
    <x v="0"/>
    <n v="4532.5"/>
    <n v="1813"/>
    <n v="2719.5"/>
    <s v="Success"/>
  </r>
  <r>
    <s v="TXN23098493"/>
    <x v="17"/>
    <x v="7"/>
    <x v="2"/>
    <n v="2802"/>
    <x v="0"/>
    <x v="6"/>
    <x v="0"/>
    <n v="0"/>
    <n v="0"/>
    <n v="0"/>
    <s v="Success"/>
  </r>
  <r>
    <s v="TXN92852340"/>
    <x v="18"/>
    <x v="4"/>
    <x v="2"/>
    <n v="4218"/>
    <x v="0"/>
    <x v="5"/>
    <x v="0"/>
    <n v="0"/>
    <n v="0"/>
    <n v="0"/>
    <s v="Success"/>
  </r>
  <r>
    <s v="TXN35518276"/>
    <x v="19"/>
    <x v="1"/>
    <x v="0"/>
    <n v="192500"/>
    <x v="1"/>
    <x v="5"/>
    <x v="0"/>
    <n v="3561.25"/>
    <n v="1424.5"/>
    <n v="2136.75"/>
    <s v="Success"/>
  </r>
  <r>
    <s v="TXN60689296"/>
    <x v="20"/>
    <x v="4"/>
    <x v="4"/>
    <n v="63265"/>
    <x v="0"/>
    <x v="4"/>
    <x v="2"/>
    <n v="632.65"/>
    <n v="0"/>
    <n v="632.65"/>
    <s v="Success"/>
  </r>
  <r>
    <s v="TXN93101116"/>
    <x v="21"/>
    <x v="1"/>
    <x v="4"/>
    <n v="26099"/>
    <x v="0"/>
    <x v="7"/>
    <x v="3"/>
    <n v="260.99"/>
    <n v="0"/>
    <n v="260.99"/>
    <s v="Success"/>
  </r>
  <r>
    <s v="TXN19627075"/>
    <x v="22"/>
    <x v="0"/>
    <x v="0"/>
    <n v="57500"/>
    <x v="0"/>
    <x v="2"/>
    <x v="0"/>
    <n v="1063.75"/>
    <n v="425.5"/>
    <n v="638.25"/>
    <s v="Success"/>
  </r>
  <r>
    <s v="TXN30766905"/>
    <x v="23"/>
    <x v="4"/>
    <x v="2"/>
    <n v="2770"/>
    <x v="1"/>
    <x v="5"/>
    <x v="0"/>
    <n v="0"/>
    <n v="0"/>
    <n v="0"/>
    <s v="Success"/>
  </r>
  <r>
    <s v="TXN48762645"/>
    <x v="24"/>
    <x v="0"/>
    <x v="3"/>
    <n v="58174"/>
    <x v="0"/>
    <x v="5"/>
    <x v="0"/>
    <n v="0"/>
    <n v="0"/>
    <n v="0"/>
    <s v="Success"/>
  </r>
  <r>
    <s v="TXN98688847"/>
    <x v="25"/>
    <x v="3"/>
    <x v="2"/>
    <n v="1991"/>
    <x v="0"/>
    <x v="4"/>
    <x v="0"/>
    <n v="0"/>
    <n v="0"/>
    <n v="0"/>
    <s v="Success"/>
  </r>
  <r>
    <s v="TXN86524341"/>
    <x v="26"/>
    <x v="1"/>
    <x v="3"/>
    <n v="73602"/>
    <x v="0"/>
    <x v="3"/>
    <x v="0"/>
    <n v="0"/>
    <n v="0"/>
    <n v="0"/>
    <s v="Failed"/>
  </r>
  <r>
    <s v="TXN51028459"/>
    <x v="27"/>
    <x v="4"/>
    <x v="1"/>
    <n v="78449"/>
    <x v="0"/>
    <x v="5"/>
    <x v="0"/>
    <n v="5"/>
    <n v="0"/>
    <n v="5"/>
    <s v="Success"/>
  </r>
  <r>
    <s v="TXN22504354"/>
    <x v="28"/>
    <x v="6"/>
    <x v="2"/>
    <n v="3372"/>
    <x v="0"/>
    <x v="5"/>
    <x v="0"/>
    <n v="0"/>
    <n v="0"/>
    <n v="0"/>
    <s v="Success"/>
  </r>
  <r>
    <s v="TXN68292489"/>
    <x v="29"/>
    <x v="2"/>
    <x v="3"/>
    <n v="75778"/>
    <x v="0"/>
    <x v="4"/>
    <x v="0"/>
    <n v="0"/>
    <n v="0"/>
    <n v="0"/>
    <s v="Success"/>
  </r>
  <r>
    <s v="TXN59840342"/>
    <x v="30"/>
    <x v="0"/>
    <x v="2"/>
    <n v="2988"/>
    <x v="1"/>
    <x v="5"/>
    <x v="0"/>
    <n v="0"/>
    <n v="0"/>
    <n v="0"/>
    <s v="Success"/>
  </r>
  <r>
    <s v="TXN20447661"/>
    <x v="31"/>
    <x v="4"/>
    <x v="1"/>
    <n v="112481"/>
    <x v="0"/>
    <x v="2"/>
    <x v="0"/>
    <n v="5"/>
    <n v="0"/>
    <n v="5"/>
    <s v="Success"/>
  </r>
  <r>
    <s v="TXN60566252"/>
    <x v="32"/>
    <x v="1"/>
    <x v="4"/>
    <n v="47276"/>
    <x v="0"/>
    <x v="5"/>
    <x v="4"/>
    <n v="472.76"/>
    <n v="0"/>
    <n v="472.76"/>
    <s v="Success"/>
  </r>
  <r>
    <s v="TXN33566956"/>
    <x v="33"/>
    <x v="2"/>
    <x v="3"/>
    <n v="19909"/>
    <x v="0"/>
    <x v="2"/>
    <x v="0"/>
    <n v="0"/>
    <n v="0"/>
    <n v="0"/>
    <s v="Success"/>
  </r>
  <r>
    <s v="TXN41627030"/>
    <x v="34"/>
    <x v="5"/>
    <x v="2"/>
    <n v="2270"/>
    <x v="0"/>
    <x v="5"/>
    <x v="0"/>
    <n v="0"/>
    <n v="0"/>
    <n v="0"/>
    <s v="Success"/>
  </r>
  <r>
    <s v="TXN50954866"/>
    <x v="35"/>
    <x v="4"/>
    <x v="3"/>
    <n v="102408"/>
    <x v="0"/>
    <x v="5"/>
    <x v="0"/>
    <n v="0"/>
    <n v="0"/>
    <n v="0"/>
    <s v="Success"/>
  </r>
  <r>
    <s v="TXN46013908"/>
    <x v="36"/>
    <x v="7"/>
    <x v="2"/>
    <n v="2461"/>
    <x v="1"/>
    <x v="4"/>
    <x v="0"/>
    <n v="0"/>
    <n v="0"/>
    <n v="0"/>
    <s v="Success"/>
  </r>
  <r>
    <s v="TXN11534283"/>
    <x v="37"/>
    <x v="2"/>
    <x v="2"/>
    <n v="3423"/>
    <x v="0"/>
    <x v="3"/>
    <x v="0"/>
    <n v="0"/>
    <n v="0"/>
    <n v="0"/>
    <s v="Success"/>
  </r>
  <r>
    <s v="TXN69998048"/>
    <x v="38"/>
    <x v="3"/>
    <x v="2"/>
    <n v="1511"/>
    <x v="0"/>
    <x v="2"/>
    <x v="0"/>
    <n v="0"/>
    <n v="0"/>
    <n v="0"/>
    <s v="Success"/>
  </r>
  <r>
    <s v="TXN72519889"/>
    <x v="39"/>
    <x v="7"/>
    <x v="0"/>
    <n v="199500"/>
    <x v="0"/>
    <x v="1"/>
    <x v="0"/>
    <n v="3690.75"/>
    <n v="1476.3"/>
    <n v="2214.4499999999998"/>
    <s v="Success"/>
  </r>
  <r>
    <s v="TXN75540198"/>
    <x v="40"/>
    <x v="1"/>
    <x v="4"/>
    <n v="101403"/>
    <x v="0"/>
    <x v="6"/>
    <x v="3"/>
    <n v="1014.03"/>
    <n v="0"/>
    <n v="1014.03"/>
    <s v="Success"/>
  </r>
  <r>
    <s v="TXN13621801"/>
    <x v="41"/>
    <x v="2"/>
    <x v="3"/>
    <n v="74578"/>
    <x v="0"/>
    <x v="6"/>
    <x v="0"/>
    <n v="0"/>
    <n v="0"/>
    <n v="0"/>
    <s v="Success"/>
  </r>
  <r>
    <s v="TXN25055178"/>
    <x v="42"/>
    <x v="4"/>
    <x v="2"/>
    <n v="4018"/>
    <x v="0"/>
    <x v="1"/>
    <x v="0"/>
    <n v="0"/>
    <n v="0"/>
    <n v="0"/>
    <s v="Success"/>
  </r>
  <r>
    <s v="TXN94700581"/>
    <x v="43"/>
    <x v="0"/>
    <x v="1"/>
    <n v="77146"/>
    <x v="0"/>
    <x v="4"/>
    <x v="0"/>
    <n v="5"/>
    <n v="0"/>
    <n v="5"/>
    <s v="Success"/>
  </r>
  <r>
    <s v="TXN98912158"/>
    <x v="44"/>
    <x v="4"/>
    <x v="2"/>
    <n v="3269"/>
    <x v="1"/>
    <x v="8"/>
    <x v="0"/>
    <n v="0"/>
    <n v="0"/>
    <n v="0"/>
    <s v="Success"/>
  </r>
  <r>
    <s v="TXN27870653"/>
    <x v="45"/>
    <x v="4"/>
    <x v="3"/>
    <n v="42177"/>
    <x v="0"/>
    <x v="5"/>
    <x v="0"/>
    <n v="0"/>
    <n v="0"/>
    <n v="0"/>
    <s v="Success"/>
  </r>
  <r>
    <s v="TXN15371112"/>
    <x v="46"/>
    <x v="1"/>
    <x v="1"/>
    <n v="57583"/>
    <x v="0"/>
    <x v="7"/>
    <x v="0"/>
    <n v="5"/>
    <n v="0"/>
    <n v="5"/>
    <s v="Success"/>
  </r>
  <r>
    <s v="TXN48562889"/>
    <x v="47"/>
    <x v="1"/>
    <x v="3"/>
    <n v="6644"/>
    <x v="0"/>
    <x v="3"/>
    <x v="0"/>
    <n v="0"/>
    <n v="0"/>
    <n v="0"/>
    <s v="Success"/>
  </r>
  <r>
    <s v="TXN59382326"/>
    <x v="48"/>
    <x v="2"/>
    <x v="0"/>
    <n v="86500"/>
    <x v="1"/>
    <x v="5"/>
    <x v="0"/>
    <n v="1600.25"/>
    <n v="640.1"/>
    <n v="960.15"/>
    <s v="Success"/>
  </r>
  <r>
    <s v="TXN24810300"/>
    <x v="49"/>
    <x v="4"/>
    <x v="4"/>
    <n v="1133"/>
    <x v="0"/>
    <x v="8"/>
    <x v="1"/>
    <n v="11.33"/>
    <n v="0"/>
    <n v="11.33"/>
    <s v="Success"/>
  </r>
  <r>
    <s v="TXN54427809"/>
    <x v="50"/>
    <x v="3"/>
    <x v="1"/>
    <n v="147663"/>
    <x v="0"/>
    <x v="2"/>
    <x v="0"/>
    <n v="5"/>
    <n v="0"/>
    <n v="5"/>
    <s v="Success"/>
  </r>
  <r>
    <s v="TXN30819068"/>
    <x v="51"/>
    <x v="2"/>
    <x v="4"/>
    <n v="66137"/>
    <x v="0"/>
    <x v="7"/>
    <x v="4"/>
    <n v="661.37"/>
    <n v="0"/>
    <n v="661.37"/>
    <s v="Success"/>
  </r>
  <r>
    <s v="TXN18629714"/>
    <x v="52"/>
    <x v="4"/>
    <x v="3"/>
    <n v="111141"/>
    <x v="0"/>
    <x v="8"/>
    <x v="0"/>
    <n v="0"/>
    <n v="0"/>
    <n v="0"/>
    <s v="Success"/>
  </r>
  <r>
    <s v="TXN17775305"/>
    <x v="53"/>
    <x v="6"/>
    <x v="1"/>
    <n v="79264"/>
    <x v="0"/>
    <x v="7"/>
    <x v="0"/>
    <n v="5"/>
    <n v="0"/>
    <n v="5"/>
    <s v="Success"/>
  </r>
  <r>
    <s v="TXN85939262"/>
    <x v="54"/>
    <x v="3"/>
    <x v="1"/>
    <n v="20188"/>
    <x v="1"/>
    <x v="6"/>
    <x v="0"/>
    <n v="5"/>
    <n v="0"/>
    <n v="5"/>
    <s v="Success"/>
  </r>
  <r>
    <s v="TXN14096110"/>
    <x v="55"/>
    <x v="4"/>
    <x v="0"/>
    <n v="188000"/>
    <x v="0"/>
    <x v="0"/>
    <x v="0"/>
    <n v="3478"/>
    <n v="1391.2"/>
    <n v="2086.8000000000002"/>
    <s v="Success"/>
  </r>
  <r>
    <s v="TXN65376513"/>
    <x v="56"/>
    <x v="0"/>
    <x v="1"/>
    <n v="72143"/>
    <x v="0"/>
    <x v="5"/>
    <x v="0"/>
    <n v="5"/>
    <n v="0"/>
    <n v="5"/>
    <s v="Success"/>
  </r>
  <r>
    <s v="TXN23694389"/>
    <x v="57"/>
    <x v="3"/>
    <x v="2"/>
    <n v="4146"/>
    <x v="0"/>
    <x v="5"/>
    <x v="0"/>
    <n v="0"/>
    <n v="0"/>
    <n v="0"/>
    <s v="Success"/>
  </r>
  <r>
    <s v="TXN91713077"/>
    <x v="58"/>
    <x v="1"/>
    <x v="2"/>
    <n v="853"/>
    <x v="2"/>
    <x v="6"/>
    <x v="0"/>
    <n v="0"/>
    <n v="0"/>
    <n v="0"/>
    <s v="Success"/>
  </r>
  <r>
    <s v="TXN13662537"/>
    <x v="59"/>
    <x v="4"/>
    <x v="2"/>
    <n v="2098"/>
    <x v="0"/>
    <x v="7"/>
    <x v="0"/>
    <n v="0"/>
    <n v="0"/>
    <n v="0"/>
    <s v="Success"/>
  </r>
  <r>
    <s v="TXN53561188"/>
    <x v="60"/>
    <x v="7"/>
    <x v="4"/>
    <n v="135757"/>
    <x v="0"/>
    <x v="5"/>
    <x v="1"/>
    <n v="1357.57"/>
    <n v="0"/>
    <n v="1357.57"/>
    <s v="Success"/>
  </r>
  <r>
    <s v="TXN36505871"/>
    <x v="61"/>
    <x v="0"/>
    <x v="4"/>
    <n v="137616"/>
    <x v="0"/>
    <x v="3"/>
    <x v="4"/>
    <n v="1376.16"/>
    <n v="0"/>
    <n v="1376.16"/>
    <s v="Success"/>
  </r>
  <r>
    <s v="TXN68064805"/>
    <x v="62"/>
    <x v="4"/>
    <x v="2"/>
    <n v="4804"/>
    <x v="0"/>
    <x v="6"/>
    <x v="0"/>
    <n v="0"/>
    <n v="0"/>
    <n v="0"/>
    <s v="Success"/>
  </r>
  <r>
    <s v="TXN29628525"/>
    <x v="63"/>
    <x v="6"/>
    <x v="2"/>
    <n v="1039"/>
    <x v="0"/>
    <x v="4"/>
    <x v="0"/>
    <n v="0"/>
    <n v="0"/>
    <n v="0"/>
    <s v="Success"/>
  </r>
  <r>
    <s v="TXN64865254"/>
    <x v="64"/>
    <x v="4"/>
    <x v="1"/>
    <n v="99667"/>
    <x v="1"/>
    <x v="7"/>
    <x v="0"/>
    <n v="5"/>
    <n v="0"/>
    <n v="5"/>
    <s v="Success"/>
  </r>
  <r>
    <s v="TXN82168982"/>
    <x v="65"/>
    <x v="7"/>
    <x v="2"/>
    <n v="3564"/>
    <x v="0"/>
    <x v="7"/>
    <x v="0"/>
    <n v="0"/>
    <n v="0"/>
    <n v="0"/>
    <s v="Success"/>
  </r>
  <r>
    <s v="TXN16292881"/>
    <x v="66"/>
    <x v="5"/>
    <x v="0"/>
    <n v="66500"/>
    <x v="0"/>
    <x v="1"/>
    <x v="0"/>
    <n v="1230.25"/>
    <n v="492.1"/>
    <n v="738.15"/>
    <s v="Success"/>
  </r>
  <r>
    <s v="TXN29490566"/>
    <x v="67"/>
    <x v="1"/>
    <x v="4"/>
    <n v="67442"/>
    <x v="0"/>
    <x v="5"/>
    <x v="1"/>
    <n v="674.42"/>
    <n v="0"/>
    <n v="674.42"/>
    <s v="Success"/>
  </r>
  <r>
    <s v="TXN88203577"/>
    <x v="68"/>
    <x v="3"/>
    <x v="4"/>
    <n v="72930"/>
    <x v="0"/>
    <x v="6"/>
    <x v="2"/>
    <n v="729.3"/>
    <n v="0"/>
    <n v="729.3"/>
    <s v="Failed"/>
  </r>
  <r>
    <s v="TXN44691709"/>
    <x v="69"/>
    <x v="3"/>
    <x v="2"/>
    <n v="3054"/>
    <x v="0"/>
    <x v="7"/>
    <x v="0"/>
    <n v="0"/>
    <n v="0"/>
    <n v="0"/>
    <s v="Success"/>
  </r>
  <r>
    <s v="TXN59310070"/>
    <x v="70"/>
    <x v="2"/>
    <x v="0"/>
    <n v="68500"/>
    <x v="0"/>
    <x v="3"/>
    <x v="0"/>
    <n v="1267.25"/>
    <n v="506.9"/>
    <n v="760.35"/>
    <s v="Success"/>
  </r>
  <r>
    <s v="TXN24155649"/>
    <x v="71"/>
    <x v="5"/>
    <x v="1"/>
    <n v="92854"/>
    <x v="0"/>
    <x v="0"/>
    <x v="0"/>
    <n v="5"/>
    <n v="0"/>
    <n v="5"/>
    <s v="Success"/>
  </r>
  <r>
    <s v="TXN52594315"/>
    <x v="72"/>
    <x v="6"/>
    <x v="2"/>
    <n v="102"/>
    <x v="0"/>
    <x v="6"/>
    <x v="0"/>
    <n v="0"/>
    <n v="0"/>
    <n v="0"/>
    <s v="Success"/>
  </r>
  <r>
    <s v="TXN43627070"/>
    <x v="73"/>
    <x v="7"/>
    <x v="4"/>
    <n v="105681"/>
    <x v="1"/>
    <x v="6"/>
    <x v="4"/>
    <n v="1056.81"/>
    <n v="0"/>
    <n v="1056.81"/>
    <s v="Success"/>
  </r>
  <r>
    <s v="TXN25342090"/>
    <x v="74"/>
    <x v="5"/>
    <x v="4"/>
    <n v="128234"/>
    <x v="0"/>
    <x v="3"/>
    <x v="2"/>
    <n v="1282.3399999999999"/>
    <n v="0"/>
    <n v="1282.3399999999999"/>
    <s v="Success"/>
  </r>
  <r>
    <s v="TXN84295147"/>
    <x v="75"/>
    <x v="1"/>
    <x v="3"/>
    <n v="82846"/>
    <x v="1"/>
    <x v="6"/>
    <x v="0"/>
    <n v="0"/>
    <n v="0"/>
    <n v="0"/>
    <s v="Success"/>
  </r>
  <r>
    <s v="TXN96533418"/>
    <x v="76"/>
    <x v="7"/>
    <x v="2"/>
    <n v="296"/>
    <x v="0"/>
    <x v="8"/>
    <x v="0"/>
    <n v="0"/>
    <n v="0"/>
    <n v="0"/>
    <s v="Success"/>
  </r>
  <r>
    <s v="TXN37159840"/>
    <x v="77"/>
    <x v="7"/>
    <x v="1"/>
    <n v="144752"/>
    <x v="0"/>
    <x v="7"/>
    <x v="0"/>
    <n v="5"/>
    <n v="0"/>
    <n v="5"/>
    <s v="Success"/>
  </r>
  <r>
    <s v="TXN33145321"/>
    <x v="78"/>
    <x v="3"/>
    <x v="2"/>
    <n v="1427"/>
    <x v="0"/>
    <x v="0"/>
    <x v="0"/>
    <n v="0"/>
    <n v="0"/>
    <n v="0"/>
    <s v="Success"/>
  </r>
  <r>
    <s v="TXN64626603"/>
    <x v="79"/>
    <x v="1"/>
    <x v="3"/>
    <n v="109634"/>
    <x v="0"/>
    <x v="5"/>
    <x v="0"/>
    <n v="0"/>
    <n v="0"/>
    <n v="0"/>
    <s v="Success"/>
  </r>
  <r>
    <s v="TXN62479150"/>
    <x v="80"/>
    <x v="5"/>
    <x v="4"/>
    <n v="112167"/>
    <x v="0"/>
    <x v="7"/>
    <x v="1"/>
    <n v="1121.67"/>
    <n v="0"/>
    <n v="1121.67"/>
    <s v="Success"/>
  </r>
  <r>
    <s v="TXN50273984"/>
    <x v="81"/>
    <x v="1"/>
    <x v="1"/>
    <n v="55075"/>
    <x v="0"/>
    <x v="7"/>
    <x v="0"/>
    <n v="5"/>
    <n v="0"/>
    <n v="5"/>
    <s v="Success"/>
  </r>
  <r>
    <s v="TXN90137678"/>
    <x v="82"/>
    <x v="1"/>
    <x v="2"/>
    <n v="2642"/>
    <x v="0"/>
    <x v="5"/>
    <x v="0"/>
    <n v="0"/>
    <n v="0"/>
    <n v="0"/>
    <s v="Success"/>
  </r>
  <r>
    <s v="TXN28201126"/>
    <x v="83"/>
    <x v="0"/>
    <x v="0"/>
    <n v="145500"/>
    <x v="0"/>
    <x v="0"/>
    <x v="0"/>
    <n v="2691.75"/>
    <n v="1076.7"/>
    <n v="1615.05"/>
    <s v="Success"/>
  </r>
  <r>
    <s v="TXN66872878"/>
    <x v="84"/>
    <x v="4"/>
    <x v="2"/>
    <n v="955"/>
    <x v="0"/>
    <x v="3"/>
    <x v="0"/>
    <n v="0"/>
    <n v="0"/>
    <n v="0"/>
    <s v="Success"/>
  </r>
  <r>
    <s v="TXN29219163"/>
    <x v="85"/>
    <x v="6"/>
    <x v="2"/>
    <n v="4147"/>
    <x v="0"/>
    <x v="8"/>
    <x v="0"/>
    <n v="0"/>
    <n v="0"/>
    <n v="0"/>
    <s v="Success"/>
  </r>
  <r>
    <s v="TXN35291215"/>
    <x v="86"/>
    <x v="1"/>
    <x v="4"/>
    <n v="113318"/>
    <x v="2"/>
    <x v="6"/>
    <x v="1"/>
    <n v="1133.18"/>
    <n v="0"/>
    <n v="1133.18"/>
    <s v="Success"/>
  </r>
  <r>
    <s v="TXN56720978"/>
    <x v="87"/>
    <x v="0"/>
    <x v="0"/>
    <n v="187000"/>
    <x v="0"/>
    <x v="8"/>
    <x v="0"/>
    <n v="3459.5"/>
    <n v="1383.8"/>
    <n v="2075.6999999999998"/>
    <s v="Success"/>
  </r>
  <r>
    <s v="TXN68695970"/>
    <x v="88"/>
    <x v="2"/>
    <x v="2"/>
    <n v="2498"/>
    <x v="0"/>
    <x v="4"/>
    <x v="0"/>
    <n v="0"/>
    <n v="0"/>
    <n v="0"/>
    <s v="Success"/>
  </r>
  <r>
    <s v="TXN53350017"/>
    <x v="89"/>
    <x v="1"/>
    <x v="4"/>
    <n v="13461"/>
    <x v="0"/>
    <x v="4"/>
    <x v="3"/>
    <n v="134.61000000000001"/>
    <n v="0"/>
    <n v="134.61000000000001"/>
    <s v="Success"/>
  </r>
  <r>
    <s v="TXN83538208"/>
    <x v="90"/>
    <x v="7"/>
    <x v="0"/>
    <n v="197000"/>
    <x v="0"/>
    <x v="0"/>
    <x v="0"/>
    <n v="3644.5"/>
    <n v="1457.8"/>
    <n v="2186.6999999999998"/>
    <s v="Success"/>
  </r>
  <r>
    <s v="TXN22911371"/>
    <x v="91"/>
    <x v="4"/>
    <x v="2"/>
    <n v="1890"/>
    <x v="0"/>
    <x v="3"/>
    <x v="0"/>
    <n v="0"/>
    <n v="0"/>
    <n v="0"/>
    <s v="Success"/>
  </r>
  <r>
    <s v="TXN53796504"/>
    <x v="92"/>
    <x v="0"/>
    <x v="0"/>
    <n v="236000"/>
    <x v="0"/>
    <x v="3"/>
    <x v="0"/>
    <n v="4366"/>
    <n v="1746.4"/>
    <n v="2619.6"/>
    <s v="Success"/>
  </r>
  <r>
    <s v="TXN16417183"/>
    <x v="93"/>
    <x v="2"/>
    <x v="0"/>
    <n v="205500"/>
    <x v="0"/>
    <x v="5"/>
    <x v="0"/>
    <n v="3801.75"/>
    <n v="1520.7"/>
    <n v="2281.0500000000002"/>
    <s v="Success"/>
  </r>
  <r>
    <s v="TXN13942664"/>
    <x v="94"/>
    <x v="0"/>
    <x v="0"/>
    <n v="122500"/>
    <x v="0"/>
    <x v="5"/>
    <x v="0"/>
    <n v="2266.25"/>
    <n v="906.5"/>
    <n v="1359.75"/>
    <s v="Success"/>
  </r>
  <r>
    <s v="TXN66527525"/>
    <x v="95"/>
    <x v="6"/>
    <x v="2"/>
    <n v="2290"/>
    <x v="0"/>
    <x v="1"/>
    <x v="0"/>
    <n v="0"/>
    <n v="0"/>
    <n v="0"/>
    <s v="Success"/>
  </r>
  <r>
    <s v="TXN80869497"/>
    <x v="96"/>
    <x v="2"/>
    <x v="4"/>
    <n v="27354"/>
    <x v="0"/>
    <x v="6"/>
    <x v="2"/>
    <n v="273.54000000000002"/>
    <n v="0"/>
    <n v="273.54000000000002"/>
    <s v="Success"/>
  </r>
  <r>
    <s v="TXN16365846"/>
    <x v="97"/>
    <x v="2"/>
    <x v="1"/>
    <n v="75416"/>
    <x v="2"/>
    <x v="7"/>
    <x v="0"/>
    <n v="5"/>
    <n v="0"/>
    <n v="5"/>
    <s v="Success"/>
  </r>
  <r>
    <s v="TXN99971206"/>
    <x v="98"/>
    <x v="7"/>
    <x v="1"/>
    <n v="49787"/>
    <x v="0"/>
    <x v="4"/>
    <x v="0"/>
    <n v="5"/>
    <n v="0"/>
    <n v="5"/>
    <s v="Success"/>
  </r>
  <r>
    <s v="TXN54682356"/>
    <x v="99"/>
    <x v="2"/>
    <x v="3"/>
    <n v="140209"/>
    <x v="0"/>
    <x v="5"/>
    <x v="0"/>
    <n v="0"/>
    <n v="0"/>
    <n v="0"/>
    <s v="Success"/>
  </r>
  <r>
    <s v="TXN39609103"/>
    <x v="100"/>
    <x v="4"/>
    <x v="1"/>
    <n v="73762"/>
    <x v="0"/>
    <x v="4"/>
    <x v="0"/>
    <n v="5"/>
    <n v="0"/>
    <n v="5"/>
    <s v="Success"/>
  </r>
  <r>
    <s v="TXN29477594"/>
    <x v="101"/>
    <x v="2"/>
    <x v="2"/>
    <n v="3645"/>
    <x v="0"/>
    <x v="3"/>
    <x v="0"/>
    <n v="0"/>
    <n v="0"/>
    <n v="0"/>
    <s v="Success"/>
  </r>
  <r>
    <s v="TXN45252140"/>
    <x v="102"/>
    <x v="1"/>
    <x v="2"/>
    <n v="508"/>
    <x v="2"/>
    <x v="8"/>
    <x v="0"/>
    <n v="0"/>
    <n v="0"/>
    <n v="0"/>
    <s v="Success"/>
  </r>
  <r>
    <s v="TXN35995712"/>
    <x v="103"/>
    <x v="4"/>
    <x v="0"/>
    <n v="234500"/>
    <x v="0"/>
    <x v="3"/>
    <x v="0"/>
    <n v="4338.25"/>
    <n v="1735.3"/>
    <n v="2602.9499999999998"/>
    <s v="Success"/>
  </r>
  <r>
    <s v="TXN18295908"/>
    <x v="104"/>
    <x v="7"/>
    <x v="2"/>
    <n v="2661"/>
    <x v="0"/>
    <x v="0"/>
    <x v="0"/>
    <n v="0"/>
    <n v="0"/>
    <n v="0"/>
    <s v="Success"/>
  </r>
  <r>
    <s v="TXN16898107"/>
    <x v="105"/>
    <x v="6"/>
    <x v="1"/>
    <n v="18402"/>
    <x v="0"/>
    <x v="7"/>
    <x v="0"/>
    <n v="5"/>
    <n v="0"/>
    <n v="5"/>
    <s v="Success"/>
  </r>
  <r>
    <s v="TXN71910151"/>
    <x v="106"/>
    <x v="1"/>
    <x v="3"/>
    <n v="42399"/>
    <x v="0"/>
    <x v="4"/>
    <x v="0"/>
    <n v="0"/>
    <n v="0"/>
    <n v="0"/>
    <s v="Success"/>
  </r>
  <r>
    <s v="TXN56928802"/>
    <x v="107"/>
    <x v="5"/>
    <x v="0"/>
    <n v="95000"/>
    <x v="0"/>
    <x v="3"/>
    <x v="0"/>
    <n v="1757.5"/>
    <n v="703"/>
    <n v="1054.5"/>
    <s v="Success"/>
  </r>
  <r>
    <s v="TXN97111777"/>
    <x v="108"/>
    <x v="1"/>
    <x v="4"/>
    <n v="59540"/>
    <x v="0"/>
    <x v="6"/>
    <x v="3"/>
    <n v="595.4"/>
    <n v="0"/>
    <n v="595.4"/>
    <s v="Failed"/>
  </r>
  <r>
    <s v="TXN49816600"/>
    <x v="109"/>
    <x v="2"/>
    <x v="4"/>
    <n v="90418"/>
    <x v="0"/>
    <x v="4"/>
    <x v="2"/>
    <n v="904.18"/>
    <n v="0"/>
    <n v="904.18"/>
    <s v="Success"/>
  </r>
  <r>
    <s v="TXN46999874"/>
    <x v="110"/>
    <x v="3"/>
    <x v="2"/>
    <n v="1378"/>
    <x v="0"/>
    <x v="3"/>
    <x v="0"/>
    <n v="0"/>
    <n v="0"/>
    <n v="0"/>
    <s v="Failed"/>
  </r>
  <r>
    <s v="TXN59067814"/>
    <x v="111"/>
    <x v="6"/>
    <x v="0"/>
    <n v="159500"/>
    <x v="0"/>
    <x v="8"/>
    <x v="0"/>
    <n v="2950.75"/>
    <n v="1180.3"/>
    <n v="1770.45"/>
    <s v="Success"/>
  </r>
  <r>
    <s v="TXN41770903"/>
    <x v="112"/>
    <x v="6"/>
    <x v="3"/>
    <n v="108599"/>
    <x v="0"/>
    <x v="6"/>
    <x v="0"/>
    <n v="0"/>
    <n v="0"/>
    <n v="0"/>
    <s v="Success"/>
  </r>
  <r>
    <s v="TXN34336825"/>
    <x v="113"/>
    <x v="0"/>
    <x v="1"/>
    <n v="13355"/>
    <x v="2"/>
    <x v="5"/>
    <x v="0"/>
    <n v="5"/>
    <n v="0"/>
    <n v="5"/>
    <s v="Success"/>
  </r>
  <r>
    <s v="TXN14769984"/>
    <x v="114"/>
    <x v="4"/>
    <x v="3"/>
    <n v="114321"/>
    <x v="0"/>
    <x v="7"/>
    <x v="0"/>
    <n v="0"/>
    <n v="0"/>
    <n v="0"/>
    <s v="Success"/>
  </r>
  <r>
    <s v="TXN17441508"/>
    <x v="115"/>
    <x v="7"/>
    <x v="2"/>
    <n v="2145"/>
    <x v="0"/>
    <x v="5"/>
    <x v="0"/>
    <n v="0"/>
    <n v="0"/>
    <n v="0"/>
    <s v="Success"/>
  </r>
  <r>
    <s v="TXN64358578"/>
    <x v="116"/>
    <x v="2"/>
    <x v="3"/>
    <n v="31509"/>
    <x v="0"/>
    <x v="5"/>
    <x v="0"/>
    <n v="0"/>
    <n v="0"/>
    <n v="0"/>
    <s v="Failed"/>
  </r>
  <r>
    <s v="TXN19295864"/>
    <x v="117"/>
    <x v="6"/>
    <x v="1"/>
    <n v="94380"/>
    <x v="1"/>
    <x v="1"/>
    <x v="0"/>
    <n v="5"/>
    <n v="0"/>
    <n v="5"/>
    <s v="Success"/>
  </r>
  <r>
    <s v="TXN54490142"/>
    <x v="118"/>
    <x v="7"/>
    <x v="2"/>
    <n v="3006"/>
    <x v="1"/>
    <x v="8"/>
    <x v="0"/>
    <n v="0"/>
    <n v="0"/>
    <n v="0"/>
    <s v="Success"/>
  </r>
  <r>
    <s v="TXN90793166"/>
    <x v="119"/>
    <x v="3"/>
    <x v="1"/>
    <n v="121972"/>
    <x v="0"/>
    <x v="5"/>
    <x v="0"/>
    <n v="5"/>
    <n v="0"/>
    <n v="5"/>
    <s v="Success"/>
  </r>
  <r>
    <s v="TXN47190803"/>
    <x v="120"/>
    <x v="0"/>
    <x v="1"/>
    <n v="8572"/>
    <x v="0"/>
    <x v="7"/>
    <x v="0"/>
    <n v="5"/>
    <n v="0"/>
    <n v="5"/>
    <s v="Success"/>
  </r>
  <r>
    <s v="TXN62101444"/>
    <x v="121"/>
    <x v="7"/>
    <x v="1"/>
    <n v="47631"/>
    <x v="0"/>
    <x v="1"/>
    <x v="0"/>
    <n v="5"/>
    <n v="0"/>
    <n v="5"/>
    <s v="Success"/>
  </r>
  <r>
    <s v="TXN18712735"/>
    <x v="122"/>
    <x v="3"/>
    <x v="3"/>
    <n v="98201"/>
    <x v="0"/>
    <x v="1"/>
    <x v="0"/>
    <n v="0"/>
    <n v="0"/>
    <n v="0"/>
    <s v="Success"/>
  </r>
  <r>
    <s v="TXN84248789"/>
    <x v="123"/>
    <x v="5"/>
    <x v="2"/>
    <n v="1430"/>
    <x v="0"/>
    <x v="3"/>
    <x v="0"/>
    <n v="0"/>
    <n v="0"/>
    <n v="0"/>
    <s v="Success"/>
  </r>
  <r>
    <s v="TXN89224714"/>
    <x v="124"/>
    <x v="0"/>
    <x v="0"/>
    <n v="21000"/>
    <x v="0"/>
    <x v="1"/>
    <x v="0"/>
    <n v="388.5"/>
    <n v="155.4"/>
    <n v="233.1"/>
    <s v="Success"/>
  </r>
  <r>
    <s v="TXN45120847"/>
    <x v="125"/>
    <x v="7"/>
    <x v="0"/>
    <n v="112500"/>
    <x v="0"/>
    <x v="1"/>
    <x v="0"/>
    <n v="2081.25"/>
    <n v="832.5"/>
    <n v="1248.75"/>
    <s v="Success"/>
  </r>
  <r>
    <s v="TXN10972078"/>
    <x v="126"/>
    <x v="6"/>
    <x v="3"/>
    <n v="88807"/>
    <x v="0"/>
    <x v="2"/>
    <x v="0"/>
    <n v="0"/>
    <n v="0"/>
    <n v="0"/>
    <s v="Success"/>
  </r>
  <r>
    <s v="TXN98012149"/>
    <x v="127"/>
    <x v="0"/>
    <x v="2"/>
    <n v="4497"/>
    <x v="0"/>
    <x v="0"/>
    <x v="0"/>
    <n v="0"/>
    <n v="0"/>
    <n v="0"/>
    <s v="Success"/>
  </r>
  <r>
    <s v="TXN57614802"/>
    <x v="128"/>
    <x v="6"/>
    <x v="0"/>
    <n v="40000"/>
    <x v="0"/>
    <x v="5"/>
    <x v="0"/>
    <n v="740"/>
    <n v="296"/>
    <n v="444"/>
    <s v="Success"/>
  </r>
  <r>
    <s v="TXN97180017"/>
    <x v="129"/>
    <x v="6"/>
    <x v="4"/>
    <n v="72595"/>
    <x v="0"/>
    <x v="2"/>
    <x v="4"/>
    <n v="725.95"/>
    <n v="0"/>
    <n v="725.95"/>
    <s v="Success"/>
  </r>
  <r>
    <s v="TXN79818948"/>
    <x v="130"/>
    <x v="3"/>
    <x v="1"/>
    <n v="140607"/>
    <x v="0"/>
    <x v="6"/>
    <x v="0"/>
    <n v="5"/>
    <n v="0"/>
    <n v="5"/>
    <s v="Success"/>
  </r>
  <r>
    <s v="TXN80267753"/>
    <x v="131"/>
    <x v="3"/>
    <x v="2"/>
    <n v="2080"/>
    <x v="0"/>
    <x v="7"/>
    <x v="0"/>
    <n v="0"/>
    <n v="0"/>
    <n v="0"/>
    <s v="Success"/>
  </r>
  <r>
    <s v="TXN35145389"/>
    <x v="132"/>
    <x v="4"/>
    <x v="2"/>
    <n v="4976"/>
    <x v="0"/>
    <x v="6"/>
    <x v="0"/>
    <n v="0"/>
    <n v="0"/>
    <n v="0"/>
    <s v="Success"/>
  </r>
  <r>
    <s v="TXN19612695"/>
    <x v="133"/>
    <x v="6"/>
    <x v="2"/>
    <n v="3575"/>
    <x v="0"/>
    <x v="0"/>
    <x v="0"/>
    <n v="0"/>
    <n v="0"/>
    <n v="0"/>
    <s v="Failed"/>
  </r>
  <r>
    <s v="TXN26852909"/>
    <x v="134"/>
    <x v="4"/>
    <x v="2"/>
    <n v="2600"/>
    <x v="0"/>
    <x v="4"/>
    <x v="0"/>
    <n v="0"/>
    <n v="0"/>
    <n v="0"/>
    <s v="Success"/>
  </r>
  <r>
    <s v="TXN50571843"/>
    <x v="135"/>
    <x v="0"/>
    <x v="2"/>
    <n v="4799"/>
    <x v="0"/>
    <x v="0"/>
    <x v="0"/>
    <n v="0"/>
    <n v="0"/>
    <n v="0"/>
    <s v="Success"/>
  </r>
  <r>
    <s v="TXN76543456"/>
    <x v="136"/>
    <x v="6"/>
    <x v="4"/>
    <n v="118754"/>
    <x v="0"/>
    <x v="4"/>
    <x v="5"/>
    <n v="1187.54"/>
    <n v="0"/>
    <n v="1187.54"/>
    <s v="Success"/>
  </r>
  <r>
    <s v="TXN75927432"/>
    <x v="137"/>
    <x v="5"/>
    <x v="3"/>
    <n v="67303"/>
    <x v="0"/>
    <x v="5"/>
    <x v="0"/>
    <n v="0"/>
    <n v="0"/>
    <n v="0"/>
    <s v="Success"/>
  </r>
  <r>
    <s v="TXN87064245"/>
    <x v="138"/>
    <x v="4"/>
    <x v="3"/>
    <n v="45831"/>
    <x v="1"/>
    <x v="4"/>
    <x v="0"/>
    <n v="0"/>
    <n v="0"/>
    <n v="0"/>
    <s v="Success"/>
  </r>
  <r>
    <s v="TXN88605562"/>
    <x v="139"/>
    <x v="2"/>
    <x v="4"/>
    <n v="82011"/>
    <x v="0"/>
    <x v="0"/>
    <x v="2"/>
    <n v="820.11"/>
    <n v="0"/>
    <n v="820.11"/>
    <s v="Success"/>
  </r>
  <r>
    <s v="TXN11791487"/>
    <x v="140"/>
    <x v="1"/>
    <x v="2"/>
    <n v="2568"/>
    <x v="0"/>
    <x v="6"/>
    <x v="0"/>
    <n v="0"/>
    <n v="0"/>
    <n v="0"/>
    <s v="Success"/>
  </r>
  <r>
    <s v="TXN30469259"/>
    <x v="141"/>
    <x v="4"/>
    <x v="0"/>
    <n v="29000"/>
    <x v="0"/>
    <x v="2"/>
    <x v="0"/>
    <n v="536.5"/>
    <n v="214.6"/>
    <n v="321.89999999999998"/>
    <s v="Success"/>
  </r>
  <r>
    <s v="TXN82057400"/>
    <x v="142"/>
    <x v="0"/>
    <x v="0"/>
    <n v="147000"/>
    <x v="0"/>
    <x v="4"/>
    <x v="0"/>
    <n v="2719.5"/>
    <n v="1087.8"/>
    <n v="1631.7"/>
    <s v="Failed"/>
  </r>
  <r>
    <s v="TXN70710557"/>
    <x v="143"/>
    <x v="6"/>
    <x v="1"/>
    <n v="89595"/>
    <x v="0"/>
    <x v="8"/>
    <x v="0"/>
    <n v="5"/>
    <n v="0"/>
    <n v="5"/>
    <s v="Success"/>
  </r>
  <r>
    <s v="TXN96091037"/>
    <x v="144"/>
    <x v="4"/>
    <x v="2"/>
    <n v="3380"/>
    <x v="0"/>
    <x v="8"/>
    <x v="0"/>
    <n v="0"/>
    <n v="0"/>
    <n v="0"/>
    <s v="Success"/>
  </r>
  <r>
    <s v="TXN80359589"/>
    <x v="145"/>
    <x v="3"/>
    <x v="3"/>
    <n v="110547"/>
    <x v="1"/>
    <x v="6"/>
    <x v="0"/>
    <n v="0"/>
    <n v="0"/>
    <n v="0"/>
    <s v="Success"/>
  </r>
  <r>
    <s v="TXN75322023"/>
    <x v="146"/>
    <x v="3"/>
    <x v="4"/>
    <n v="37353"/>
    <x v="0"/>
    <x v="7"/>
    <x v="5"/>
    <n v="373.53"/>
    <n v="0"/>
    <n v="373.53"/>
    <s v="Success"/>
  </r>
  <r>
    <s v="TXN59538466"/>
    <x v="147"/>
    <x v="4"/>
    <x v="0"/>
    <n v="78000"/>
    <x v="2"/>
    <x v="4"/>
    <x v="0"/>
    <n v="1443"/>
    <n v="577.20000000000005"/>
    <n v="865.8"/>
    <s v="Success"/>
  </r>
  <r>
    <s v="TXN98803816"/>
    <x v="148"/>
    <x v="2"/>
    <x v="4"/>
    <n v="88203"/>
    <x v="0"/>
    <x v="4"/>
    <x v="5"/>
    <n v="882.03"/>
    <n v="0"/>
    <n v="882.03"/>
    <s v="Success"/>
  </r>
  <r>
    <s v="TXN40589294"/>
    <x v="149"/>
    <x v="0"/>
    <x v="0"/>
    <n v="238000"/>
    <x v="0"/>
    <x v="5"/>
    <x v="0"/>
    <n v="4403"/>
    <n v="1761.2"/>
    <n v="2641.8"/>
    <s v="Success"/>
  </r>
  <r>
    <s v="TXN95241353"/>
    <x v="150"/>
    <x v="2"/>
    <x v="4"/>
    <n v="1682"/>
    <x v="0"/>
    <x v="4"/>
    <x v="4"/>
    <n v="16.82"/>
    <n v="0"/>
    <n v="16.82"/>
    <s v="Success"/>
  </r>
  <r>
    <s v="TXN88602520"/>
    <x v="151"/>
    <x v="2"/>
    <x v="1"/>
    <n v="43846"/>
    <x v="0"/>
    <x v="3"/>
    <x v="0"/>
    <n v="5"/>
    <n v="0"/>
    <n v="5"/>
    <s v="Success"/>
  </r>
  <r>
    <s v="TXN85466865"/>
    <x v="152"/>
    <x v="5"/>
    <x v="3"/>
    <n v="146061"/>
    <x v="0"/>
    <x v="4"/>
    <x v="0"/>
    <n v="0"/>
    <n v="0"/>
    <n v="0"/>
    <s v="Success"/>
  </r>
  <r>
    <s v="TXN39345746"/>
    <x v="153"/>
    <x v="0"/>
    <x v="2"/>
    <n v="909"/>
    <x v="0"/>
    <x v="7"/>
    <x v="0"/>
    <n v="0"/>
    <n v="0"/>
    <n v="0"/>
    <s v="Success"/>
  </r>
  <r>
    <s v="TXN76873857"/>
    <x v="154"/>
    <x v="7"/>
    <x v="2"/>
    <n v="1364"/>
    <x v="0"/>
    <x v="0"/>
    <x v="0"/>
    <n v="0"/>
    <n v="0"/>
    <n v="0"/>
    <s v="Success"/>
  </r>
  <r>
    <s v="TXN18515684"/>
    <x v="155"/>
    <x v="6"/>
    <x v="2"/>
    <n v="2058"/>
    <x v="0"/>
    <x v="6"/>
    <x v="0"/>
    <n v="0"/>
    <n v="0"/>
    <n v="0"/>
    <s v="Failed"/>
  </r>
  <r>
    <s v="TXN53482113"/>
    <x v="156"/>
    <x v="1"/>
    <x v="0"/>
    <n v="127500"/>
    <x v="0"/>
    <x v="5"/>
    <x v="0"/>
    <n v="2358.75"/>
    <n v="943.5"/>
    <n v="1415.25"/>
    <s v="Success"/>
  </r>
  <r>
    <s v="TXN47044941"/>
    <x v="157"/>
    <x v="1"/>
    <x v="1"/>
    <n v="97882"/>
    <x v="0"/>
    <x v="5"/>
    <x v="0"/>
    <n v="5"/>
    <n v="0"/>
    <n v="5"/>
    <s v="Success"/>
  </r>
  <r>
    <s v="TXN92476854"/>
    <x v="158"/>
    <x v="4"/>
    <x v="1"/>
    <n v="63065"/>
    <x v="2"/>
    <x v="5"/>
    <x v="0"/>
    <n v="5"/>
    <n v="0"/>
    <n v="5"/>
    <s v="Success"/>
  </r>
  <r>
    <s v="TXN55975964"/>
    <x v="159"/>
    <x v="7"/>
    <x v="1"/>
    <n v="73820"/>
    <x v="0"/>
    <x v="3"/>
    <x v="0"/>
    <n v="5"/>
    <n v="0"/>
    <n v="5"/>
    <s v="Success"/>
  </r>
  <r>
    <s v="TXN93573692"/>
    <x v="160"/>
    <x v="1"/>
    <x v="3"/>
    <n v="133704"/>
    <x v="1"/>
    <x v="8"/>
    <x v="0"/>
    <n v="0"/>
    <n v="0"/>
    <n v="0"/>
    <s v="Success"/>
  </r>
  <r>
    <s v="TXN58230438"/>
    <x v="161"/>
    <x v="3"/>
    <x v="1"/>
    <n v="87343"/>
    <x v="0"/>
    <x v="5"/>
    <x v="0"/>
    <n v="5"/>
    <n v="0"/>
    <n v="5"/>
    <s v="Success"/>
  </r>
  <r>
    <s v="TXN42564698"/>
    <x v="162"/>
    <x v="2"/>
    <x v="1"/>
    <n v="130052"/>
    <x v="0"/>
    <x v="1"/>
    <x v="0"/>
    <n v="5"/>
    <n v="0"/>
    <n v="5"/>
    <s v="Success"/>
  </r>
  <r>
    <s v="TXN40447556"/>
    <x v="163"/>
    <x v="4"/>
    <x v="1"/>
    <n v="86139"/>
    <x v="0"/>
    <x v="3"/>
    <x v="0"/>
    <n v="5"/>
    <n v="0"/>
    <n v="5"/>
    <s v="Success"/>
  </r>
  <r>
    <s v="TXN12533475"/>
    <x v="164"/>
    <x v="6"/>
    <x v="2"/>
    <n v="1186"/>
    <x v="0"/>
    <x v="1"/>
    <x v="0"/>
    <n v="0"/>
    <n v="0"/>
    <n v="0"/>
    <s v="Success"/>
  </r>
  <r>
    <s v="TXN16040476"/>
    <x v="165"/>
    <x v="6"/>
    <x v="1"/>
    <n v="115980"/>
    <x v="0"/>
    <x v="1"/>
    <x v="0"/>
    <n v="5"/>
    <n v="0"/>
    <n v="5"/>
    <s v="Success"/>
  </r>
  <r>
    <s v="TXN29096717"/>
    <x v="166"/>
    <x v="3"/>
    <x v="2"/>
    <n v="1005"/>
    <x v="0"/>
    <x v="6"/>
    <x v="0"/>
    <n v="0"/>
    <n v="0"/>
    <n v="0"/>
    <s v="Success"/>
  </r>
  <r>
    <s v="TXN39089560"/>
    <x v="167"/>
    <x v="1"/>
    <x v="4"/>
    <n v="130134"/>
    <x v="0"/>
    <x v="5"/>
    <x v="5"/>
    <n v="1301.3399999999999"/>
    <n v="0"/>
    <n v="1301.3399999999999"/>
    <s v="Success"/>
  </r>
  <r>
    <s v="TXN74747835"/>
    <x v="168"/>
    <x v="7"/>
    <x v="4"/>
    <n v="125843"/>
    <x v="0"/>
    <x v="2"/>
    <x v="3"/>
    <n v="1258.43"/>
    <n v="0"/>
    <n v="1258.43"/>
    <s v="Success"/>
  </r>
  <r>
    <s v="TXN10571119"/>
    <x v="169"/>
    <x v="7"/>
    <x v="4"/>
    <n v="149176"/>
    <x v="0"/>
    <x v="5"/>
    <x v="3"/>
    <n v="1491.76"/>
    <n v="0"/>
    <n v="1491.76"/>
    <s v="Success"/>
  </r>
  <r>
    <s v="TXN10369119"/>
    <x v="170"/>
    <x v="6"/>
    <x v="1"/>
    <n v="146651"/>
    <x v="0"/>
    <x v="0"/>
    <x v="0"/>
    <n v="5"/>
    <n v="0"/>
    <n v="5"/>
    <s v="Success"/>
  </r>
  <r>
    <s v="TXN24646071"/>
    <x v="171"/>
    <x v="6"/>
    <x v="4"/>
    <n v="101894"/>
    <x v="1"/>
    <x v="5"/>
    <x v="2"/>
    <n v="1018.94"/>
    <n v="0"/>
    <n v="1018.94"/>
    <s v="Success"/>
  </r>
  <r>
    <s v="TXN45269167"/>
    <x v="172"/>
    <x v="0"/>
    <x v="1"/>
    <n v="109460"/>
    <x v="0"/>
    <x v="7"/>
    <x v="0"/>
    <n v="5"/>
    <n v="0"/>
    <n v="5"/>
    <s v="Success"/>
  </r>
  <r>
    <s v="TXN43949994"/>
    <x v="173"/>
    <x v="2"/>
    <x v="3"/>
    <n v="72447"/>
    <x v="1"/>
    <x v="5"/>
    <x v="0"/>
    <n v="0"/>
    <n v="0"/>
    <n v="0"/>
    <s v="Success"/>
  </r>
  <r>
    <s v="TXN33876645"/>
    <x v="174"/>
    <x v="0"/>
    <x v="0"/>
    <n v="138000"/>
    <x v="1"/>
    <x v="5"/>
    <x v="0"/>
    <n v="2553"/>
    <n v="1021.2"/>
    <n v="1531.8"/>
    <s v="Success"/>
  </r>
  <r>
    <s v="TXN86422500"/>
    <x v="175"/>
    <x v="4"/>
    <x v="3"/>
    <n v="105397"/>
    <x v="0"/>
    <x v="5"/>
    <x v="0"/>
    <n v="0"/>
    <n v="0"/>
    <n v="0"/>
    <s v="Success"/>
  </r>
  <r>
    <s v="TXN43862560"/>
    <x v="176"/>
    <x v="3"/>
    <x v="1"/>
    <n v="70586"/>
    <x v="0"/>
    <x v="5"/>
    <x v="0"/>
    <n v="5"/>
    <n v="0"/>
    <n v="5"/>
    <s v="Success"/>
  </r>
  <r>
    <s v="TXN24320647"/>
    <x v="177"/>
    <x v="3"/>
    <x v="1"/>
    <n v="46193"/>
    <x v="2"/>
    <x v="1"/>
    <x v="0"/>
    <n v="5"/>
    <n v="0"/>
    <n v="5"/>
    <s v="Success"/>
  </r>
  <r>
    <s v="TXN50156605"/>
    <x v="178"/>
    <x v="3"/>
    <x v="3"/>
    <n v="139480"/>
    <x v="0"/>
    <x v="5"/>
    <x v="0"/>
    <n v="0"/>
    <n v="0"/>
    <n v="0"/>
    <s v="Success"/>
  </r>
  <r>
    <s v="TXN29492104"/>
    <x v="179"/>
    <x v="3"/>
    <x v="3"/>
    <n v="9396"/>
    <x v="0"/>
    <x v="7"/>
    <x v="0"/>
    <n v="0"/>
    <n v="0"/>
    <n v="0"/>
    <s v="Success"/>
  </r>
  <r>
    <s v="TXN67398928"/>
    <x v="180"/>
    <x v="2"/>
    <x v="2"/>
    <n v="3237"/>
    <x v="0"/>
    <x v="7"/>
    <x v="0"/>
    <n v="0"/>
    <n v="0"/>
    <n v="0"/>
    <s v="Success"/>
  </r>
  <r>
    <s v="TXN82246284"/>
    <x v="181"/>
    <x v="7"/>
    <x v="2"/>
    <n v="3666"/>
    <x v="0"/>
    <x v="7"/>
    <x v="0"/>
    <n v="0"/>
    <n v="0"/>
    <n v="0"/>
    <s v="Success"/>
  </r>
  <r>
    <s v="TXN32564761"/>
    <x v="182"/>
    <x v="6"/>
    <x v="3"/>
    <n v="99404"/>
    <x v="1"/>
    <x v="5"/>
    <x v="0"/>
    <n v="0"/>
    <n v="0"/>
    <n v="0"/>
    <s v="Success"/>
  </r>
  <r>
    <s v="TXN12349616"/>
    <x v="183"/>
    <x v="7"/>
    <x v="3"/>
    <n v="60128"/>
    <x v="0"/>
    <x v="3"/>
    <x v="0"/>
    <n v="0"/>
    <n v="0"/>
    <n v="0"/>
    <s v="Success"/>
  </r>
  <r>
    <s v="TXN65604239"/>
    <x v="184"/>
    <x v="2"/>
    <x v="3"/>
    <n v="18846"/>
    <x v="0"/>
    <x v="1"/>
    <x v="0"/>
    <n v="0"/>
    <n v="0"/>
    <n v="0"/>
    <s v="Success"/>
  </r>
  <r>
    <s v="TXN30843673"/>
    <x v="185"/>
    <x v="3"/>
    <x v="4"/>
    <n v="42003"/>
    <x v="0"/>
    <x v="5"/>
    <x v="1"/>
    <n v="420.03"/>
    <n v="0"/>
    <n v="420.03"/>
    <s v="Success"/>
  </r>
  <r>
    <s v="TXN30936160"/>
    <x v="186"/>
    <x v="2"/>
    <x v="0"/>
    <n v="211000"/>
    <x v="1"/>
    <x v="0"/>
    <x v="0"/>
    <n v="3903.5"/>
    <n v="1561.4"/>
    <n v="2342.1"/>
    <s v="Success"/>
  </r>
  <r>
    <s v="TXN69255728"/>
    <x v="187"/>
    <x v="0"/>
    <x v="2"/>
    <n v="3927"/>
    <x v="0"/>
    <x v="7"/>
    <x v="0"/>
    <n v="0"/>
    <n v="0"/>
    <n v="0"/>
    <s v="Success"/>
  </r>
  <r>
    <s v="TXN99073714"/>
    <x v="188"/>
    <x v="6"/>
    <x v="1"/>
    <n v="84998"/>
    <x v="0"/>
    <x v="4"/>
    <x v="0"/>
    <n v="5"/>
    <n v="0"/>
    <n v="5"/>
    <s v="Success"/>
  </r>
  <r>
    <s v="TXN21736340"/>
    <x v="189"/>
    <x v="2"/>
    <x v="4"/>
    <n v="11729"/>
    <x v="0"/>
    <x v="2"/>
    <x v="2"/>
    <n v="117.29"/>
    <n v="0"/>
    <n v="117.29"/>
    <s v="Success"/>
  </r>
  <r>
    <s v="TXN75775027"/>
    <x v="190"/>
    <x v="3"/>
    <x v="0"/>
    <n v="61000"/>
    <x v="0"/>
    <x v="3"/>
    <x v="0"/>
    <n v="1128.5"/>
    <n v="451.4"/>
    <n v="677.1"/>
    <s v="Success"/>
  </r>
  <r>
    <s v="TXN18298759"/>
    <x v="191"/>
    <x v="4"/>
    <x v="4"/>
    <n v="52916"/>
    <x v="0"/>
    <x v="1"/>
    <x v="1"/>
    <n v="529.16"/>
    <n v="0"/>
    <n v="529.16"/>
    <s v="Success"/>
  </r>
  <r>
    <s v="TXN42505894"/>
    <x v="192"/>
    <x v="0"/>
    <x v="0"/>
    <n v="169500"/>
    <x v="0"/>
    <x v="5"/>
    <x v="0"/>
    <n v="3135.75"/>
    <n v="1254.3"/>
    <n v="1881.45"/>
    <s v="Success"/>
  </r>
  <r>
    <s v="TXN47273561"/>
    <x v="193"/>
    <x v="2"/>
    <x v="1"/>
    <n v="26663"/>
    <x v="0"/>
    <x v="7"/>
    <x v="0"/>
    <n v="5"/>
    <n v="0"/>
    <n v="5"/>
    <s v="Success"/>
  </r>
  <r>
    <s v="TXN45078204"/>
    <x v="194"/>
    <x v="0"/>
    <x v="1"/>
    <n v="105732"/>
    <x v="0"/>
    <x v="1"/>
    <x v="0"/>
    <n v="5"/>
    <n v="0"/>
    <n v="5"/>
    <s v="Success"/>
  </r>
  <r>
    <s v="TXN51749881"/>
    <x v="195"/>
    <x v="6"/>
    <x v="2"/>
    <n v="4975"/>
    <x v="0"/>
    <x v="1"/>
    <x v="0"/>
    <n v="0"/>
    <n v="0"/>
    <n v="0"/>
    <s v="Success"/>
  </r>
  <r>
    <s v="TXN69950509"/>
    <x v="196"/>
    <x v="0"/>
    <x v="4"/>
    <n v="7391"/>
    <x v="0"/>
    <x v="5"/>
    <x v="1"/>
    <n v="73.91"/>
    <n v="0"/>
    <n v="73.91"/>
    <s v="Success"/>
  </r>
  <r>
    <s v="TXN39091800"/>
    <x v="197"/>
    <x v="7"/>
    <x v="0"/>
    <n v="114500"/>
    <x v="0"/>
    <x v="5"/>
    <x v="0"/>
    <n v="2118.25"/>
    <n v="847.3"/>
    <n v="1270.95"/>
    <s v="Success"/>
  </r>
  <r>
    <s v="TXN44124842"/>
    <x v="198"/>
    <x v="2"/>
    <x v="3"/>
    <n v="30507"/>
    <x v="0"/>
    <x v="7"/>
    <x v="0"/>
    <n v="0"/>
    <n v="0"/>
    <n v="0"/>
    <s v="Failed"/>
  </r>
  <r>
    <s v="TXN96497857"/>
    <x v="199"/>
    <x v="4"/>
    <x v="1"/>
    <n v="46078"/>
    <x v="0"/>
    <x v="4"/>
    <x v="0"/>
    <n v="5"/>
    <n v="0"/>
    <n v="5"/>
    <s v="Success"/>
  </r>
  <r>
    <s v="TXN75563372"/>
    <x v="200"/>
    <x v="1"/>
    <x v="1"/>
    <n v="17019"/>
    <x v="1"/>
    <x v="3"/>
    <x v="0"/>
    <n v="5"/>
    <n v="0"/>
    <n v="5"/>
    <s v="Success"/>
  </r>
  <r>
    <s v="TXN59602211"/>
    <x v="201"/>
    <x v="4"/>
    <x v="1"/>
    <n v="30310"/>
    <x v="0"/>
    <x v="2"/>
    <x v="0"/>
    <n v="5"/>
    <n v="0"/>
    <n v="5"/>
    <s v="Success"/>
  </r>
  <r>
    <s v="TXN24165947"/>
    <x v="202"/>
    <x v="4"/>
    <x v="4"/>
    <n v="94640"/>
    <x v="0"/>
    <x v="2"/>
    <x v="3"/>
    <n v="946.4"/>
    <n v="0"/>
    <n v="946.4"/>
    <s v="Success"/>
  </r>
  <r>
    <s v="TXN24208230"/>
    <x v="203"/>
    <x v="3"/>
    <x v="1"/>
    <n v="61869"/>
    <x v="1"/>
    <x v="3"/>
    <x v="0"/>
    <n v="5"/>
    <n v="0"/>
    <n v="5"/>
    <s v="Success"/>
  </r>
  <r>
    <s v="TXN94095905"/>
    <x v="204"/>
    <x v="6"/>
    <x v="1"/>
    <n v="114314"/>
    <x v="1"/>
    <x v="7"/>
    <x v="0"/>
    <n v="5"/>
    <n v="0"/>
    <n v="5"/>
    <s v="Success"/>
  </r>
  <r>
    <s v="TXN21399339"/>
    <x v="205"/>
    <x v="6"/>
    <x v="4"/>
    <n v="131721"/>
    <x v="0"/>
    <x v="7"/>
    <x v="3"/>
    <n v="1317.21"/>
    <n v="0"/>
    <n v="1317.21"/>
    <s v="Success"/>
  </r>
  <r>
    <s v="TXN19936454"/>
    <x v="206"/>
    <x v="0"/>
    <x v="0"/>
    <n v="126500"/>
    <x v="0"/>
    <x v="2"/>
    <x v="0"/>
    <n v="2340.25"/>
    <n v="936.1"/>
    <n v="1404.15"/>
    <s v="Success"/>
  </r>
  <r>
    <s v="TXN53351321"/>
    <x v="207"/>
    <x v="3"/>
    <x v="4"/>
    <n v="46276"/>
    <x v="0"/>
    <x v="8"/>
    <x v="1"/>
    <n v="462.76"/>
    <n v="0"/>
    <n v="462.76"/>
    <s v="Success"/>
  </r>
  <r>
    <s v="TXN98043570"/>
    <x v="208"/>
    <x v="3"/>
    <x v="3"/>
    <n v="27238"/>
    <x v="0"/>
    <x v="8"/>
    <x v="0"/>
    <n v="0"/>
    <n v="0"/>
    <n v="0"/>
    <s v="Success"/>
  </r>
  <r>
    <s v="TXN85513710"/>
    <x v="209"/>
    <x v="7"/>
    <x v="2"/>
    <n v="2606"/>
    <x v="0"/>
    <x v="5"/>
    <x v="0"/>
    <n v="0"/>
    <n v="0"/>
    <n v="0"/>
    <s v="Success"/>
  </r>
  <r>
    <s v="TXN15109846"/>
    <x v="210"/>
    <x v="5"/>
    <x v="4"/>
    <n v="98069"/>
    <x v="0"/>
    <x v="0"/>
    <x v="3"/>
    <n v="980.69"/>
    <n v="0"/>
    <n v="980.69"/>
    <s v="Success"/>
  </r>
  <r>
    <s v="TXN12882496"/>
    <x v="211"/>
    <x v="7"/>
    <x v="1"/>
    <n v="10434"/>
    <x v="0"/>
    <x v="3"/>
    <x v="0"/>
    <n v="5"/>
    <n v="0"/>
    <n v="5"/>
    <s v="Success"/>
  </r>
  <r>
    <s v="TXN79230597"/>
    <x v="212"/>
    <x v="2"/>
    <x v="1"/>
    <n v="104457"/>
    <x v="0"/>
    <x v="5"/>
    <x v="0"/>
    <n v="5"/>
    <n v="0"/>
    <n v="5"/>
    <s v="Success"/>
  </r>
  <r>
    <s v="TXN46164085"/>
    <x v="213"/>
    <x v="4"/>
    <x v="4"/>
    <n v="37756"/>
    <x v="0"/>
    <x v="4"/>
    <x v="5"/>
    <n v="377.56"/>
    <n v="0"/>
    <n v="377.56"/>
    <s v="Success"/>
  </r>
  <r>
    <s v="TXN76274910"/>
    <x v="214"/>
    <x v="7"/>
    <x v="3"/>
    <n v="113845"/>
    <x v="0"/>
    <x v="0"/>
    <x v="0"/>
    <n v="0"/>
    <n v="0"/>
    <n v="0"/>
    <s v="Success"/>
  </r>
  <r>
    <s v="TXN61416486"/>
    <x v="215"/>
    <x v="6"/>
    <x v="1"/>
    <n v="113866"/>
    <x v="0"/>
    <x v="7"/>
    <x v="0"/>
    <n v="5"/>
    <n v="0"/>
    <n v="5"/>
    <s v="Success"/>
  </r>
  <r>
    <s v="TXN19200706"/>
    <x v="216"/>
    <x v="4"/>
    <x v="1"/>
    <n v="30218"/>
    <x v="0"/>
    <x v="5"/>
    <x v="0"/>
    <n v="5"/>
    <n v="0"/>
    <n v="5"/>
    <s v="Success"/>
  </r>
  <r>
    <s v="TXN99730904"/>
    <x v="217"/>
    <x v="6"/>
    <x v="4"/>
    <n v="79899"/>
    <x v="0"/>
    <x v="7"/>
    <x v="3"/>
    <n v="798.99"/>
    <n v="0"/>
    <n v="798.99"/>
    <s v="Success"/>
  </r>
  <r>
    <s v="TXN98089992"/>
    <x v="218"/>
    <x v="0"/>
    <x v="1"/>
    <n v="62469"/>
    <x v="1"/>
    <x v="7"/>
    <x v="0"/>
    <n v="5"/>
    <n v="0"/>
    <n v="5"/>
    <s v="Success"/>
  </r>
  <r>
    <s v="TXN44773811"/>
    <x v="219"/>
    <x v="0"/>
    <x v="2"/>
    <n v="3223"/>
    <x v="1"/>
    <x v="0"/>
    <x v="0"/>
    <n v="0"/>
    <n v="0"/>
    <n v="0"/>
    <s v="Success"/>
  </r>
  <r>
    <s v="TXN61471285"/>
    <x v="220"/>
    <x v="7"/>
    <x v="4"/>
    <n v="27956"/>
    <x v="0"/>
    <x v="1"/>
    <x v="2"/>
    <n v="279.56"/>
    <n v="0"/>
    <n v="279.56"/>
    <s v="Success"/>
  </r>
  <r>
    <s v="TXN37074401"/>
    <x v="221"/>
    <x v="6"/>
    <x v="2"/>
    <n v="3621"/>
    <x v="0"/>
    <x v="8"/>
    <x v="0"/>
    <n v="0"/>
    <n v="0"/>
    <n v="0"/>
    <s v="Success"/>
  </r>
  <r>
    <s v="TXN32443988"/>
    <x v="222"/>
    <x v="4"/>
    <x v="2"/>
    <n v="3081"/>
    <x v="0"/>
    <x v="5"/>
    <x v="0"/>
    <n v="0"/>
    <n v="0"/>
    <n v="0"/>
    <s v="Success"/>
  </r>
  <r>
    <s v="TXN18705141"/>
    <x v="223"/>
    <x v="4"/>
    <x v="3"/>
    <n v="1797"/>
    <x v="0"/>
    <x v="3"/>
    <x v="0"/>
    <n v="0"/>
    <n v="0"/>
    <n v="0"/>
    <s v="Success"/>
  </r>
  <r>
    <s v="TXN34423090"/>
    <x v="224"/>
    <x v="2"/>
    <x v="4"/>
    <n v="60686"/>
    <x v="1"/>
    <x v="8"/>
    <x v="4"/>
    <n v="606.86"/>
    <n v="0"/>
    <n v="606.86"/>
    <s v="Success"/>
  </r>
  <r>
    <s v="TXN80742232"/>
    <x v="225"/>
    <x v="1"/>
    <x v="1"/>
    <n v="97823"/>
    <x v="0"/>
    <x v="0"/>
    <x v="0"/>
    <n v="5"/>
    <n v="0"/>
    <n v="5"/>
    <s v="Success"/>
  </r>
  <r>
    <s v="TXN95488949"/>
    <x v="226"/>
    <x v="4"/>
    <x v="1"/>
    <n v="37137"/>
    <x v="1"/>
    <x v="8"/>
    <x v="0"/>
    <n v="5"/>
    <n v="0"/>
    <n v="5"/>
    <s v="Success"/>
  </r>
  <r>
    <s v="TXN82285639"/>
    <x v="227"/>
    <x v="3"/>
    <x v="1"/>
    <n v="124451"/>
    <x v="0"/>
    <x v="2"/>
    <x v="0"/>
    <n v="5"/>
    <n v="0"/>
    <n v="5"/>
    <s v="Success"/>
  </r>
  <r>
    <s v="TXN42988767"/>
    <x v="228"/>
    <x v="1"/>
    <x v="3"/>
    <n v="104168"/>
    <x v="0"/>
    <x v="5"/>
    <x v="0"/>
    <n v="0"/>
    <n v="0"/>
    <n v="0"/>
    <s v="Success"/>
  </r>
  <r>
    <s v="TXN64383288"/>
    <x v="229"/>
    <x v="4"/>
    <x v="0"/>
    <n v="58000"/>
    <x v="1"/>
    <x v="8"/>
    <x v="0"/>
    <n v="1073"/>
    <n v="429.2"/>
    <n v="643.79999999999995"/>
    <s v="Success"/>
  </r>
  <r>
    <s v="TXN29716302"/>
    <x v="230"/>
    <x v="7"/>
    <x v="4"/>
    <n v="21797"/>
    <x v="1"/>
    <x v="8"/>
    <x v="1"/>
    <n v="217.97"/>
    <n v="0"/>
    <n v="217.97"/>
    <s v="Success"/>
  </r>
  <r>
    <s v="TXN15820163"/>
    <x v="231"/>
    <x v="5"/>
    <x v="4"/>
    <n v="137797"/>
    <x v="0"/>
    <x v="6"/>
    <x v="2"/>
    <n v="1377.97"/>
    <n v="0"/>
    <n v="1377.97"/>
    <s v="Success"/>
  </r>
  <r>
    <s v="TXN60534326"/>
    <x v="232"/>
    <x v="5"/>
    <x v="1"/>
    <n v="91678"/>
    <x v="0"/>
    <x v="4"/>
    <x v="0"/>
    <n v="5"/>
    <n v="0"/>
    <n v="5"/>
    <s v="Success"/>
  </r>
  <r>
    <s v="TXN96122503"/>
    <x v="233"/>
    <x v="1"/>
    <x v="1"/>
    <n v="143234"/>
    <x v="1"/>
    <x v="8"/>
    <x v="0"/>
    <n v="5"/>
    <n v="0"/>
    <n v="5"/>
    <s v="Success"/>
  </r>
  <r>
    <s v="TXN44762815"/>
    <x v="234"/>
    <x v="5"/>
    <x v="2"/>
    <n v="4601"/>
    <x v="1"/>
    <x v="2"/>
    <x v="0"/>
    <n v="0"/>
    <n v="0"/>
    <n v="0"/>
    <s v="Success"/>
  </r>
  <r>
    <s v="TXN25149480"/>
    <x v="235"/>
    <x v="0"/>
    <x v="2"/>
    <n v="650"/>
    <x v="0"/>
    <x v="6"/>
    <x v="0"/>
    <n v="0"/>
    <n v="0"/>
    <n v="0"/>
    <s v="Success"/>
  </r>
  <r>
    <s v="TXN50934551"/>
    <x v="236"/>
    <x v="2"/>
    <x v="2"/>
    <n v="2053"/>
    <x v="0"/>
    <x v="5"/>
    <x v="0"/>
    <n v="0"/>
    <n v="0"/>
    <n v="0"/>
    <s v="Success"/>
  </r>
  <r>
    <s v="TXN92570829"/>
    <x v="237"/>
    <x v="7"/>
    <x v="1"/>
    <n v="144280"/>
    <x v="0"/>
    <x v="8"/>
    <x v="0"/>
    <n v="5"/>
    <n v="0"/>
    <n v="5"/>
    <s v="Success"/>
  </r>
  <r>
    <s v="TXN31990681"/>
    <x v="238"/>
    <x v="6"/>
    <x v="1"/>
    <n v="88097"/>
    <x v="0"/>
    <x v="5"/>
    <x v="0"/>
    <n v="5"/>
    <n v="0"/>
    <n v="5"/>
    <s v="Success"/>
  </r>
  <r>
    <s v="TXN49573302"/>
    <x v="239"/>
    <x v="4"/>
    <x v="4"/>
    <n v="87121"/>
    <x v="1"/>
    <x v="1"/>
    <x v="3"/>
    <n v="871.21"/>
    <n v="0"/>
    <n v="871.21"/>
    <s v="Success"/>
  </r>
  <r>
    <s v="TXN89483678"/>
    <x v="240"/>
    <x v="5"/>
    <x v="1"/>
    <n v="149415"/>
    <x v="0"/>
    <x v="0"/>
    <x v="0"/>
    <n v="5"/>
    <n v="0"/>
    <n v="5"/>
    <s v="Success"/>
  </r>
  <r>
    <s v="TXN77597444"/>
    <x v="241"/>
    <x v="3"/>
    <x v="0"/>
    <n v="113500"/>
    <x v="0"/>
    <x v="6"/>
    <x v="0"/>
    <n v="2099.75"/>
    <n v="839.9"/>
    <n v="1259.8499999999999"/>
    <s v="Success"/>
  </r>
  <r>
    <s v="TXN73154280"/>
    <x v="242"/>
    <x v="4"/>
    <x v="2"/>
    <n v="148"/>
    <x v="0"/>
    <x v="4"/>
    <x v="0"/>
    <n v="0"/>
    <n v="0"/>
    <n v="0"/>
    <s v="Success"/>
  </r>
  <r>
    <s v="TXN58475950"/>
    <x v="243"/>
    <x v="1"/>
    <x v="0"/>
    <n v="195000"/>
    <x v="0"/>
    <x v="0"/>
    <x v="0"/>
    <n v="3607.5"/>
    <n v="1443"/>
    <n v="2164.5"/>
    <s v="Success"/>
  </r>
  <r>
    <s v="TXN49566289"/>
    <x v="244"/>
    <x v="7"/>
    <x v="4"/>
    <n v="2435"/>
    <x v="1"/>
    <x v="5"/>
    <x v="3"/>
    <n v="24.35"/>
    <n v="0"/>
    <n v="24.35"/>
    <s v="Success"/>
  </r>
  <r>
    <s v="TXN62510451"/>
    <x v="245"/>
    <x v="7"/>
    <x v="0"/>
    <n v="187000"/>
    <x v="0"/>
    <x v="7"/>
    <x v="0"/>
    <n v="3459.5"/>
    <n v="1383.8"/>
    <n v="2075.6999999999998"/>
    <s v="Success"/>
  </r>
  <r>
    <s v="TXN13074224"/>
    <x v="246"/>
    <x v="0"/>
    <x v="1"/>
    <n v="5912"/>
    <x v="0"/>
    <x v="6"/>
    <x v="0"/>
    <n v="5"/>
    <n v="0"/>
    <n v="5"/>
    <s v="Success"/>
  </r>
  <r>
    <s v="TXN14116370"/>
    <x v="247"/>
    <x v="3"/>
    <x v="4"/>
    <n v="117953"/>
    <x v="0"/>
    <x v="2"/>
    <x v="2"/>
    <n v="1179.53"/>
    <n v="0"/>
    <n v="1179.53"/>
    <s v="Success"/>
  </r>
  <r>
    <s v="TXN25270479"/>
    <x v="248"/>
    <x v="7"/>
    <x v="0"/>
    <n v="13500"/>
    <x v="0"/>
    <x v="0"/>
    <x v="0"/>
    <n v="249.75"/>
    <n v="99.9"/>
    <n v="149.85"/>
    <s v="Success"/>
  </r>
  <r>
    <s v="TXN29723918"/>
    <x v="249"/>
    <x v="4"/>
    <x v="3"/>
    <n v="55233"/>
    <x v="1"/>
    <x v="5"/>
    <x v="0"/>
    <n v="0"/>
    <n v="0"/>
    <n v="0"/>
    <s v="Success"/>
  </r>
  <r>
    <s v="TXN45812679"/>
    <x v="250"/>
    <x v="0"/>
    <x v="3"/>
    <n v="63978"/>
    <x v="0"/>
    <x v="2"/>
    <x v="0"/>
    <n v="0"/>
    <n v="0"/>
    <n v="0"/>
    <s v="Success"/>
  </r>
  <r>
    <s v="TXN16302398"/>
    <x v="251"/>
    <x v="0"/>
    <x v="1"/>
    <n v="92109"/>
    <x v="0"/>
    <x v="4"/>
    <x v="0"/>
    <n v="5"/>
    <n v="0"/>
    <n v="5"/>
    <s v="Success"/>
  </r>
  <r>
    <s v="TXN93928458"/>
    <x v="252"/>
    <x v="4"/>
    <x v="0"/>
    <n v="45500"/>
    <x v="1"/>
    <x v="0"/>
    <x v="0"/>
    <n v="841.75"/>
    <n v="336.7"/>
    <n v="505.05"/>
    <s v="Success"/>
  </r>
  <r>
    <s v="TXN73046306"/>
    <x v="253"/>
    <x v="5"/>
    <x v="2"/>
    <n v="1235"/>
    <x v="0"/>
    <x v="0"/>
    <x v="0"/>
    <n v="0"/>
    <n v="0"/>
    <n v="0"/>
    <s v="Success"/>
  </r>
  <r>
    <s v="TXN88943682"/>
    <x v="254"/>
    <x v="2"/>
    <x v="1"/>
    <n v="69863"/>
    <x v="0"/>
    <x v="7"/>
    <x v="0"/>
    <n v="5"/>
    <n v="0"/>
    <n v="5"/>
    <s v="Success"/>
  </r>
  <r>
    <s v="TXN38357664"/>
    <x v="255"/>
    <x v="4"/>
    <x v="1"/>
    <n v="5725"/>
    <x v="0"/>
    <x v="7"/>
    <x v="0"/>
    <n v="5"/>
    <n v="0"/>
    <n v="5"/>
    <s v="Success"/>
  </r>
  <r>
    <s v="TXN91907351"/>
    <x v="256"/>
    <x v="7"/>
    <x v="4"/>
    <n v="36903"/>
    <x v="0"/>
    <x v="5"/>
    <x v="3"/>
    <n v="369.03"/>
    <n v="0"/>
    <n v="369.03"/>
    <s v="Success"/>
  </r>
  <r>
    <s v="TXN93349251"/>
    <x v="257"/>
    <x v="7"/>
    <x v="3"/>
    <n v="118680"/>
    <x v="1"/>
    <x v="6"/>
    <x v="0"/>
    <n v="0"/>
    <n v="0"/>
    <n v="0"/>
    <s v="Success"/>
  </r>
  <r>
    <s v="TXN63660028"/>
    <x v="258"/>
    <x v="0"/>
    <x v="0"/>
    <n v="84000"/>
    <x v="0"/>
    <x v="3"/>
    <x v="0"/>
    <n v="1554"/>
    <n v="621.6"/>
    <n v="932.4"/>
    <s v="Success"/>
  </r>
  <r>
    <s v="TXN62733605"/>
    <x v="259"/>
    <x v="5"/>
    <x v="3"/>
    <n v="63338"/>
    <x v="0"/>
    <x v="1"/>
    <x v="0"/>
    <n v="0"/>
    <n v="0"/>
    <n v="0"/>
    <s v="Success"/>
  </r>
  <r>
    <s v="TXN86227248"/>
    <x v="260"/>
    <x v="4"/>
    <x v="1"/>
    <n v="39304"/>
    <x v="0"/>
    <x v="5"/>
    <x v="0"/>
    <n v="5"/>
    <n v="0"/>
    <n v="5"/>
    <s v="Success"/>
  </r>
  <r>
    <s v="TXN47334468"/>
    <x v="261"/>
    <x v="3"/>
    <x v="1"/>
    <n v="135402"/>
    <x v="1"/>
    <x v="7"/>
    <x v="0"/>
    <n v="5"/>
    <n v="0"/>
    <n v="5"/>
    <s v="Success"/>
  </r>
  <r>
    <s v="TXN86938554"/>
    <x v="262"/>
    <x v="4"/>
    <x v="0"/>
    <n v="24000"/>
    <x v="0"/>
    <x v="0"/>
    <x v="0"/>
    <n v="444"/>
    <n v="177.6"/>
    <n v="266.39999999999998"/>
    <s v="Success"/>
  </r>
  <r>
    <s v="TXN35812839"/>
    <x v="263"/>
    <x v="2"/>
    <x v="1"/>
    <n v="59865"/>
    <x v="0"/>
    <x v="8"/>
    <x v="0"/>
    <n v="5"/>
    <n v="0"/>
    <n v="5"/>
    <s v="Success"/>
  </r>
  <r>
    <s v="TXN64803836"/>
    <x v="264"/>
    <x v="5"/>
    <x v="2"/>
    <n v="3964"/>
    <x v="0"/>
    <x v="5"/>
    <x v="0"/>
    <n v="0"/>
    <n v="0"/>
    <n v="0"/>
    <s v="Success"/>
  </r>
  <r>
    <s v="TXN54016675"/>
    <x v="265"/>
    <x v="3"/>
    <x v="0"/>
    <n v="137500"/>
    <x v="0"/>
    <x v="3"/>
    <x v="0"/>
    <n v="2543.75"/>
    <n v="1017.5"/>
    <n v="1526.25"/>
    <s v="Success"/>
  </r>
  <r>
    <s v="TXN84896061"/>
    <x v="266"/>
    <x v="3"/>
    <x v="4"/>
    <n v="91826"/>
    <x v="0"/>
    <x v="1"/>
    <x v="3"/>
    <n v="918.26"/>
    <n v="0"/>
    <n v="918.26"/>
    <s v="Success"/>
  </r>
  <r>
    <s v="TXN29978055"/>
    <x v="267"/>
    <x v="1"/>
    <x v="2"/>
    <n v="1567"/>
    <x v="0"/>
    <x v="5"/>
    <x v="0"/>
    <n v="0"/>
    <n v="0"/>
    <n v="0"/>
    <s v="Success"/>
  </r>
  <r>
    <s v="TXN21639095"/>
    <x v="268"/>
    <x v="3"/>
    <x v="3"/>
    <n v="66212"/>
    <x v="0"/>
    <x v="1"/>
    <x v="0"/>
    <n v="0"/>
    <n v="0"/>
    <n v="0"/>
    <s v="Success"/>
  </r>
  <r>
    <s v="TXN51460405"/>
    <x v="269"/>
    <x v="0"/>
    <x v="2"/>
    <n v="912"/>
    <x v="0"/>
    <x v="3"/>
    <x v="0"/>
    <n v="0"/>
    <n v="0"/>
    <n v="0"/>
    <s v="Success"/>
  </r>
  <r>
    <s v="TXN81628083"/>
    <x v="270"/>
    <x v="5"/>
    <x v="3"/>
    <n v="28828"/>
    <x v="0"/>
    <x v="8"/>
    <x v="0"/>
    <n v="0"/>
    <n v="0"/>
    <n v="0"/>
    <s v="Success"/>
  </r>
  <r>
    <s v="TXN85260859"/>
    <x v="271"/>
    <x v="3"/>
    <x v="4"/>
    <n v="139924"/>
    <x v="0"/>
    <x v="6"/>
    <x v="5"/>
    <n v="1399.24"/>
    <n v="0"/>
    <n v="1399.24"/>
    <s v="Success"/>
  </r>
  <r>
    <s v="TXN11396280"/>
    <x v="272"/>
    <x v="3"/>
    <x v="2"/>
    <n v="3140"/>
    <x v="0"/>
    <x v="6"/>
    <x v="0"/>
    <n v="0"/>
    <n v="0"/>
    <n v="0"/>
    <s v="Success"/>
  </r>
  <r>
    <s v="TXN75478232"/>
    <x v="273"/>
    <x v="4"/>
    <x v="2"/>
    <n v="2264"/>
    <x v="0"/>
    <x v="1"/>
    <x v="0"/>
    <n v="0"/>
    <n v="0"/>
    <n v="0"/>
    <s v="Success"/>
  </r>
  <r>
    <s v="TXN60583443"/>
    <x v="274"/>
    <x v="3"/>
    <x v="1"/>
    <n v="71948"/>
    <x v="0"/>
    <x v="6"/>
    <x v="0"/>
    <n v="5"/>
    <n v="0"/>
    <n v="5"/>
    <s v="Success"/>
  </r>
  <r>
    <s v="TXN45972696"/>
    <x v="275"/>
    <x v="0"/>
    <x v="2"/>
    <n v="24"/>
    <x v="1"/>
    <x v="4"/>
    <x v="0"/>
    <n v="0"/>
    <n v="0"/>
    <n v="0"/>
    <s v="Success"/>
  </r>
  <r>
    <s v="TXN16616097"/>
    <x v="276"/>
    <x v="0"/>
    <x v="1"/>
    <n v="80153"/>
    <x v="0"/>
    <x v="0"/>
    <x v="0"/>
    <n v="5"/>
    <n v="0"/>
    <n v="5"/>
    <s v="Success"/>
  </r>
  <r>
    <s v="TXN36439932"/>
    <x v="277"/>
    <x v="1"/>
    <x v="0"/>
    <n v="162000"/>
    <x v="0"/>
    <x v="3"/>
    <x v="0"/>
    <n v="2997"/>
    <n v="1198.8"/>
    <n v="1798.2"/>
    <s v="Success"/>
  </r>
  <r>
    <s v="TXN80401677"/>
    <x v="278"/>
    <x v="3"/>
    <x v="4"/>
    <n v="1913"/>
    <x v="0"/>
    <x v="8"/>
    <x v="1"/>
    <n v="19.13"/>
    <n v="0"/>
    <n v="19.13"/>
    <s v="Success"/>
  </r>
  <r>
    <s v="TXN84778740"/>
    <x v="279"/>
    <x v="1"/>
    <x v="3"/>
    <n v="106038"/>
    <x v="1"/>
    <x v="5"/>
    <x v="0"/>
    <n v="0"/>
    <n v="0"/>
    <n v="0"/>
    <s v="Success"/>
  </r>
  <r>
    <s v="TXN35710778"/>
    <x v="280"/>
    <x v="5"/>
    <x v="0"/>
    <n v="193500"/>
    <x v="0"/>
    <x v="5"/>
    <x v="0"/>
    <n v="3579.75"/>
    <n v="1431.9"/>
    <n v="2147.85"/>
    <s v="Success"/>
  </r>
  <r>
    <s v="TXN66552240"/>
    <x v="281"/>
    <x v="1"/>
    <x v="0"/>
    <n v="204500"/>
    <x v="1"/>
    <x v="5"/>
    <x v="0"/>
    <n v="3783.25"/>
    <n v="1513.3"/>
    <n v="2269.9499999999998"/>
    <s v="Success"/>
  </r>
  <r>
    <s v="TXN22742893"/>
    <x v="282"/>
    <x v="2"/>
    <x v="3"/>
    <n v="86942"/>
    <x v="0"/>
    <x v="6"/>
    <x v="0"/>
    <n v="0"/>
    <n v="0"/>
    <n v="0"/>
    <s v="Success"/>
  </r>
  <r>
    <s v="TXN33802583"/>
    <x v="283"/>
    <x v="4"/>
    <x v="3"/>
    <n v="34143"/>
    <x v="0"/>
    <x v="1"/>
    <x v="0"/>
    <n v="0"/>
    <n v="0"/>
    <n v="0"/>
    <s v="Success"/>
  </r>
  <r>
    <s v="TXN55822004"/>
    <x v="284"/>
    <x v="2"/>
    <x v="3"/>
    <n v="219"/>
    <x v="0"/>
    <x v="8"/>
    <x v="0"/>
    <n v="0"/>
    <n v="0"/>
    <n v="0"/>
    <s v="Success"/>
  </r>
  <r>
    <s v="TXN15664647"/>
    <x v="285"/>
    <x v="1"/>
    <x v="2"/>
    <n v="4995"/>
    <x v="0"/>
    <x v="3"/>
    <x v="0"/>
    <n v="0"/>
    <n v="0"/>
    <n v="0"/>
    <s v="Failed"/>
  </r>
  <r>
    <s v="TXN74906337"/>
    <x v="286"/>
    <x v="2"/>
    <x v="3"/>
    <n v="86883"/>
    <x v="0"/>
    <x v="8"/>
    <x v="0"/>
    <n v="0"/>
    <n v="0"/>
    <n v="0"/>
    <s v="Success"/>
  </r>
  <r>
    <s v="TXN69068609"/>
    <x v="287"/>
    <x v="5"/>
    <x v="1"/>
    <n v="116927"/>
    <x v="0"/>
    <x v="0"/>
    <x v="0"/>
    <n v="5"/>
    <n v="0"/>
    <n v="5"/>
    <s v="Success"/>
  </r>
  <r>
    <s v="TXN45596964"/>
    <x v="288"/>
    <x v="4"/>
    <x v="1"/>
    <n v="84545"/>
    <x v="0"/>
    <x v="6"/>
    <x v="0"/>
    <n v="5"/>
    <n v="0"/>
    <n v="5"/>
    <s v="Success"/>
  </r>
  <r>
    <s v="TXN10462840"/>
    <x v="289"/>
    <x v="5"/>
    <x v="3"/>
    <n v="70344"/>
    <x v="0"/>
    <x v="8"/>
    <x v="0"/>
    <n v="0"/>
    <n v="0"/>
    <n v="0"/>
    <s v="Success"/>
  </r>
  <r>
    <s v="TXN33336720"/>
    <x v="290"/>
    <x v="7"/>
    <x v="3"/>
    <n v="90240"/>
    <x v="0"/>
    <x v="3"/>
    <x v="0"/>
    <n v="0"/>
    <n v="0"/>
    <n v="0"/>
    <s v="Success"/>
  </r>
  <r>
    <s v="TXN66303707"/>
    <x v="291"/>
    <x v="4"/>
    <x v="0"/>
    <n v="122000"/>
    <x v="2"/>
    <x v="6"/>
    <x v="0"/>
    <n v="2257"/>
    <n v="902.8"/>
    <n v="1354.2"/>
    <s v="Success"/>
  </r>
  <r>
    <s v="TXN63466265"/>
    <x v="292"/>
    <x v="5"/>
    <x v="0"/>
    <n v="56500"/>
    <x v="0"/>
    <x v="5"/>
    <x v="0"/>
    <n v="1045.25"/>
    <n v="418.1"/>
    <n v="627.15"/>
    <s v="Success"/>
  </r>
  <r>
    <s v="TXN71275741"/>
    <x v="293"/>
    <x v="2"/>
    <x v="0"/>
    <n v="75000"/>
    <x v="1"/>
    <x v="5"/>
    <x v="0"/>
    <n v="1387.5"/>
    <n v="555"/>
    <n v="832.5"/>
    <s v="Failed"/>
  </r>
  <r>
    <s v="TXN39307100"/>
    <x v="294"/>
    <x v="0"/>
    <x v="2"/>
    <n v="2534"/>
    <x v="0"/>
    <x v="1"/>
    <x v="0"/>
    <n v="0"/>
    <n v="0"/>
    <n v="0"/>
    <s v="Success"/>
  </r>
  <r>
    <s v="TXN64558614"/>
    <x v="295"/>
    <x v="1"/>
    <x v="0"/>
    <n v="158000"/>
    <x v="0"/>
    <x v="0"/>
    <x v="0"/>
    <n v="2923"/>
    <n v="1169.2"/>
    <n v="1753.8"/>
    <s v="Success"/>
  </r>
  <r>
    <s v="TXN16475220"/>
    <x v="296"/>
    <x v="3"/>
    <x v="2"/>
    <n v="3596"/>
    <x v="0"/>
    <x v="0"/>
    <x v="0"/>
    <n v="0"/>
    <n v="0"/>
    <n v="0"/>
    <s v="Success"/>
  </r>
  <r>
    <s v="TXN53473231"/>
    <x v="297"/>
    <x v="2"/>
    <x v="1"/>
    <n v="71102"/>
    <x v="0"/>
    <x v="3"/>
    <x v="0"/>
    <n v="5"/>
    <n v="0"/>
    <n v="5"/>
    <s v="Success"/>
  </r>
  <r>
    <s v="TXN50345957"/>
    <x v="298"/>
    <x v="1"/>
    <x v="2"/>
    <n v="1063"/>
    <x v="0"/>
    <x v="5"/>
    <x v="0"/>
    <n v="0"/>
    <n v="0"/>
    <n v="0"/>
    <s v="Success"/>
  </r>
  <r>
    <s v="TXN73304057"/>
    <x v="299"/>
    <x v="0"/>
    <x v="4"/>
    <n v="99882"/>
    <x v="1"/>
    <x v="7"/>
    <x v="5"/>
    <n v="998.82"/>
    <n v="0"/>
    <n v="998.82"/>
    <s v="Success"/>
  </r>
  <r>
    <s v="TXN40707967"/>
    <x v="300"/>
    <x v="2"/>
    <x v="2"/>
    <n v="1279"/>
    <x v="0"/>
    <x v="8"/>
    <x v="0"/>
    <n v="0"/>
    <n v="0"/>
    <n v="0"/>
    <s v="Success"/>
  </r>
  <r>
    <s v="TXN80185213"/>
    <x v="301"/>
    <x v="6"/>
    <x v="0"/>
    <n v="51500"/>
    <x v="0"/>
    <x v="0"/>
    <x v="0"/>
    <n v="952.75"/>
    <n v="381.1"/>
    <n v="571.65"/>
    <s v="Success"/>
  </r>
  <r>
    <s v="TXN69446327"/>
    <x v="302"/>
    <x v="1"/>
    <x v="4"/>
    <n v="38675"/>
    <x v="0"/>
    <x v="3"/>
    <x v="1"/>
    <n v="386.75"/>
    <n v="0"/>
    <n v="386.75"/>
    <s v="Success"/>
  </r>
  <r>
    <s v="TXN21584255"/>
    <x v="303"/>
    <x v="1"/>
    <x v="0"/>
    <n v="33500"/>
    <x v="1"/>
    <x v="0"/>
    <x v="0"/>
    <n v="619.75"/>
    <n v="247.9"/>
    <n v="371.85"/>
    <s v="Success"/>
  </r>
  <r>
    <s v="TXN96518274"/>
    <x v="304"/>
    <x v="1"/>
    <x v="0"/>
    <n v="198500"/>
    <x v="0"/>
    <x v="5"/>
    <x v="0"/>
    <n v="3672.25"/>
    <n v="1468.9"/>
    <n v="2203.35"/>
    <s v="Success"/>
  </r>
  <r>
    <s v="TXN55054333"/>
    <x v="305"/>
    <x v="5"/>
    <x v="2"/>
    <n v="3092"/>
    <x v="0"/>
    <x v="0"/>
    <x v="0"/>
    <n v="0"/>
    <n v="0"/>
    <n v="0"/>
    <s v="Success"/>
  </r>
  <r>
    <s v="TXN72813092"/>
    <x v="306"/>
    <x v="6"/>
    <x v="4"/>
    <n v="130274"/>
    <x v="0"/>
    <x v="5"/>
    <x v="2"/>
    <n v="1302.74"/>
    <n v="0"/>
    <n v="1302.74"/>
    <s v="Success"/>
  </r>
  <r>
    <s v="TXN52698269"/>
    <x v="307"/>
    <x v="4"/>
    <x v="3"/>
    <n v="20704"/>
    <x v="0"/>
    <x v="7"/>
    <x v="0"/>
    <n v="0"/>
    <n v="0"/>
    <n v="0"/>
    <s v="Success"/>
  </r>
  <r>
    <s v="TXN76115749"/>
    <x v="308"/>
    <x v="1"/>
    <x v="3"/>
    <n v="142641"/>
    <x v="0"/>
    <x v="8"/>
    <x v="0"/>
    <n v="0"/>
    <n v="0"/>
    <n v="0"/>
    <s v="Success"/>
  </r>
  <r>
    <s v="TXN56982904"/>
    <x v="309"/>
    <x v="5"/>
    <x v="1"/>
    <n v="95650"/>
    <x v="0"/>
    <x v="3"/>
    <x v="0"/>
    <n v="5"/>
    <n v="0"/>
    <n v="5"/>
    <s v="Success"/>
  </r>
  <r>
    <s v="TXN69847577"/>
    <x v="310"/>
    <x v="7"/>
    <x v="2"/>
    <n v="2765"/>
    <x v="0"/>
    <x v="5"/>
    <x v="0"/>
    <n v="0"/>
    <n v="0"/>
    <n v="0"/>
    <s v="Success"/>
  </r>
  <r>
    <s v="TXN92708180"/>
    <x v="311"/>
    <x v="2"/>
    <x v="3"/>
    <n v="4881"/>
    <x v="0"/>
    <x v="4"/>
    <x v="0"/>
    <n v="0"/>
    <n v="0"/>
    <n v="0"/>
    <s v="Success"/>
  </r>
  <r>
    <s v="TXN50476772"/>
    <x v="312"/>
    <x v="7"/>
    <x v="3"/>
    <n v="98433"/>
    <x v="0"/>
    <x v="1"/>
    <x v="0"/>
    <n v="0"/>
    <n v="0"/>
    <n v="0"/>
    <s v="Success"/>
  </r>
  <r>
    <s v="TXN14694443"/>
    <x v="313"/>
    <x v="0"/>
    <x v="3"/>
    <n v="58653"/>
    <x v="0"/>
    <x v="8"/>
    <x v="0"/>
    <n v="0"/>
    <n v="0"/>
    <n v="0"/>
    <s v="Success"/>
  </r>
  <r>
    <s v="TXN10520351"/>
    <x v="314"/>
    <x v="6"/>
    <x v="2"/>
    <n v="3020"/>
    <x v="1"/>
    <x v="6"/>
    <x v="0"/>
    <n v="0"/>
    <n v="0"/>
    <n v="0"/>
    <s v="Success"/>
  </r>
  <r>
    <s v="TXN36802195"/>
    <x v="315"/>
    <x v="0"/>
    <x v="3"/>
    <n v="91785"/>
    <x v="0"/>
    <x v="8"/>
    <x v="0"/>
    <n v="0"/>
    <n v="0"/>
    <n v="0"/>
    <s v="Success"/>
  </r>
  <r>
    <s v="TXN78475462"/>
    <x v="316"/>
    <x v="6"/>
    <x v="0"/>
    <n v="88500"/>
    <x v="0"/>
    <x v="8"/>
    <x v="0"/>
    <n v="1637.25"/>
    <n v="654.9"/>
    <n v="982.35"/>
    <s v="Success"/>
  </r>
  <r>
    <s v="TXN73134108"/>
    <x v="317"/>
    <x v="6"/>
    <x v="4"/>
    <n v="111189"/>
    <x v="0"/>
    <x v="8"/>
    <x v="1"/>
    <n v="1111.8900000000001"/>
    <n v="0"/>
    <n v="1111.8900000000001"/>
    <s v="Success"/>
  </r>
  <r>
    <s v="TXN89076172"/>
    <x v="318"/>
    <x v="5"/>
    <x v="3"/>
    <n v="95197"/>
    <x v="0"/>
    <x v="1"/>
    <x v="0"/>
    <n v="0"/>
    <n v="0"/>
    <n v="0"/>
    <s v="Success"/>
  </r>
  <r>
    <s v="TXN17338842"/>
    <x v="319"/>
    <x v="5"/>
    <x v="2"/>
    <n v="1294"/>
    <x v="1"/>
    <x v="0"/>
    <x v="0"/>
    <n v="0"/>
    <n v="0"/>
    <n v="0"/>
    <s v="Success"/>
  </r>
  <r>
    <s v="TXN28435843"/>
    <x v="320"/>
    <x v="1"/>
    <x v="1"/>
    <n v="4579"/>
    <x v="0"/>
    <x v="1"/>
    <x v="0"/>
    <n v="5"/>
    <n v="0"/>
    <n v="5"/>
    <s v="Success"/>
  </r>
  <r>
    <s v="TXN79225696"/>
    <x v="321"/>
    <x v="1"/>
    <x v="1"/>
    <n v="113583"/>
    <x v="0"/>
    <x v="6"/>
    <x v="0"/>
    <n v="5"/>
    <n v="0"/>
    <n v="5"/>
    <s v="Success"/>
  </r>
  <r>
    <s v="TXN39334224"/>
    <x v="322"/>
    <x v="1"/>
    <x v="1"/>
    <n v="31441"/>
    <x v="0"/>
    <x v="3"/>
    <x v="0"/>
    <n v="5"/>
    <n v="0"/>
    <n v="5"/>
    <s v="Success"/>
  </r>
  <r>
    <s v="TXN23991994"/>
    <x v="323"/>
    <x v="1"/>
    <x v="2"/>
    <n v="3395"/>
    <x v="0"/>
    <x v="6"/>
    <x v="0"/>
    <n v="0"/>
    <n v="0"/>
    <n v="0"/>
    <s v="Success"/>
  </r>
  <r>
    <s v="TXN69010771"/>
    <x v="324"/>
    <x v="2"/>
    <x v="0"/>
    <n v="54000"/>
    <x v="2"/>
    <x v="0"/>
    <x v="0"/>
    <n v="999"/>
    <n v="399.6"/>
    <n v="599.4"/>
    <s v="Success"/>
  </r>
  <r>
    <s v="TXN53533270"/>
    <x v="325"/>
    <x v="3"/>
    <x v="0"/>
    <n v="226000"/>
    <x v="1"/>
    <x v="5"/>
    <x v="0"/>
    <n v="4181"/>
    <n v="1672.4"/>
    <n v="2508.6"/>
    <s v="Success"/>
  </r>
  <r>
    <s v="TXN70758900"/>
    <x v="326"/>
    <x v="2"/>
    <x v="4"/>
    <n v="143065"/>
    <x v="1"/>
    <x v="7"/>
    <x v="5"/>
    <n v="1430.65"/>
    <n v="0"/>
    <n v="1430.65"/>
    <s v="Success"/>
  </r>
  <r>
    <s v="TXN86208732"/>
    <x v="327"/>
    <x v="7"/>
    <x v="0"/>
    <n v="214000"/>
    <x v="1"/>
    <x v="6"/>
    <x v="0"/>
    <n v="3959"/>
    <n v="1583.6"/>
    <n v="2375.4"/>
    <s v="Success"/>
  </r>
  <r>
    <s v="TXN65784003"/>
    <x v="328"/>
    <x v="3"/>
    <x v="1"/>
    <n v="97164"/>
    <x v="0"/>
    <x v="6"/>
    <x v="0"/>
    <n v="5"/>
    <n v="0"/>
    <n v="5"/>
    <s v="Success"/>
  </r>
  <r>
    <s v="TXN73573752"/>
    <x v="329"/>
    <x v="4"/>
    <x v="1"/>
    <n v="119010"/>
    <x v="0"/>
    <x v="3"/>
    <x v="0"/>
    <n v="5"/>
    <n v="0"/>
    <n v="5"/>
    <s v="Success"/>
  </r>
  <r>
    <s v="TXN84098688"/>
    <x v="330"/>
    <x v="7"/>
    <x v="3"/>
    <n v="65668"/>
    <x v="0"/>
    <x v="0"/>
    <x v="0"/>
    <n v="0"/>
    <n v="0"/>
    <n v="0"/>
    <s v="Success"/>
  </r>
  <r>
    <s v="TXN53333316"/>
    <x v="331"/>
    <x v="7"/>
    <x v="2"/>
    <n v="2404"/>
    <x v="1"/>
    <x v="5"/>
    <x v="0"/>
    <n v="0"/>
    <n v="0"/>
    <n v="0"/>
    <s v="Success"/>
  </r>
  <r>
    <s v="TXN59398314"/>
    <x v="332"/>
    <x v="0"/>
    <x v="2"/>
    <n v="1602"/>
    <x v="0"/>
    <x v="2"/>
    <x v="0"/>
    <n v="0"/>
    <n v="0"/>
    <n v="0"/>
    <s v="Success"/>
  </r>
  <r>
    <s v="TXN33884878"/>
    <x v="333"/>
    <x v="5"/>
    <x v="4"/>
    <n v="144366"/>
    <x v="0"/>
    <x v="6"/>
    <x v="4"/>
    <n v="1443.66"/>
    <n v="0"/>
    <n v="1443.66"/>
    <s v="Success"/>
  </r>
  <r>
    <s v="TXN50632423"/>
    <x v="334"/>
    <x v="3"/>
    <x v="2"/>
    <n v="2852"/>
    <x v="2"/>
    <x v="8"/>
    <x v="0"/>
    <n v="0"/>
    <n v="0"/>
    <n v="0"/>
    <s v="Success"/>
  </r>
  <r>
    <s v="TXN85326398"/>
    <x v="335"/>
    <x v="4"/>
    <x v="0"/>
    <n v="130500"/>
    <x v="0"/>
    <x v="1"/>
    <x v="0"/>
    <n v="2414.25"/>
    <n v="965.7"/>
    <n v="1448.55"/>
    <s v="Success"/>
  </r>
  <r>
    <s v="TXN54118691"/>
    <x v="336"/>
    <x v="1"/>
    <x v="3"/>
    <n v="133585"/>
    <x v="0"/>
    <x v="3"/>
    <x v="0"/>
    <n v="0"/>
    <n v="0"/>
    <n v="0"/>
    <s v="Success"/>
  </r>
  <r>
    <s v="TXN39147952"/>
    <x v="337"/>
    <x v="0"/>
    <x v="1"/>
    <n v="104872"/>
    <x v="1"/>
    <x v="3"/>
    <x v="0"/>
    <n v="5"/>
    <n v="0"/>
    <n v="5"/>
    <s v="Failed"/>
  </r>
  <r>
    <s v="TXN25836384"/>
    <x v="338"/>
    <x v="3"/>
    <x v="1"/>
    <n v="147915"/>
    <x v="0"/>
    <x v="7"/>
    <x v="0"/>
    <n v="5"/>
    <n v="0"/>
    <n v="5"/>
    <s v="Success"/>
  </r>
  <r>
    <s v="TXN66476960"/>
    <x v="339"/>
    <x v="1"/>
    <x v="1"/>
    <n v="59269"/>
    <x v="2"/>
    <x v="8"/>
    <x v="0"/>
    <n v="5"/>
    <n v="0"/>
    <n v="5"/>
    <s v="Failed"/>
  </r>
  <r>
    <s v="TXN41606479"/>
    <x v="340"/>
    <x v="4"/>
    <x v="3"/>
    <n v="32034"/>
    <x v="0"/>
    <x v="6"/>
    <x v="0"/>
    <n v="0"/>
    <n v="0"/>
    <n v="0"/>
    <s v="Success"/>
  </r>
  <r>
    <s v="TXN62785605"/>
    <x v="341"/>
    <x v="6"/>
    <x v="4"/>
    <n v="19149"/>
    <x v="0"/>
    <x v="0"/>
    <x v="4"/>
    <n v="191.49"/>
    <n v="0"/>
    <n v="191.49"/>
    <s v="Success"/>
  </r>
  <r>
    <s v="TXN37115981"/>
    <x v="342"/>
    <x v="3"/>
    <x v="1"/>
    <n v="3235"/>
    <x v="0"/>
    <x v="8"/>
    <x v="0"/>
    <n v="5"/>
    <n v="0"/>
    <n v="5"/>
    <s v="Success"/>
  </r>
  <r>
    <s v="TXN37313653"/>
    <x v="343"/>
    <x v="2"/>
    <x v="4"/>
    <n v="5210"/>
    <x v="0"/>
    <x v="0"/>
    <x v="2"/>
    <n v="52.1"/>
    <n v="0"/>
    <n v="52.1"/>
    <s v="Success"/>
  </r>
  <r>
    <s v="TXN11029343"/>
    <x v="344"/>
    <x v="4"/>
    <x v="2"/>
    <n v="4005"/>
    <x v="2"/>
    <x v="3"/>
    <x v="0"/>
    <n v="0"/>
    <n v="0"/>
    <n v="0"/>
    <s v="Success"/>
  </r>
  <r>
    <s v="TXN38240461"/>
    <x v="345"/>
    <x v="3"/>
    <x v="0"/>
    <n v="175000"/>
    <x v="0"/>
    <x v="4"/>
    <x v="0"/>
    <n v="3237.5"/>
    <n v="1295"/>
    <n v="1942.5"/>
    <s v="Success"/>
  </r>
  <r>
    <s v="TXN94785510"/>
    <x v="346"/>
    <x v="7"/>
    <x v="1"/>
    <n v="49889"/>
    <x v="1"/>
    <x v="4"/>
    <x v="0"/>
    <n v="5"/>
    <n v="0"/>
    <n v="5"/>
    <s v="Success"/>
  </r>
  <r>
    <s v="TXN42747265"/>
    <x v="347"/>
    <x v="3"/>
    <x v="4"/>
    <n v="102058"/>
    <x v="0"/>
    <x v="0"/>
    <x v="3"/>
    <n v="1020.58"/>
    <n v="0"/>
    <n v="1020.58"/>
    <s v="Success"/>
  </r>
  <r>
    <s v="TXN79843291"/>
    <x v="348"/>
    <x v="2"/>
    <x v="4"/>
    <n v="76275"/>
    <x v="0"/>
    <x v="7"/>
    <x v="1"/>
    <n v="762.75"/>
    <n v="0"/>
    <n v="762.75"/>
    <s v="Success"/>
  </r>
  <r>
    <s v="TXN24396516"/>
    <x v="349"/>
    <x v="0"/>
    <x v="4"/>
    <n v="53231"/>
    <x v="0"/>
    <x v="5"/>
    <x v="5"/>
    <n v="532.30999999999995"/>
    <n v="0"/>
    <n v="532.30999999999995"/>
    <s v="Success"/>
  </r>
  <r>
    <s v="TXN54121102"/>
    <x v="350"/>
    <x v="3"/>
    <x v="3"/>
    <n v="33883"/>
    <x v="0"/>
    <x v="6"/>
    <x v="0"/>
    <n v="0"/>
    <n v="0"/>
    <n v="0"/>
    <s v="Success"/>
  </r>
  <r>
    <s v="TXN85830501"/>
    <x v="351"/>
    <x v="7"/>
    <x v="1"/>
    <n v="133483"/>
    <x v="1"/>
    <x v="5"/>
    <x v="0"/>
    <n v="5"/>
    <n v="0"/>
    <n v="5"/>
    <s v="Success"/>
  </r>
  <r>
    <s v="TXN24564484"/>
    <x v="352"/>
    <x v="0"/>
    <x v="1"/>
    <n v="143207"/>
    <x v="0"/>
    <x v="0"/>
    <x v="0"/>
    <n v="5"/>
    <n v="0"/>
    <n v="5"/>
    <s v="Success"/>
  </r>
  <r>
    <s v="TXN73873789"/>
    <x v="353"/>
    <x v="6"/>
    <x v="1"/>
    <n v="84573"/>
    <x v="0"/>
    <x v="1"/>
    <x v="0"/>
    <n v="5"/>
    <n v="0"/>
    <n v="5"/>
    <s v="Success"/>
  </r>
  <r>
    <s v="TXN82765203"/>
    <x v="354"/>
    <x v="3"/>
    <x v="4"/>
    <n v="25875"/>
    <x v="0"/>
    <x v="3"/>
    <x v="3"/>
    <n v="258.75"/>
    <n v="0"/>
    <n v="258.75"/>
    <s v="Success"/>
  </r>
  <r>
    <s v="TXN66505341"/>
    <x v="355"/>
    <x v="0"/>
    <x v="1"/>
    <n v="48063"/>
    <x v="0"/>
    <x v="5"/>
    <x v="0"/>
    <n v="5"/>
    <n v="0"/>
    <n v="5"/>
    <s v="Success"/>
  </r>
  <r>
    <s v="TXN87978502"/>
    <x v="356"/>
    <x v="0"/>
    <x v="3"/>
    <n v="10214"/>
    <x v="0"/>
    <x v="7"/>
    <x v="0"/>
    <n v="0"/>
    <n v="0"/>
    <n v="0"/>
    <s v="Success"/>
  </r>
  <r>
    <s v="TXN20243825"/>
    <x v="357"/>
    <x v="1"/>
    <x v="1"/>
    <n v="96902"/>
    <x v="0"/>
    <x v="2"/>
    <x v="0"/>
    <n v="5"/>
    <n v="0"/>
    <n v="5"/>
    <s v="Success"/>
  </r>
  <r>
    <s v="TXN24328824"/>
    <x v="358"/>
    <x v="1"/>
    <x v="1"/>
    <n v="146372"/>
    <x v="0"/>
    <x v="4"/>
    <x v="0"/>
    <n v="5"/>
    <n v="0"/>
    <n v="5"/>
    <s v="Success"/>
  </r>
  <r>
    <s v="TXN19335652"/>
    <x v="359"/>
    <x v="3"/>
    <x v="4"/>
    <n v="46524"/>
    <x v="0"/>
    <x v="5"/>
    <x v="3"/>
    <n v="465.24"/>
    <n v="0"/>
    <n v="465.24"/>
    <s v="Success"/>
  </r>
  <r>
    <s v="TXN11739500"/>
    <x v="360"/>
    <x v="2"/>
    <x v="3"/>
    <n v="118281"/>
    <x v="0"/>
    <x v="1"/>
    <x v="0"/>
    <n v="0"/>
    <n v="0"/>
    <n v="0"/>
    <s v="Success"/>
  </r>
  <r>
    <s v="TXN29347573"/>
    <x v="361"/>
    <x v="5"/>
    <x v="4"/>
    <n v="84292"/>
    <x v="0"/>
    <x v="3"/>
    <x v="1"/>
    <n v="842.92"/>
    <n v="0"/>
    <n v="842.92"/>
    <s v="Success"/>
  </r>
  <r>
    <s v="TXN41475292"/>
    <x v="362"/>
    <x v="6"/>
    <x v="4"/>
    <n v="119038"/>
    <x v="0"/>
    <x v="4"/>
    <x v="4"/>
    <n v="1190.3800000000001"/>
    <n v="0"/>
    <n v="1190.3800000000001"/>
    <s v="Success"/>
  </r>
  <r>
    <s v="TXN19283622"/>
    <x v="363"/>
    <x v="2"/>
    <x v="4"/>
    <n v="40969"/>
    <x v="0"/>
    <x v="6"/>
    <x v="5"/>
    <n v="409.69"/>
    <n v="0"/>
    <n v="409.69"/>
    <s v="Success"/>
  </r>
  <r>
    <s v="TXN89925909"/>
    <x v="364"/>
    <x v="4"/>
    <x v="4"/>
    <n v="14744"/>
    <x v="1"/>
    <x v="0"/>
    <x v="1"/>
    <n v="147.44"/>
    <n v="0"/>
    <n v="147.44"/>
    <s v="Success"/>
  </r>
  <r>
    <s v="TXN22924764"/>
    <x v="365"/>
    <x v="1"/>
    <x v="0"/>
    <n v="163500"/>
    <x v="0"/>
    <x v="0"/>
    <x v="0"/>
    <n v="3024.75"/>
    <n v="1209.9000000000001"/>
    <n v="1814.85"/>
    <s v="Success"/>
  </r>
  <r>
    <s v="TXN22353394"/>
    <x v="366"/>
    <x v="6"/>
    <x v="4"/>
    <n v="13837"/>
    <x v="0"/>
    <x v="2"/>
    <x v="1"/>
    <n v="138.37"/>
    <n v="0"/>
    <n v="138.37"/>
    <s v="Success"/>
  </r>
  <r>
    <s v="TXN63553109"/>
    <x v="367"/>
    <x v="2"/>
    <x v="1"/>
    <n v="19815"/>
    <x v="0"/>
    <x v="3"/>
    <x v="0"/>
    <n v="5"/>
    <n v="0"/>
    <n v="5"/>
    <s v="Success"/>
  </r>
  <r>
    <s v="TXN21250073"/>
    <x v="368"/>
    <x v="3"/>
    <x v="0"/>
    <n v="137000"/>
    <x v="0"/>
    <x v="7"/>
    <x v="0"/>
    <n v="2534.5"/>
    <n v="1013.8"/>
    <n v="1520.7"/>
    <s v="Success"/>
  </r>
  <r>
    <s v="TXN86409429"/>
    <x v="369"/>
    <x v="3"/>
    <x v="0"/>
    <n v="30500"/>
    <x v="2"/>
    <x v="7"/>
    <x v="0"/>
    <n v="564.25"/>
    <n v="225.7"/>
    <n v="338.55"/>
    <s v="Success"/>
  </r>
  <r>
    <s v="TXN65624931"/>
    <x v="370"/>
    <x v="3"/>
    <x v="1"/>
    <n v="25555"/>
    <x v="1"/>
    <x v="2"/>
    <x v="0"/>
    <n v="5"/>
    <n v="0"/>
    <n v="5"/>
    <s v="Success"/>
  </r>
  <r>
    <s v="TXN14538162"/>
    <x v="371"/>
    <x v="0"/>
    <x v="2"/>
    <n v="907"/>
    <x v="1"/>
    <x v="5"/>
    <x v="0"/>
    <n v="0"/>
    <n v="0"/>
    <n v="0"/>
    <s v="Failed"/>
  </r>
  <r>
    <s v="TXN52374414"/>
    <x v="372"/>
    <x v="2"/>
    <x v="3"/>
    <n v="116384"/>
    <x v="0"/>
    <x v="5"/>
    <x v="0"/>
    <n v="0"/>
    <n v="0"/>
    <n v="0"/>
    <s v="Success"/>
  </r>
  <r>
    <s v="TXN85963941"/>
    <x v="373"/>
    <x v="3"/>
    <x v="2"/>
    <n v="1014"/>
    <x v="0"/>
    <x v="3"/>
    <x v="0"/>
    <n v="0"/>
    <n v="0"/>
    <n v="0"/>
    <s v="Success"/>
  </r>
  <r>
    <s v="TXN49006145"/>
    <x v="374"/>
    <x v="4"/>
    <x v="2"/>
    <n v="51"/>
    <x v="0"/>
    <x v="1"/>
    <x v="0"/>
    <n v="0"/>
    <n v="0"/>
    <n v="0"/>
    <s v="Success"/>
  </r>
  <r>
    <s v="TXN93972200"/>
    <x v="375"/>
    <x v="6"/>
    <x v="0"/>
    <n v="209000"/>
    <x v="0"/>
    <x v="5"/>
    <x v="0"/>
    <n v="3866.5"/>
    <n v="1546.6"/>
    <n v="2319.9"/>
    <s v="Success"/>
  </r>
  <r>
    <s v="TXN57592085"/>
    <x v="376"/>
    <x v="3"/>
    <x v="1"/>
    <n v="121109"/>
    <x v="0"/>
    <x v="4"/>
    <x v="0"/>
    <n v="5"/>
    <n v="0"/>
    <n v="5"/>
    <s v="Failed"/>
  </r>
  <r>
    <s v="TXN69323943"/>
    <x v="377"/>
    <x v="5"/>
    <x v="1"/>
    <n v="135924"/>
    <x v="0"/>
    <x v="4"/>
    <x v="0"/>
    <n v="5"/>
    <n v="0"/>
    <n v="5"/>
    <s v="Success"/>
  </r>
  <r>
    <s v="TXN91688490"/>
    <x v="378"/>
    <x v="2"/>
    <x v="2"/>
    <n v="4470"/>
    <x v="1"/>
    <x v="2"/>
    <x v="0"/>
    <n v="0"/>
    <n v="0"/>
    <n v="0"/>
    <s v="Success"/>
  </r>
  <r>
    <s v="TXN26840489"/>
    <x v="379"/>
    <x v="1"/>
    <x v="3"/>
    <n v="41921"/>
    <x v="0"/>
    <x v="6"/>
    <x v="0"/>
    <n v="0"/>
    <n v="0"/>
    <n v="0"/>
    <s v="Success"/>
  </r>
  <r>
    <s v="TXN44094190"/>
    <x v="380"/>
    <x v="7"/>
    <x v="2"/>
    <n v="4282"/>
    <x v="0"/>
    <x v="3"/>
    <x v="0"/>
    <n v="0"/>
    <n v="0"/>
    <n v="0"/>
    <s v="Success"/>
  </r>
  <r>
    <s v="TXN30591821"/>
    <x v="381"/>
    <x v="5"/>
    <x v="3"/>
    <n v="15354"/>
    <x v="0"/>
    <x v="1"/>
    <x v="0"/>
    <n v="0"/>
    <n v="0"/>
    <n v="0"/>
    <s v="Success"/>
  </r>
  <r>
    <s v="TXN91586891"/>
    <x v="382"/>
    <x v="7"/>
    <x v="3"/>
    <n v="129298"/>
    <x v="2"/>
    <x v="4"/>
    <x v="0"/>
    <n v="0"/>
    <n v="0"/>
    <n v="0"/>
    <s v="Success"/>
  </r>
  <r>
    <s v="TXN73805484"/>
    <x v="383"/>
    <x v="0"/>
    <x v="4"/>
    <n v="146970"/>
    <x v="1"/>
    <x v="8"/>
    <x v="2"/>
    <n v="1469.7"/>
    <n v="0"/>
    <n v="1469.7"/>
    <s v="Success"/>
  </r>
  <r>
    <s v="TXN28667098"/>
    <x v="384"/>
    <x v="0"/>
    <x v="1"/>
    <n v="21193"/>
    <x v="0"/>
    <x v="5"/>
    <x v="0"/>
    <n v="5"/>
    <n v="0"/>
    <n v="5"/>
    <s v="Success"/>
  </r>
  <r>
    <s v="TXN98490048"/>
    <x v="385"/>
    <x v="1"/>
    <x v="1"/>
    <n v="33405"/>
    <x v="1"/>
    <x v="7"/>
    <x v="0"/>
    <n v="5"/>
    <n v="0"/>
    <n v="5"/>
    <s v="Failed"/>
  </r>
  <r>
    <s v="TXN28606188"/>
    <x v="386"/>
    <x v="1"/>
    <x v="3"/>
    <n v="116846"/>
    <x v="0"/>
    <x v="3"/>
    <x v="0"/>
    <n v="0"/>
    <n v="0"/>
    <n v="0"/>
    <s v="Success"/>
  </r>
  <r>
    <s v="TXN75629037"/>
    <x v="387"/>
    <x v="7"/>
    <x v="3"/>
    <n v="57777"/>
    <x v="0"/>
    <x v="1"/>
    <x v="0"/>
    <n v="0"/>
    <n v="0"/>
    <n v="0"/>
    <s v="Failed"/>
  </r>
  <r>
    <s v="TXN81831612"/>
    <x v="388"/>
    <x v="1"/>
    <x v="2"/>
    <n v="1879"/>
    <x v="0"/>
    <x v="8"/>
    <x v="0"/>
    <n v="0"/>
    <n v="0"/>
    <n v="0"/>
    <s v="Success"/>
  </r>
  <r>
    <s v="TXN83898015"/>
    <x v="389"/>
    <x v="4"/>
    <x v="4"/>
    <n v="129943"/>
    <x v="0"/>
    <x v="0"/>
    <x v="5"/>
    <n v="1299.43"/>
    <n v="0"/>
    <n v="1299.43"/>
    <s v="Success"/>
  </r>
  <r>
    <s v="TXN54513234"/>
    <x v="390"/>
    <x v="7"/>
    <x v="0"/>
    <n v="218000"/>
    <x v="0"/>
    <x v="5"/>
    <x v="0"/>
    <n v="4033"/>
    <n v="1613.2"/>
    <n v="2419.8000000000002"/>
    <s v="Success"/>
  </r>
  <r>
    <s v="TXN60337057"/>
    <x v="391"/>
    <x v="1"/>
    <x v="2"/>
    <n v="4843"/>
    <x v="0"/>
    <x v="5"/>
    <x v="0"/>
    <n v="0"/>
    <n v="0"/>
    <n v="0"/>
    <s v="Success"/>
  </r>
  <r>
    <s v="TXN13186284"/>
    <x v="392"/>
    <x v="5"/>
    <x v="0"/>
    <n v="180000"/>
    <x v="0"/>
    <x v="3"/>
    <x v="0"/>
    <n v="3330"/>
    <n v="1332"/>
    <n v="1998"/>
    <s v="Success"/>
  </r>
  <r>
    <s v="TXN31647803"/>
    <x v="393"/>
    <x v="4"/>
    <x v="0"/>
    <n v="7000"/>
    <x v="0"/>
    <x v="4"/>
    <x v="0"/>
    <n v="129.5"/>
    <n v="51.8"/>
    <n v="77.7"/>
    <s v="Failed"/>
  </r>
  <r>
    <s v="TXN22313403"/>
    <x v="394"/>
    <x v="0"/>
    <x v="4"/>
    <n v="14394"/>
    <x v="0"/>
    <x v="2"/>
    <x v="1"/>
    <n v="143.94"/>
    <n v="0"/>
    <n v="143.94"/>
    <s v="Success"/>
  </r>
  <r>
    <s v="TXN24923259"/>
    <x v="395"/>
    <x v="1"/>
    <x v="4"/>
    <n v="120101"/>
    <x v="0"/>
    <x v="3"/>
    <x v="5"/>
    <n v="1201.01"/>
    <n v="0"/>
    <n v="1201.01"/>
    <s v="Success"/>
  </r>
  <r>
    <s v="TXN50685379"/>
    <x v="396"/>
    <x v="0"/>
    <x v="4"/>
    <n v="147434"/>
    <x v="0"/>
    <x v="2"/>
    <x v="4"/>
    <n v="1474.34"/>
    <n v="0"/>
    <n v="1474.34"/>
    <s v="Success"/>
  </r>
  <r>
    <s v="TXN27813100"/>
    <x v="397"/>
    <x v="3"/>
    <x v="0"/>
    <n v="190500"/>
    <x v="0"/>
    <x v="1"/>
    <x v="0"/>
    <n v="3524.25"/>
    <n v="1409.7"/>
    <n v="2114.5500000000002"/>
    <s v="Success"/>
  </r>
  <r>
    <s v="TXN19545394"/>
    <x v="398"/>
    <x v="2"/>
    <x v="2"/>
    <n v="899"/>
    <x v="0"/>
    <x v="5"/>
    <x v="0"/>
    <n v="0"/>
    <n v="0"/>
    <n v="0"/>
    <s v="Success"/>
  </r>
  <r>
    <s v="TXN96549762"/>
    <x v="399"/>
    <x v="2"/>
    <x v="0"/>
    <n v="49000"/>
    <x v="0"/>
    <x v="5"/>
    <x v="0"/>
    <n v="906.5"/>
    <n v="362.6"/>
    <n v="543.9"/>
    <s v="Success"/>
  </r>
  <r>
    <s v="TXN82472363"/>
    <x v="400"/>
    <x v="1"/>
    <x v="3"/>
    <n v="51262"/>
    <x v="0"/>
    <x v="1"/>
    <x v="0"/>
    <n v="0"/>
    <n v="0"/>
    <n v="0"/>
    <s v="Success"/>
  </r>
  <r>
    <s v="TXN69047121"/>
    <x v="401"/>
    <x v="3"/>
    <x v="0"/>
    <n v="51500"/>
    <x v="0"/>
    <x v="0"/>
    <x v="0"/>
    <n v="952.75"/>
    <n v="381.1"/>
    <n v="571.65"/>
    <s v="Success"/>
  </r>
  <r>
    <s v="TXN87924270"/>
    <x v="402"/>
    <x v="4"/>
    <x v="1"/>
    <n v="30956"/>
    <x v="0"/>
    <x v="6"/>
    <x v="0"/>
    <n v="5"/>
    <n v="0"/>
    <n v="5"/>
    <s v="Success"/>
  </r>
  <r>
    <s v="TXN46362484"/>
    <x v="403"/>
    <x v="3"/>
    <x v="2"/>
    <n v="3663"/>
    <x v="0"/>
    <x v="6"/>
    <x v="0"/>
    <n v="0"/>
    <n v="0"/>
    <n v="0"/>
    <s v="Success"/>
  </r>
  <r>
    <s v="TXN92136136"/>
    <x v="404"/>
    <x v="1"/>
    <x v="2"/>
    <n v="171"/>
    <x v="0"/>
    <x v="6"/>
    <x v="0"/>
    <n v="0"/>
    <n v="0"/>
    <n v="0"/>
    <s v="Success"/>
  </r>
  <r>
    <s v="TXN96603091"/>
    <x v="405"/>
    <x v="3"/>
    <x v="3"/>
    <n v="79131"/>
    <x v="0"/>
    <x v="8"/>
    <x v="0"/>
    <n v="0"/>
    <n v="0"/>
    <n v="0"/>
    <s v="Success"/>
  </r>
  <r>
    <s v="TXN18170343"/>
    <x v="406"/>
    <x v="5"/>
    <x v="1"/>
    <n v="99865"/>
    <x v="0"/>
    <x v="3"/>
    <x v="0"/>
    <n v="5"/>
    <n v="0"/>
    <n v="5"/>
    <s v="Success"/>
  </r>
  <r>
    <s v="TXN66311776"/>
    <x v="407"/>
    <x v="5"/>
    <x v="4"/>
    <n v="128155"/>
    <x v="0"/>
    <x v="3"/>
    <x v="1"/>
    <n v="1281.55"/>
    <n v="0"/>
    <n v="1281.55"/>
    <s v="Success"/>
  </r>
  <r>
    <s v="TXN60086996"/>
    <x v="408"/>
    <x v="2"/>
    <x v="0"/>
    <n v="183500"/>
    <x v="2"/>
    <x v="0"/>
    <x v="0"/>
    <n v="3394.75"/>
    <n v="1357.9"/>
    <n v="2036.85"/>
    <s v="Failed"/>
  </r>
  <r>
    <s v="TXN41232627"/>
    <x v="409"/>
    <x v="5"/>
    <x v="1"/>
    <n v="124703"/>
    <x v="0"/>
    <x v="5"/>
    <x v="0"/>
    <n v="5"/>
    <n v="0"/>
    <n v="5"/>
    <s v="Success"/>
  </r>
  <r>
    <s v="TXN26313080"/>
    <x v="410"/>
    <x v="4"/>
    <x v="1"/>
    <n v="70930"/>
    <x v="0"/>
    <x v="1"/>
    <x v="0"/>
    <n v="5"/>
    <n v="0"/>
    <n v="5"/>
    <s v="Success"/>
  </r>
  <r>
    <s v="TXN77670331"/>
    <x v="411"/>
    <x v="6"/>
    <x v="1"/>
    <n v="3351"/>
    <x v="0"/>
    <x v="4"/>
    <x v="0"/>
    <n v="5"/>
    <n v="0"/>
    <n v="5"/>
    <s v="Success"/>
  </r>
  <r>
    <s v="TXN18711277"/>
    <x v="412"/>
    <x v="0"/>
    <x v="0"/>
    <n v="95500"/>
    <x v="0"/>
    <x v="0"/>
    <x v="0"/>
    <n v="1766.75"/>
    <n v="706.7"/>
    <n v="1060.05"/>
    <s v="Success"/>
  </r>
  <r>
    <s v="TXN67071451"/>
    <x v="413"/>
    <x v="3"/>
    <x v="0"/>
    <n v="179000"/>
    <x v="0"/>
    <x v="0"/>
    <x v="0"/>
    <n v="3311.5"/>
    <n v="1324.6"/>
    <n v="1986.9"/>
    <s v="Success"/>
  </r>
  <r>
    <s v="TXN72283997"/>
    <x v="414"/>
    <x v="5"/>
    <x v="0"/>
    <n v="54500"/>
    <x v="0"/>
    <x v="5"/>
    <x v="0"/>
    <n v="1008.25"/>
    <n v="403.3"/>
    <n v="604.95000000000005"/>
    <s v="Success"/>
  </r>
  <r>
    <s v="TXN56532272"/>
    <x v="415"/>
    <x v="1"/>
    <x v="2"/>
    <n v="3524"/>
    <x v="0"/>
    <x v="7"/>
    <x v="0"/>
    <n v="0"/>
    <n v="0"/>
    <n v="0"/>
    <s v="Success"/>
  </r>
  <r>
    <s v="TXN49067772"/>
    <x v="416"/>
    <x v="4"/>
    <x v="3"/>
    <n v="119730"/>
    <x v="0"/>
    <x v="6"/>
    <x v="0"/>
    <n v="0"/>
    <n v="0"/>
    <n v="0"/>
    <s v="Success"/>
  </r>
  <r>
    <s v="TXN67082695"/>
    <x v="417"/>
    <x v="3"/>
    <x v="2"/>
    <n v="4199"/>
    <x v="0"/>
    <x v="1"/>
    <x v="0"/>
    <n v="0"/>
    <n v="0"/>
    <n v="0"/>
    <s v="Success"/>
  </r>
  <r>
    <s v="TXN43962467"/>
    <x v="418"/>
    <x v="2"/>
    <x v="1"/>
    <n v="22915"/>
    <x v="0"/>
    <x v="5"/>
    <x v="0"/>
    <n v="5"/>
    <n v="0"/>
    <n v="5"/>
    <s v="Success"/>
  </r>
  <r>
    <s v="TXN88486226"/>
    <x v="419"/>
    <x v="1"/>
    <x v="0"/>
    <n v="217500"/>
    <x v="0"/>
    <x v="6"/>
    <x v="0"/>
    <n v="4023.75"/>
    <n v="1609.5"/>
    <n v="2414.25"/>
    <s v="Success"/>
  </r>
  <r>
    <s v="TXN54885096"/>
    <x v="420"/>
    <x v="7"/>
    <x v="2"/>
    <n v="4341"/>
    <x v="2"/>
    <x v="5"/>
    <x v="0"/>
    <n v="0"/>
    <n v="0"/>
    <n v="0"/>
    <s v="Success"/>
  </r>
  <r>
    <s v="TXN92180766"/>
    <x v="421"/>
    <x v="4"/>
    <x v="0"/>
    <n v="209000"/>
    <x v="0"/>
    <x v="3"/>
    <x v="0"/>
    <n v="3866.5"/>
    <n v="1546.6"/>
    <n v="2319.9"/>
    <s v="Success"/>
  </r>
  <r>
    <s v="TXN10418996"/>
    <x v="422"/>
    <x v="3"/>
    <x v="1"/>
    <n v="52270"/>
    <x v="0"/>
    <x v="3"/>
    <x v="0"/>
    <n v="5"/>
    <n v="0"/>
    <n v="5"/>
    <s v="Success"/>
  </r>
  <r>
    <s v="TXN74551115"/>
    <x v="423"/>
    <x v="2"/>
    <x v="0"/>
    <n v="122500"/>
    <x v="1"/>
    <x v="1"/>
    <x v="0"/>
    <n v="2266.25"/>
    <n v="906.5"/>
    <n v="1359.75"/>
    <s v="Success"/>
  </r>
  <r>
    <s v="TXN20149795"/>
    <x v="424"/>
    <x v="2"/>
    <x v="4"/>
    <n v="140101"/>
    <x v="0"/>
    <x v="6"/>
    <x v="3"/>
    <n v="1401.01"/>
    <n v="0"/>
    <n v="1401.01"/>
    <s v="Failed"/>
  </r>
  <r>
    <s v="TXN16827793"/>
    <x v="425"/>
    <x v="2"/>
    <x v="0"/>
    <n v="217000"/>
    <x v="1"/>
    <x v="0"/>
    <x v="0"/>
    <n v="4014.5"/>
    <n v="1605.8"/>
    <n v="2408.6999999999998"/>
    <s v="Success"/>
  </r>
  <r>
    <s v="TXN76798837"/>
    <x v="426"/>
    <x v="0"/>
    <x v="3"/>
    <n v="104947"/>
    <x v="0"/>
    <x v="0"/>
    <x v="0"/>
    <n v="0"/>
    <n v="0"/>
    <n v="0"/>
    <s v="Success"/>
  </r>
  <r>
    <s v="TXN89637075"/>
    <x v="427"/>
    <x v="0"/>
    <x v="3"/>
    <n v="76162"/>
    <x v="0"/>
    <x v="0"/>
    <x v="0"/>
    <n v="0"/>
    <n v="0"/>
    <n v="0"/>
    <s v="Success"/>
  </r>
  <r>
    <s v="TXN71046061"/>
    <x v="428"/>
    <x v="5"/>
    <x v="3"/>
    <n v="66796"/>
    <x v="0"/>
    <x v="2"/>
    <x v="0"/>
    <n v="0"/>
    <n v="0"/>
    <n v="0"/>
    <s v="Success"/>
  </r>
  <r>
    <s v="TXN27299093"/>
    <x v="429"/>
    <x v="6"/>
    <x v="0"/>
    <n v="56500"/>
    <x v="0"/>
    <x v="5"/>
    <x v="0"/>
    <n v="1045.25"/>
    <n v="418.1"/>
    <n v="627.15"/>
    <s v="Success"/>
  </r>
  <r>
    <s v="TXN80789305"/>
    <x v="430"/>
    <x v="0"/>
    <x v="2"/>
    <n v="2297"/>
    <x v="0"/>
    <x v="3"/>
    <x v="0"/>
    <n v="0"/>
    <n v="0"/>
    <n v="0"/>
    <s v="Success"/>
  </r>
  <r>
    <s v="TXN71911741"/>
    <x v="431"/>
    <x v="7"/>
    <x v="2"/>
    <n v="4633"/>
    <x v="0"/>
    <x v="5"/>
    <x v="0"/>
    <n v="0"/>
    <n v="0"/>
    <n v="0"/>
    <s v="Success"/>
  </r>
  <r>
    <s v="TXN43585063"/>
    <x v="432"/>
    <x v="2"/>
    <x v="3"/>
    <n v="110438"/>
    <x v="0"/>
    <x v="3"/>
    <x v="0"/>
    <n v="0"/>
    <n v="0"/>
    <n v="0"/>
    <s v="Success"/>
  </r>
  <r>
    <s v="TXN14095940"/>
    <x v="433"/>
    <x v="3"/>
    <x v="4"/>
    <n v="91815"/>
    <x v="0"/>
    <x v="3"/>
    <x v="5"/>
    <n v="918.15"/>
    <n v="0"/>
    <n v="918.15"/>
    <s v="Success"/>
  </r>
  <r>
    <s v="TXN81945004"/>
    <x v="434"/>
    <x v="3"/>
    <x v="4"/>
    <n v="145973"/>
    <x v="0"/>
    <x v="0"/>
    <x v="4"/>
    <n v="1459.73"/>
    <n v="0"/>
    <n v="1459.73"/>
    <s v="Success"/>
  </r>
  <r>
    <s v="TXN64429953"/>
    <x v="435"/>
    <x v="1"/>
    <x v="4"/>
    <n v="118602"/>
    <x v="0"/>
    <x v="2"/>
    <x v="1"/>
    <n v="1186.02"/>
    <n v="0"/>
    <n v="1186.02"/>
    <s v="Success"/>
  </r>
  <r>
    <s v="TXN95653391"/>
    <x v="436"/>
    <x v="4"/>
    <x v="3"/>
    <n v="114538"/>
    <x v="0"/>
    <x v="7"/>
    <x v="0"/>
    <n v="0"/>
    <n v="0"/>
    <n v="0"/>
    <s v="Success"/>
  </r>
  <r>
    <s v="TXN77954422"/>
    <x v="437"/>
    <x v="5"/>
    <x v="2"/>
    <n v="4321"/>
    <x v="0"/>
    <x v="4"/>
    <x v="0"/>
    <n v="0"/>
    <n v="0"/>
    <n v="0"/>
    <s v="Success"/>
  </r>
  <r>
    <s v="TXN60511898"/>
    <x v="438"/>
    <x v="6"/>
    <x v="4"/>
    <n v="80988"/>
    <x v="0"/>
    <x v="0"/>
    <x v="3"/>
    <n v="809.88"/>
    <n v="0"/>
    <n v="809.88"/>
    <s v="Success"/>
  </r>
  <r>
    <s v="TXN93441648"/>
    <x v="439"/>
    <x v="0"/>
    <x v="2"/>
    <n v="1991"/>
    <x v="0"/>
    <x v="5"/>
    <x v="0"/>
    <n v="0"/>
    <n v="0"/>
    <n v="0"/>
    <s v="Success"/>
  </r>
  <r>
    <s v="TXN23208586"/>
    <x v="440"/>
    <x v="2"/>
    <x v="0"/>
    <n v="17500"/>
    <x v="0"/>
    <x v="5"/>
    <x v="0"/>
    <n v="323.75"/>
    <n v="129.5"/>
    <n v="194.25"/>
    <s v="Success"/>
  </r>
  <r>
    <s v="TXN52412929"/>
    <x v="441"/>
    <x v="1"/>
    <x v="4"/>
    <n v="110944"/>
    <x v="0"/>
    <x v="5"/>
    <x v="1"/>
    <n v="1109.44"/>
    <n v="0"/>
    <n v="1109.44"/>
    <s v="Success"/>
  </r>
  <r>
    <s v="TXN74090255"/>
    <x v="442"/>
    <x v="5"/>
    <x v="3"/>
    <n v="126372"/>
    <x v="1"/>
    <x v="2"/>
    <x v="0"/>
    <n v="0"/>
    <n v="0"/>
    <n v="0"/>
    <s v="Success"/>
  </r>
  <r>
    <s v="TXN79525320"/>
    <x v="443"/>
    <x v="5"/>
    <x v="3"/>
    <n v="148020"/>
    <x v="0"/>
    <x v="0"/>
    <x v="0"/>
    <n v="0"/>
    <n v="0"/>
    <n v="0"/>
    <s v="Success"/>
  </r>
  <r>
    <s v="TXN36974553"/>
    <x v="444"/>
    <x v="0"/>
    <x v="4"/>
    <n v="3573"/>
    <x v="0"/>
    <x v="4"/>
    <x v="3"/>
    <n v="35.729999999999997"/>
    <n v="0"/>
    <n v="35.729999999999997"/>
    <s v="Success"/>
  </r>
  <r>
    <s v="TXN27356201"/>
    <x v="445"/>
    <x v="2"/>
    <x v="1"/>
    <n v="54769"/>
    <x v="0"/>
    <x v="8"/>
    <x v="0"/>
    <n v="5"/>
    <n v="0"/>
    <n v="5"/>
    <s v="Success"/>
  </r>
  <r>
    <s v="TXN66629595"/>
    <x v="446"/>
    <x v="2"/>
    <x v="1"/>
    <n v="29556"/>
    <x v="0"/>
    <x v="3"/>
    <x v="0"/>
    <n v="5"/>
    <n v="0"/>
    <n v="5"/>
    <s v="Success"/>
  </r>
  <r>
    <s v="TXN79324513"/>
    <x v="447"/>
    <x v="6"/>
    <x v="3"/>
    <n v="119013"/>
    <x v="0"/>
    <x v="3"/>
    <x v="0"/>
    <n v="0"/>
    <n v="0"/>
    <n v="0"/>
    <s v="Failed"/>
  </r>
  <r>
    <s v="TXN54364444"/>
    <x v="448"/>
    <x v="4"/>
    <x v="2"/>
    <n v="2171"/>
    <x v="0"/>
    <x v="0"/>
    <x v="0"/>
    <n v="0"/>
    <n v="0"/>
    <n v="0"/>
    <s v="Success"/>
  </r>
  <r>
    <s v="TXN52764346"/>
    <x v="449"/>
    <x v="6"/>
    <x v="4"/>
    <n v="149668"/>
    <x v="0"/>
    <x v="8"/>
    <x v="1"/>
    <n v="1496.68"/>
    <n v="0"/>
    <n v="1496.68"/>
    <s v="Success"/>
  </r>
  <r>
    <s v="TXN75745358"/>
    <x v="450"/>
    <x v="0"/>
    <x v="3"/>
    <n v="13689"/>
    <x v="0"/>
    <x v="8"/>
    <x v="0"/>
    <n v="0"/>
    <n v="0"/>
    <n v="0"/>
    <s v="Success"/>
  </r>
  <r>
    <s v="TXN75163752"/>
    <x v="451"/>
    <x v="0"/>
    <x v="3"/>
    <n v="146202"/>
    <x v="0"/>
    <x v="7"/>
    <x v="0"/>
    <n v="0"/>
    <n v="0"/>
    <n v="0"/>
    <s v="Success"/>
  </r>
  <r>
    <s v="TXN35858607"/>
    <x v="452"/>
    <x v="3"/>
    <x v="0"/>
    <n v="183500"/>
    <x v="0"/>
    <x v="4"/>
    <x v="0"/>
    <n v="3394.75"/>
    <n v="1357.9"/>
    <n v="2036.85"/>
    <s v="Success"/>
  </r>
  <r>
    <s v="TXN61350066"/>
    <x v="453"/>
    <x v="7"/>
    <x v="0"/>
    <n v="177500"/>
    <x v="0"/>
    <x v="3"/>
    <x v="0"/>
    <n v="3283.75"/>
    <n v="1313.5"/>
    <n v="1970.25"/>
    <s v="Success"/>
  </r>
  <r>
    <s v="TXN27189976"/>
    <x v="454"/>
    <x v="2"/>
    <x v="1"/>
    <n v="6126"/>
    <x v="0"/>
    <x v="8"/>
    <x v="0"/>
    <n v="5"/>
    <n v="0"/>
    <n v="5"/>
    <s v="Success"/>
  </r>
  <r>
    <s v="TXN65124234"/>
    <x v="455"/>
    <x v="2"/>
    <x v="0"/>
    <n v="165000"/>
    <x v="1"/>
    <x v="0"/>
    <x v="0"/>
    <n v="3052.5"/>
    <n v="1221"/>
    <n v="1831.5"/>
    <s v="Success"/>
  </r>
  <r>
    <s v="TXN87769834"/>
    <x v="456"/>
    <x v="6"/>
    <x v="1"/>
    <n v="109896"/>
    <x v="0"/>
    <x v="5"/>
    <x v="0"/>
    <n v="5"/>
    <n v="0"/>
    <n v="5"/>
    <s v="Success"/>
  </r>
  <r>
    <s v="TXN86442090"/>
    <x v="457"/>
    <x v="0"/>
    <x v="3"/>
    <n v="126898"/>
    <x v="0"/>
    <x v="5"/>
    <x v="0"/>
    <n v="0"/>
    <n v="0"/>
    <n v="0"/>
    <s v="Success"/>
  </r>
  <r>
    <s v="TXN65888553"/>
    <x v="458"/>
    <x v="7"/>
    <x v="1"/>
    <n v="63033"/>
    <x v="2"/>
    <x v="5"/>
    <x v="0"/>
    <n v="5"/>
    <n v="0"/>
    <n v="5"/>
    <s v="Success"/>
  </r>
  <r>
    <s v="TXN83042439"/>
    <x v="459"/>
    <x v="7"/>
    <x v="2"/>
    <n v="4318"/>
    <x v="1"/>
    <x v="7"/>
    <x v="0"/>
    <n v="0"/>
    <n v="0"/>
    <n v="0"/>
    <s v="Success"/>
  </r>
  <r>
    <s v="TXN77128460"/>
    <x v="460"/>
    <x v="5"/>
    <x v="0"/>
    <n v="25500"/>
    <x v="0"/>
    <x v="5"/>
    <x v="0"/>
    <n v="471.75"/>
    <n v="188.7"/>
    <n v="283.05"/>
    <s v="Success"/>
  </r>
  <r>
    <s v="TXN87558678"/>
    <x v="461"/>
    <x v="0"/>
    <x v="4"/>
    <n v="137533"/>
    <x v="0"/>
    <x v="7"/>
    <x v="1"/>
    <n v="1375.33"/>
    <n v="0"/>
    <n v="1375.33"/>
    <s v="Failed"/>
  </r>
  <r>
    <s v="TXN41522054"/>
    <x v="462"/>
    <x v="4"/>
    <x v="1"/>
    <n v="95356"/>
    <x v="0"/>
    <x v="6"/>
    <x v="0"/>
    <n v="5"/>
    <n v="0"/>
    <n v="5"/>
    <s v="Success"/>
  </r>
  <r>
    <s v="TXN17912424"/>
    <x v="463"/>
    <x v="6"/>
    <x v="1"/>
    <n v="136193"/>
    <x v="0"/>
    <x v="2"/>
    <x v="0"/>
    <n v="5"/>
    <n v="0"/>
    <n v="5"/>
    <s v="Success"/>
  </r>
  <r>
    <s v="TXN74217108"/>
    <x v="464"/>
    <x v="0"/>
    <x v="2"/>
    <n v="2527"/>
    <x v="0"/>
    <x v="4"/>
    <x v="0"/>
    <n v="0"/>
    <n v="0"/>
    <n v="0"/>
    <s v="Success"/>
  </r>
  <r>
    <s v="TXN83082691"/>
    <x v="465"/>
    <x v="5"/>
    <x v="0"/>
    <n v="119000"/>
    <x v="0"/>
    <x v="5"/>
    <x v="0"/>
    <n v="2201.5"/>
    <n v="880.6"/>
    <n v="1320.9"/>
    <s v="Success"/>
  </r>
  <r>
    <s v="TXN16245426"/>
    <x v="466"/>
    <x v="2"/>
    <x v="4"/>
    <n v="6017"/>
    <x v="0"/>
    <x v="8"/>
    <x v="5"/>
    <n v="60.17"/>
    <n v="0"/>
    <n v="60.17"/>
    <s v="Success"/>
  </r>
  <r>
    <s v="TXN63205562"/>
    <x v="467"/>
    <x v="4"/>
    <x v="0"/>
    <n v="159500"/>
    <x v="0"/>
    <x v="2"/>
    <x v="0"/>
    <n v="2950.75"/>
    <n v="1180.3"/>
    <n v="1770.45"/>
    <s v="Success"/>
  </r>
  <r>
    <s v="TXN29695859"/>
    <x v="468"/>
    <x v="7"/>
    <x v="3"/>
    <n v="58085"/>
    <x v="0"/>
    <x v="4"/>
    <x v="0"/>
    <n v="0"/>
    <n v="0"/>
    <n v="0"/>
    <s v="Success"/>
  </r>
  <r>
    <s v="TXN49170395"/>
    <x v="469"/>
    <x v="7"/>
    <x v="0"/>
    <n v="215500"/>
    <x v="0"/>
    <x v="1"/>
    <x v="0"/>
    <n v="3986.75"/>
    <n v="1594.7"/>
    <n v="2392.0500000000002"/>
    <s v="Success"/>
  </r>
  <r>
    <s v="TXN25276811"/>
    <x v="470"/>
    <x v="1"/>
    <x v="4"/>
    <n v="22442"/>
    <x v="0"/>
    <x v="4"/>
    <x v="1"/>
    <n v="224.42"/>
    <n v="0"/>
    <n v="224.42"/>
    <s v="Success"/>
  </r>
  <r>
    <s v="TXN31638364"/>
    <x v="471"/>
    <x v="6"/>
    <x v="4"/>
    <n v="3803"/>
    <x v="0"/>
    <x v="5"/>
    <x v="2"/>
    <n v="38.03"/>
    <n v="0"/>
    <n v="38.03"/>
    <s v="Success"/>
  </r>
  <r>
    <s v="TXN54164798"/>
    <x v="472"/>
    <x v="3"/>
    <x v="1"/>
    <n v="92301"/>
    <x v="0"/>
    <x v="5"/>
    <x v="0"/>
    <n v="5"/>
    <n v="0"/>
    <n v="5"/>
    <s v="Success"/>
  </r>
  <r>
    <s v="TXN54735942"/>
    <x v="473"/>
    <x v="7"/>
    <x v="0"/>
    <n v="52000"/>
    <x v="0"/>
    <x v="7"/>
    <x v="0"/>
    <n v="962"/>
    <n v="384.8"/>
    <n v="577.20000000000005"/>
    <s v="Success"/>
  </r>
  <r>
    <s v="TXN15399302"/>
    <x v="474"/>
    <x v="0"/>
    <x v="2"/>
    <n v="1003"/>
    <x v="1"/>
    <x v="5"/>
    <x v="0"/>
    <n v="0"/>
    <n v="0"/>
    <n v="0"/>
    <s v="Success"/>
  </r>
  <r>
    <s v="TXN19065715"/>
    <x v="475"/>
    <x v="2"/>
    <x v="2"/>
    <n v="3657"/>
    <x v="0"/>
    <x v="0"/>
    <x v="0"/>
    <n v="0"/>
    <n v="0"/>
    <n v="0"/>
    <s v="Success"/>
  </r>
  <r>
    <s v="TXN65886002"/>
    <x v="476"/>
    <x v="7"/>
    <x v="4"/>
    <n v="24612"/>
    <x v="0"/>
    <x v="2"/>
    <x v="3"/>
    <n v="246.12"/>
    <n v="0"/>
    <n v="246.12"/>
    <s v="Success"/>
  </r>
  <r>
    <s v="TXN52102003"/>
    <x v="477"/>
    <x v="1"/>
    <x v="2"/>
    <n v="1987"/>
    <x v="1"/>
    <x v="4"/>
    <x v="0"/>
    <n v="0"/>
    <n v="0"/>
    <n v="0"/>
    <s v="Success"/>
  </r>
  <r>
    <s v="TXN24889677"/>
    <x v="478"/>
    <x v="0"/>
    <x v="1"/>
    <n v="79907"/>
    <x v="0"/>
    <x v="5"/>
    <x v="0"/>
    <n v="5"/>
    <n v="0"/>
    <n v="5"/>
    <s v="Success"/>
  </r>
  <r>
    <s v="TXN30405249"/>
    <x v="479"/>
    <x v="2"/>
    <x v="4"/>
    <n v="80252"/>
    <x v="0"/>
    <x v="7"/>
    <x v="5"/>
    <n v="802.52"/>
    <n v="0"/>
    <n v="802.52"/>
    <s v="Failed"/>
  </r>
  <r>
    <s v="TXN29011920"/>
    <x v="480"/>
    <x v="2"/>
    <x v="2"/>
    <n v="1615"/>
    <x v="0"/>
    <x v="8"/>
    <x v="0"/>
    <n v="0"/>
    <n v="0"/>
    <n v="0"/>
    <s v="Success"/>
  </r>
  <r>
    <s v="TXN50160734"/>
    <x v="481"/>
    <x v="5"/>
    <x v="3"/>
    <n v="116900"/>
    <x v="0"/>
    <x v="6"/>
    <x v="0"/>
    <n v="0"/>
    <n v="0"/>
    <n v="0"/>
    <s v="Failed"/>
  </r>
  <r>
    <s v="TXN30761952"/>
    <x v="482"/>
    <x v="2"/>
    <x v="1"/>
    <n v="130933"/>
    <x v="1"/>
    <x v="3"/>
    <x v="0"/>
    <n v="5"/>
    <n v="0"/>
    <n v="5"/>
    <s v="Success"/>
  </r>
  <r>
    <s v="TXN47371884"/>
    <x v="483"/>
    <x v="2"/>
    <x v="4"/>
    <n v="24131"/>
    <x v="0"/>
    <x v="2"/>
    <x v="5"/>
    <n v="241.31"/>
    <n v="0"/>
    <n v="241.31"/>
    <s v="Success"/>
  </r>
  <r>
    <s v="TXN53317176"/>
    <x v="484"/>
    <x v="7"/>
    <x v="0"/>
    <n v="204000"/>
    <x v="1"/>
    <x v="5"/>
    <x v="0"/>
    <n v="3774"/>
    <n v="1509.6"/>
    <n v="2264.4"/>
    <s v="Success"/>
  </r>
  <r>
    <s v="TXN33275912"/>
    <x v="485"/>
    <x v="5"/>
    <x v="4"/>
    <n v="133633"/>
    <x v="0"/>
    <x v="2"/>
    <x v="3"/>
    <n v="1336.33"/>
    <n v="0"/>
    <n v="1336.33"/>
    <s v="Success"/>
  </r>
  <r>
    <s v="TXN77104224"/>
    <x v="486"/>
    <x v="2"/>
    <x v="3"/>
    <n v="63001"/>
    <x v="2"/>
    <x v="5"/>
    <x v="0"/>
    <n v="0"/>
    <n v="0"/>
    <n v="0"/>
    <s v="Success"/>
  </r>
  <r>
    <s v="TXN67723842"/>
    <x v="487"/>
    <x v="4"/>
    <x v="2"/>
    <n v="2026"/>
    <x v="1"/>
    <x v="0"/>
    <x v="0"/>
    <n v="0"/>
    <n v="0"/>
    <n v="0"/>
    <s v="Success"/>
  </r>
  <r>
    <s v="TXN47554099"/>
    <x v="488"/>
    <x v="5"/>
    <x v="3"/>
    <n v="46308"/>
    <x v="0"/>
    <x v="5"/>
    <x v="0"/>
    <n v="0"/>
    <n v="0"/>
    <n v="0"/>
    <s v="Success"/>
  </r>
  <r>
    <s v="TXN20167265"/>
    <x v="489"/>
    <x v="2"/>
    <x v="3"/>
    <n v="26773"/>
    <x v="2"/>
    <x v="5"/>
    <x v="0"/>
    <n v="0"/>
    <n v="0"/>
    <n v="0"/>
    <s v="Success"/>
  </r>
  <r>
    <s v="TXN95684094"/>
    <x v="490"/>
    <x v="4"/>
    <x v="2"/>
    <n v="2852"/>
    <x v="0"/>
    <x v="1"/>
    <x v="0"/>
    <n v="0"/>
    <n v="0"/>
    <n v="0"/>
    <s v="Success"/>
  </r>
  <r>
    <s v="TXN89973719"/>
    <x v="491"/>
    <x v="7"/>
    <x v="3"/>
    <n v="177"/>
    <x v="0"/>
    <x v="5"/>
    <x v="0"/>
    <n v="0"/>
    <n v="0"/>
    <n v="0"/>
    <s v="Success"/>
  </r>
  <r>
    <s v="TXN97450713"/>
    <x v="492"/>
    <x v="6"/>
    <x v="0"/>
    <n v="38500"/>
    <x v="0"/>
    <x v="1"/>
    <x v="0"/>
    <n v="712.25"/>
    <n v="284.89999999999998"/>
    <n v="427.35"/>
    <s v="Success"/>
  </r>
  <r>
    <s v="TXN92848658"/>
    <x v="493"/>
    <x v="7"/>
    <x v="3"/>
    <n v="148154"/>
    <x v="0"/>
    <x v="3"/>
    <x v="0"/>
    <n v="0"/>
    <n v="0"/>
    <n v="0"/>
    <s v="Success"/>
  </r>
  <r>
    <s v="TXN45789385"/>
    <x v="494"/>
    <x v="3"/>
    <x v="0"/>
    <n v="159500"/>
    <x v="1"/>
    <x v="5"/>
    <x v="0"/>
    <n v="2950.75"/>
    <n v="1180.3"/>
    <n v="1770.45"/>
    <s v="Failed"/>
  </r>
  <r>
    <s v="TXN22224780"/>
    <x v="495"/>
    <x v="5"/>
    <x v="1"/>
    <n v="8710"/>
    <x v="0"/>
    <x v="5"/>
    <x v="0"/>
    <n v="5"/>
    <n v="0"/>
    <n v="5"/>
    <s v="Failed"/>
  </r>
  <r>
    <s v="TXN57283914"/>
    <x v="496"/>
    <x v="4"/>
    <x v="3"/>
    <n v="127197"/>
    <x v="0"/>
    <x v="3"/>
    <x v="0"/>
    <n v="0"/>
    <n v="0"/>
    <n v="0"/>
    <s v="Success"/>
  </r>
  <r>
    <s v="TXN80493232"/>
    <x v="497"/>
    <x v="5"/>
    <x v="2"/>
    <n v="4081"/>
    <x v="0"/>
    <x v="3"/>
    <x v="0"/>
    <n v="0"/>
    <n v="0"/>
    <n v="0"/>
    <s v="Success"/>
  </r>
  <r>
    <s v="TXN81637269"/>
    <x v="498"/>
    <x v="3"/>
    <x v="3"/>
    <n v="32449"/>
    <x v="0"/>
    <x v="5"/>
    <x v="0"/>
    <n v="0"/>
    <n v="0"/>
    <n v="0"/>
    <s v="Success"/>
  </r>
  <r>
    <s v="TXN39348008"/>
    <x v="499"/>
    <x v="7"/>
    <x v="0"/>
    <n v="143000"/>
    <x v="0"/>
    <x v="5"/>
    <x v="0"/>
    <n v="2645.5"/>
    <n v="1058.2"/>
    <n v="1587.3"/>
    <s v="Success"/>
  </r>
  <r>
    <s v="TXN17489881"/>
    <x v="500"/>
    <x v="5"/>
    <x v="2"/>
    <n v="1248"/>
    <x v="0"/>
    <x v="8"/>
    <x v="0"/>
    <n v="0"/>
    <n v="0"/>
    <n v="0"/>
    <s v="Success"/>
  </r>
  <r>
    <s v="TXN81787774"/>
    <x v="501"/>
    <x v="1"/>
    <x v="4"/>
    <n v="11158"/>
    <x v="0"/>
    <x v="4"/>
    <x v="4"/>
    <n v="111.58"/>
    <n v="0"/>
    <n v="111.58"/>
    <s v="Success"/>
  </r>
  <r>
    <s v="TXN19982915"/>
    <x v="502"/>
    <x v="1"/>
    <x v="4"/>
    <n v="58849"/>
    <x v="2"/>
    <x v="5"/>
    <x v="5"/>
    <n v="588.49"/>
    <n v="0"/>
    <n v="588.49"/>
    <s v="Success"/>
  </r>
  <r>
    <s v="TXN37081413"/>
    <x v="503"/>
    <x v="2"/>
    <x v="3"/>
    <n v="104083"/>
    <x v="0"/>
    <x v="2"/>
    <x v="0"/>
    <n v="0"/>
    <n v="0"/>
    <n v="0"/>
    <s v="Success"/>
  </r>
  <r>
    <s v="TXN64641556"/>
    <x v="504"/>
    <x v="5"/>
    <x v="4"/>
    <n v="57234"/>
    <x v="0"/>
    <x v="2"/>
    <x v="1"/>
    <n v="572.34"/>
    <n v="0"/>
    <n v="572.34"/>
    <s v="Success"/>
  </r>
  <r>
    <s v="TXN80548137"/>
    <x v="505"/>
    <x v="3"/>
    <x v="2"/>
    <n v="988"/>
    <x v="0"/>
    <x v="8"/>
    <x v="0"/>
    <n v="0"/>
    <n v="0"/>
    <n v="0"/>
    <s v="Success"/>
  </r>
  <r>
    <s v="TXN22515101"/>
    <x v="506"/>
    <x v="1"/>
    <x v="1"/>
    <n v="129905"/>
    <x v="0"/>
    <x v="3"/>
    <x v="0"/>
    <n v="5"/>
    <n v="0"/>
    <n v="5"/>
    <s v="Success"/>
  </r>
  <r>
    <s v="TXN88388253"/>
    <x v="507"/>
    <x v="7"/>
    <x v="4"/>
    <n v="19152"/>
    <x v="0"/>
    <x v="7"/>
    <x v="1"/>
    <n v="191.52"/>
    <n v="0"/>
    <n v="191.52"/>
    <s v="Success"/>
  </r>
  <r>
    <s v="TXN62328112"/>
    <x v="508"/>
    <x v="7"/>
    <x v="2"/>
    <n v="700"/>
    <x v="0"/>
    <x v="4"/>
    <x v="0"/>
    <n v="0"/>
    <n v="0"/>
    <n v="0"/>
    <s v="Success"/>
  </r>
  <r>
    <s v="TXN13745072"/>
    <x v="509"/>
    <x v="6"/>
    <x v="3"/>
    <n v="112028"/>
    <x v="0"/>
    <x v="2"/>
    <x v="0"/>
    <n v="0"/>
    <n v="0"/>
    <n v="0"/>
    <s v="Success"/>
  </r>
  <r>
    <s v="TXN65463583"/>
    <x v="510"/>
    <x v="0"/>
    <x v="4"/>
    <n v="86318"/>
    <x v="1"/>
    <x v="5"/>
    <x v="1"/>
    <n v="863.18"/>
    <n v="0"/>
    <n v="863.18"/>
    <s v="Success"/>
  </r>
  <r>
    <s v="TXN78190184"/>
    <x v="511"/>
    <x v="0"/>
    <x v="2"/>
    <n v="3426"/>
    <x v="0"/>
    <x v="5"/>
    <x v="0"/>
    <n v="0"/>
    <n v="0"/>
    <n v="0"/>
    <s v="Success"/>
  </r>
  <r>
    <s v="TXN66980355"/>
    <x v="512"/>
    <x v="1"/>
    <x v="3"/>
    <n v="101767"/>
    <x v="0"/>
    <x v="5"/>
    <x v="0"/>
    <n v="0"/>
    <n v="0"/>
    <n v="0"/>
    <s v="Success"/>
  </r>
  <r>
    <s v="TXN67684133"/>
    <x v="513"/>
    <x v="2"/>
    <x v="2"/>
    <n v="3953"/>
    <x v="2"/>
    <x v="5"/>
    <x v="0"/>
    <n v="0"/>
    <n v="0"/>
    <n v="0"/>
    <s v="Success"/>
  </r>
  <r>
    <s v="TXN24481544"/>
    <x v="514"/>
    <x v="2"/>
    <x v="1"/>
    <n v="138466"/>
    <x v="0"/>
    <x v="4"/>
    <x v="0"/>
    <n v="5"/>
    <n v="0"/>
    <n v="5"/>
    <s v="Success"/>
  </r>
  <r>
    <s v="TXN33951575"/>
    <x v="515"/>
    <x v="0"/>
    <x v="0"/>
    <n v="137000"/>
    <x v="0"/>
    <x v="6"/>
    <x v="0"/>
    <n v="2534.5"/>
    <n v="1013.8"/>
    <n v="1520.7"/>
    <s v="Success"/>
  </r>
  <r>
    <s v="TXN88070626"/>
    <x v="516"/>
    <x v="0"/>
    <x v="3"/>
    <n v="57488"/>
    <x v="0"/>
    <x v="3"/>
    <x v="0"/>
    <n v="0"/>
    <n v="0"/>
    <n v="0"/>
    <s v="Success"/>
  </r>
  <r>
    <s v="TXN99068971"/>
    <x v="517"/>
    <x v="3"/>
    <x v="4"/>
    <n v="134563"/>
    <x v="0"/>
    <x v="0"/>
    <x v="4"/>
    <n v="1345.63"/>
    <n v="0"/>
    <n v="1345.63"/>
    <s v="Success"/>
  </r>
  <r>
    <s v="TXN71801597"/>
    <x v="518"/>
    <x v="0"/>
    <x v="4"/>
    <n v="141919"/>
    <x v="0"/>
    <x v="3"/>
    <x v="1"/>
    <n v="1419.19"/>
    <n v="0"/>
    <n v="1419.19"/>
    <s v="Success"/>
  </r>
  <r>
    <s v="TXN31437368"/>
    <x v="519"/>
    <x v="0"/>
    <x v="0"/>
    <n v="66000"/>
    <x v="0"/>
    <x v="5"/>
    <x v="0"/>
    <n v="1221"/>
    <n v="488.4"/>
    <n v="732.6"/>
    <s v="Success"/>
  </r>
  <r>
    <s v="TXN95037127"/>
    <x v="520"/>
    <x v="4"/>
    <x v="1"/>
    <n v="121017"/>
    <x v="0"/>
    <x v="0"/>
    <x v="0"/>
    <n v="5"/>
    <n v="0"/>
    <n v="5"/>
    <s v="Success"/>
  </r>
  <r>
    <s v="TXN36430266"/>
    <x v="521"/>
    <x v="2"/>
    <x v="3"/>
    <n v="32894"/>
    <x v="0"/>
    <x v="8"/>
    <x v="0"/>
    <n v="0"/>
    <n v="0"/>
    <n v="0"/>
    <s v="Success"/>
  </r>
  <r>
    <s v="TXN47578151"/>
    <x v="522"/>
    <x v="5"/>
    <x v="1"/>
    <n v="8381"/>
    <x v="0"/>
    <x v="4"/>
    <x v="0"/>
    <n v="5"/>
    <n v="0"/>
    <n v="5"/>
    <s v="Success"/>
  </r>
  <r>
    <s v="TXN19376440"/>
    <x v="523"/>
    <x v="1"/>
    <x v="4"/>
    <n v="74393"/>
    <x v="1"/>
    <x v="5"/>
    <x v="1"/>
    <n v="743.93"/>
    <n v="0"/>
    <n v="743.93"/>
    <s v="Success"/>
  </r>
  <r>
    <s v="TXN47658843"/>
    <x v="524"/>
    <x v="1"/>
    <x v="2"/>
    <n v="3112"/>
    <x v="0"/>
    <x v="0"/>
    <x v="0"/>
    <n v="0"/>
    <n v="0"/>
    <n v="0"/>
    <s v="Success"/>
  </r>
  <r>
    <s v="TXN96573824"/>
    <x v="525"/>
    <x v="3"/>
    <x v="1"/>
    <n v="134477"/>
    <x v="0"/>
    <x v="5"/>
    <x v="0"/>
    <n v="5"/>
    <n v="0"/>
    <n v="5"/>
    <s v="Success"/>
  </r>
  <r>
    <s v="TXN37771202"/>
    <x v="526"/>
    <x v="3"/>
    <x v="1"/>
    <n v="50726"/>
    <x v="0"/>
    <x v="0"/>
    <x v="0"/>
    <n v="5"/>
    <n v="0"/>
    <n v="5"/>
    <s v="Success"/>
  </r>
  <r>
    <s v="TXN12750530"/>
    <x v="527"/>
    <x v="1"/>
    <x v="1"/>
    <n v="91781"/>
    <x v="2"/>
    <x v="4"/>
    <x v="0"/>
    <n v="5"/>
    <n v="0"/>
    <n v="5"/>
    <s v="Success"/>
  </r>
  <r>
    <s v="TXN18181934"/>
    <x v="528"/>
    <x v="1"/>
    <x v="1"/>
    <n v="71369"/>
    <x v="0"/>
    <x v="2"/>
    <x v="0"/>
    <n v="5"/>
    <n v="0"/>
    <n v="5"/>
    <s v="Success"/>
  </r>
  <r>
    <s v="TXN60932123"/>
    <x v="529"/>
    <x v="2"/>
    <x v="1"/>
    <n v="142940"/>
    <x v="0"/>
    <x v="5"/>
    <x v="0"/>
    <n v="5"/>
    <n v="0"/>
    <n v="5"/>
    <s v="Success"/>
  </r>
  <r>
    <s v="TXN62748733"/>
    <x v="530"/>
    <x v="5"/>
    <x v="0"/>
    <n v="113000"/>
    <x v="0"/>
    <x v="3"/>
    <x v="0"/>
    <n v="2090.5"/>
    <n v="836.2"/>
    <n v="1254.3"/>
    <s v="Success"/>
  </r>
  <r>
    <s v="TXN84519240"/>
    <x v="531"/>
    <x v="7"/>
    <x v="4"/>
    <n v="148816"/>
    <x v="0"/>
    <x v="5"/>
    <x v="3"/>
    <n v="1488.16"/>
    <n v="0"/>
    <n v="1488.16"/>
    <s v="Success"/>
  </r>
  <r>
    <s v="TXN91837335"/>
    <x v="532"/>
    <x v="0"/>
    <x v="1"/>
    <n v="105686"/>
    <x v="0"/>
    <x v="1"/>
    <x v="0"/>
    <n v="5"/>
    <n v="0"/>
    <n v="5"/>
    <s v="Success"/>
  </r>
  <r>
    <s v="TXN34970867"/>
    <x v="533"/>
    <x v="2"/>
    <x v="1"/>
    <n v="132811"/>
    <x v="0"/>
    <x v="7"/>
    <x v="0"/>
    <n v="5"/>
    <n v="0"/>
    <n v="5"/>
    <s v="Success"/>
  </r>
  <r>
    <s v="TXN32251364"/>
    <x v="534"/>
    <x v="1"/>
    <x v="0"/>
    <n v="134000"/>
    <x v="0"/>
    <x v="5"/>
    <x v="0"/>
    <n v="2479"/>
    <n v="991.6"/>
    <n v="1487.4"/>
    <s v="Success"/>
  </r>
  <r>
    <s v="TXN26034125"/>
    <x v="535"/>
    <x v="7"/>
    <x v="4"/>
    <n v="29782"/>
    <x v="0"/>
    <x v="5"/>
    <x v="1"/>
    <n v="297.82"/>
    <n v="0"/>
    <n v="297.82"/>
    <s v="Failed"/>
  </r>
  <r>
    <s v="TXN79842907"/>
    <x v="536"/>
    <x v="2"/>
    <x v="1"/>
    <n v="120026"/>
    <x v="0"/>
    <x v="2"/>
    <x v="0"/>
    <n v="5"/>
    <n v="0"/>
    <n v="5"/>
    <s v="Success"/>
  </r>
  <r>
    <s v="TXN43250668"/>
    <x v="537"/>
    <x v="0"/>
    <x v="4"/>
    <n v="23014"/>
    <x v="0"/>
    <x v="7"/>
    <x v="4"/>
    <n v="230.14"/>
    <n v="0"/>
    <n v="230.14"/>
    <s v="Success"/>
  </r>
  <r>
    <s v="TXN24297517"/>
    <x v="538"/>
    <x v="3"/>
    <x v="2"/>
    <n v="3434"/>
    <x v="0"/>
    <x v="5"/>
    <x v="0"/>
    <n v="0"/>
    <n v="0"/>
    <n v="0"/>
    <s v="Success"/>
  </r>
  <r>
    <s v="TXN69732227"/>
    <x v="539"/>
    <x v="3"/>
    <x v="0"/>
    <n v="36000"/>
    <x v="0"/>
    <x v="6"/>
    <x v="0"/>
    <n v="666"/>
    <n v="266.39999999999998"/>
    <n v="399.6"/>
    <s v="Success"/>
  </r>
  <r>
    <s v="TXN53184475"/>
    <x v="540"/>
    <x v="1"/>
    <x v="4"/>
    <n v="47719"/>
    <x v="0"/>
    <x v="2"/>
    <x v="3"/>
    <n v="477.19"/>
    <n v="0"/>
    <n v="477.19"/>
    <s v="Success"/>
  </r>
  <r>
    <s v="TXN12033414"/>
    <x v="541"/>
    <x v="3"/>
    <x v="2"/>
    <n v="4671"/>
    <x v="0"/>
    <x v="4"/>
    <x v="0"/>
    <n v="0"/>
    <n v="0"/>
    <n v="0"/>
    <s v="Success"/>
  </r>
  <r>
    <s v="TXN66804388"/>
    <x v="542"/>
    <x v="6"/>
    <x v="2"/>
    <n v="4873"/>
    <x v="0"/>
    <x v="0"/>
    <x v="0"/>
    <n v="0"/>
    <n v="0"/>
    <n v="0"/>
    <s v="Success"/>
  </r>
  <r>
    <s v="TXN67815418"/>
    <x v="543"/>
    <x v="1"/>
    <x v="3"/>
    <n v="8378"/>
    <x v="0"/>
    <x v="5"/>
    <x v="0"/>
    <n v="0"/>
    <n v="0"/>
    <n v="0"/>
    <s v="Success"/>
  </r>
  <r>
    <s v="TXN74086135"/>
    <x v="544"/>
    <x v="5"/>
    <x v="3"/>
    <n v="114380"/>
    <x v="1"/>
    <x v="8"/>
    <x v="0"/>
    <n v="0"/>
    <n v="0"/>
    <n v="0"/>
    <s v="Success"/>
  </r>
  <r>
    <s v="TXN31951427"/>
    <x v="545"/>
    <x v="7"/>
    <x v="4"/>
    <n v="99727"/>
    <x v="0"/>
    <x v="6"/>
    <x v="4"/>
    <n v="997.27"/>
    <n v="0"/>
    <n v="997.27"/>
    <s v="Success"/>
  </r>
  <r>
    <s v="TXN56473716"/>
    <x v="546"/>
    <x v="6"/>
    <x v="4"/>
    <n v="83489"/>
    <x v="0"/>
    <x v="4"/>
    <x v="1"/>
    <n v="834.89"/>
    <n v="0"/>
    <n v="834.89"/>
    <s v="Success"/>
  </r>
  <r>
    <s v="TXN35611415"/>
    <x v="547"/>
    <x v="4"/>
    <x v="3"/>
    <n v="108768"/>
    <x v="0"/>
    <x v="1"/>
    <x v="0"/>
    <n v="0"/>
    <n v="0"/>
    <n v="0"/>
    <s v="Success"/>
  </r>
  <r>
    <s v="TXN48533245"/>
    <x v="548"/>
    <x v="3"/>
    <x v="0"/>
    <n v="185000"/>
    <x v="1"/>
    <x v="3"/>
    <x v="0"/>
    <n v="3422.5"/>
    <n v="1369"/>
    <n v="2053.5"/>
    <s v="Success"/>
  </r>
  <r>
    <s v="TXN94216433"/>
    <x v="549"/>
    <x v="0"/>
    <x v="0"/>
    <n v="91000"/>
    <x v="0"/>
    <x v="1"/>
    <x v="0"/>
    <n v="1683.5"/>
    <n v="673.4"/>
    <n v="1010.1"/>
    <s v="Success"/>
  </r>
  <r>
    <s v="TXN94295691"/>
    <x v="550"/>
    <x v="7"/>
    <x v="4"/>
    <n v="65083"/>
    <x v="0"/>
    <x v="5"/>
    <x v="5"/>
    <n v="650.83000000000004"/>
    <n v="0"/>
    <n v="650.83000000000004"/>
    <s v="Success"/>
  </r>
  <r>
    <s v="TXN29999769"/>
    <x v="551"/>
    <x v="7"/>
    <x v="4"/>
    <n v="55087"/>
    <x v="0"/>
    <x v="2"/>
    <x v="1"/>
    <n v="550.87"/>
    <n v="0"/>
    <n v="550.87"/>
    <s v="Success"/>
  </r>
  <r>
    <s v="TXN53273794"/>
    <x v="552"/>
    <x v="3"/>
    <x v="2"/>
    <n v="1422"/>
    <x v="0"/>
    <x v="5"/>
    <x v="0"/>
    <n v="0"/>
    <n v="0"/>
    <n v="0"/>
    <s v="Success"/>
  </r>
  <r>
    <s v="TXN82961292"/>
    <x v="553"/>
    <x v="6"/>
    <x v="4"/>
    <n v="15179"/>
    <x v="0"/>
    <x v="6"/>
    <x v="4"/>
    <n v="151.79"/>
    <n v="0"/>
    <n v="151.79"/>
    <s v="Success"/>
  </r>
  <r>
    <s v="TXN12241225"/>
    <x v="554"/>
    <x v="2"/>
    <x v="4"/>
    <n v="44248"/>
    <x v="0"/>
    <x v="2"/>
    <x v="3"/>
    <n v="442.48"/>
    <n v="0"/>
    <n v="442.48"/>
    <s v="Success"/>
  </r>
  <r>
    <s v="TXN39734318"/>
    <x v="555"/>
    <x v="4"/>
    <x v="2"/>
    <n v="1101"/>
    <x v="0"/>
    <x v="0"/>
    <x v="0"/>
    <n v="0"/>
    <n v="0"/>
    <n v="0"/>
    <s v="Failed"/>
  </r>
  <r>
    <s v="TXN25098410"/>
    <x v="556"/>
    <x v="3"/>
    <x v="4"/>
    <n v="17580"/>
    <x v="0"/>
    <x v="1"/>
    <x v="3"/>
    <n v="175.8"/>
    <n v="0"/>
    <n v="175.8"/>
    <s v="Success"/>
  </r>
  <r>
    <s v="TXN69203276"/>
    <x v="557"/>
    <x v="5"/>
    <x v="0"/>
    <n v="136500"/>
    <x v="1"/>
    <x v="5"/>
    <x v="0"/>
    <n v="2525.25"/>
    <n v="1010.1"/>
    <n v="1515.15"/>
    <s v="Success"/>
  </r>
  <r>
    <s v="TXN72251228"/>
    <x v="558"/>
    <x v="0"/>
    <x v="4"/>
    <n v="68728"/>
    <x v="0"/>
    <x v="7"/>
    <x v="4"/>
    <n v="687.28"/>
    <n v="0"/>
    <n v="687.28"/>
    <s v="Success"/>
  </r>
  <r>
    <s v="TXN45656281"/>
    <x v="559"/>
    <x v="0"/>
    <x v="4"/>
    <n v="112364"/>
    <x v="0"/>
    <x v="1"/>
    <x v="3"/>
    <n v="1123.6400000000001"/>
    <n v="0"/>
    <n v="1123.6400000000001"/>
    <s v="Success"/>
  </r>
  <r>
    <s v="TXN50751376"/>
    <x v="560"/>
    <x v="1"/>
    <x v="0"/>
    <n v="22500"/>
    <x v="0"/>
    <x v="2"/>
    <x v="0"/>
    <n v="416.25"/>
    <n v="166.5"/>
    <n v="249.75"/>
    <s v="Failed"/>
  </r>
  <r>
    <s v="TXN46213801"/>
    <x v="561"/>
    <x v="7"/>
    <x v="1"/>
    <n v="20825"/>
    <x v="1"/>
    <x v="8"/>
    <x v="0"/>
    <n v="5"/>
    <n v="0"/>
    <n v="5"/>
    <s v="Success"/>
  </r>
  <r>
    <s v="TXN64671334"/>
    <x v="562"/>
    <x v="2"/>
    <x v="3"/>
    <n v="93727"/>
    <x v="0"/>
    <x v="5"/>
    <x v="0"/>
    <n v="0"/>
    <n v="0"/>
    <n v="0"/>
    <s v="Success"/>
  </r>
  <r>
    <s v="TXN99419319"/>
    <x v="563"/>
    <x v="0"/>
    <x v="1"/>
    <n v="42035"/>
    <x v="0"/>
    <x v="8"/>
    <x v="0"/>
    <n v="5"/>
    <n v="0"/>
    <n v="5"/>
    <s v="Failed"/>
  </r>
  <r>
    <s v="TXN48651637"/>
    <x v="564"/>
    <x v="5"/>
    <x v="3"/>
    <n v="10279"/>
    <x v="0"/>
    <x v="2"/>
    <x v="0"/>
    <n v="0"/>
    <n v="0"/>
    <n v="0"/>
    <s v="Success"/>
  </r>
  <r>
    <s v="TXN67433425"/>
    <x v="565"/>
    <x v="3"/>
    <x v="0"/>
    <n v="64500"/>
    <x v="0"/>
    <x v="5"/>
    <x v="0"/>
    <n v="1193.25"/>
    <n v="477.3"/>
    <n v="715.95"/>
    <s v="Success"/>
  </r>
  <r>
    <s v="TXN78120164"/>
    <x v="566"/>
    <x v="4"/>
    <x v="4"/>
    <n v="69655"/>
    <x v="0"/>
    <x v="5"/>
    <x v="2"/>
    <n v="696.55"/>
    <n v="0"/>
    <n v="696.55"/>
    <s v="Success"/>
  </r>
  <r>
    <s v="TXN99682000"/>
    <x v="567"/>
    <x v="3"/>
    <x v="2"/>
    <n v="2726"/>
    <x v="0"/>
    <x v="0"/>
    <x v="0"/>
    <n v="0"/>
    <n v="0"/>
    <n v="0"/>
    <s v="Success"/>
  </r>
  <r>
    <s v="TXN10216842"/>
    <x v="568"/>
    <x v="7"/>
    <x v="2"/>
    <n v="2869"/>
    <x v="1"/>
    <x v="7"/>
    <x v="0"/>
    <n v="0"/>
    <n v="0"/>
    <n v="0"/>
    <s v="Success"/>
  </r>
  <r>
    <s v="TXN49894046"/>
    <x v="569"/>
    <x v="5"/>
    <x v="3"/>
    <n v="51168"/>
    <x v="0"/>
    <x v="7"/>
    <x v="0"/>
    <n v="0"/>
    <n v="0"/>
    <n v="0"/>
    <s v="Success"/>
  </r>
  <r>
    <s v="TXN24326869"/>
    <x v="570"/>
    <x v="0"/>
    <x v="3"/>
    <n v="44464"/>
    <x v="0"/>
    <x v="3"/>
    <x v="0"/>
    <n v="0"/>
    <n v="0"/>
    <n v="0"/>
    <s v="Success"/>
  </r>
  <r>
    <s v="TXN11767094"/>
    <x v="571"/>
    <x v="6"/>
    <x v="1"/>
    <n v="70879"/>
    <x v="0"/>
    <x v="6"/>
    <x v="0"/>
    <n v="5"/>
    <n v="0"/>
    <n v="5"/>
    <s v="Success"/>
  </r>
  <r>
    <s v="TXN42874302"/>
    <x v="572"/>
    <x v="6"/>
    <x v="0"/>
    <n v="192500"/>
    <x v="0"/>
    <x v="3"/>
    <x v="0"/>
    <n v="3561.25"/>
    <n v="1424.5"/>
    <n v="2136.75"/>
    <s v="Success"/>
  </r>
  <r>
    <s v="TXN20006882"/>
    <x v="573"/>
    <x v="7"/>
    <x v="0"/>
    <n v="115000"/>
    <x v="0"/>
    <x v="3"/>
    <x v="0"/>
    <n v="2127.5"/>
    <n v="851"/>
    <n v="1276.5"/>
    <s v="Success"/>
  </r>
  <r>
    <s v="TXN95170910"/>
    <x v="574"/>
    <x v="0"/>
    <x v="4"/>
    <n v="31004"/>
    <x v="0"/>
    <x v="8"/>
    <x v="1"/>
    <n v="310.04000000000002"/>
    <n v="0"/>
    <n v="310.04000000000002"/>
    <s v="Success"/>
  </r>
  <r>
    <s v="TXN12471744"/>
    <x v="575"/>
    <x v="1"/>
    <x v="4"/>
    <n v="148436"/>
    <x v="0"/>
    <x v="1"/>
    <x v="4"/>
    <n v="1484.36"/>
    <n v="0"/>
    <n v="1484.36"/>
    <s v="Success"/>
  </r>
  <r>
    <s v="TXN65501485"/>
    <x v="576"/>
    <x v="3"/>
    <x v="2"/>
    <n v="589"/>
    <x v="0"/>
    <x v="5"/>
    <x v="0"/>
    <n v="0"/>
    <n v="0"/>
    <n v="0"/>
    <s v="Success"/>
  </r>
  <r>
    <s v="TXN84472229"/>
    <x v="577"/>
    <x v="4"/>
    <x v="2"/>
    <n v="3611"/>
    <x v="0"/>
    <x v="3"/>
    <x v="0"/>
    <n v="0"/>
    <n v="0"/>
    <n v="0"/>
    <s v="Success"/>
  </r>
  <r>
    <s v="TXN55913735"/>
    <x v="578"/>
    <x v="6"/>
    <x v="2"/>
    <n v="1509"/>
    <x v="0"/>
    <x v="1"/>
    <x v="0"/>
    <n v="0"/>
    <n v="0"/>
    <n v="0"/>
    <s v="Success"/>
  </r>
  <r>
    <s v="TXN37560052"/>
    <x v="579"/>
    <x v="0"/>
    <x v="4"/>
    <n v="144831"/>
    <x v="0"/>
    <x v="5"/>
    <x v="4"/>
    <n v="1448.31"/>
    <n v="0"/>
    <n v="1448.31"/>
    <s v="Success"/>
  </r>
  <r>
    <s v="TXN34841116"/>
    <x v="580"/>
    <x v="5"/>
    <x v="0"/>
    <n v="227500"/>
    <x v="0"/>
    <x v="0"/>
    <x v="0"/>
    <n v="4208.75"/>
    <n v="1683.5"/>
    <n v="2525.25"/>
    <s v="Failed"/>
  </r>
  <r>
    <s v="TXN35347053"/>
    <x v="581"/>
    <x v="4"/>
    <x v="4"/>
    <n v="26051"/>
    <x v="0"/>
    <x v="6"/>
    <x v="4"/>
    <n v="260.51"/>
    <n v="0"/>
    <n v="260.51"/>
    <s v="Success"/>
  </r>
  <r>
    <s v="TXN12898887"/>
    <x v="582"/>
    <x v="7"/>
    <x v="3"/>
    <n v="50494"/>
    <x v="1"/>
    <x v="3"/>
    <x v="0"/>
    <n v="0"/>
    <n v="0"/>
    <n v="0"/>
    <s v="Success"/>
  </r>
  <r>
    <s v="TXN49890290"/>
    <x v="583"/>
    <x v="4"/>
    <x v="0"/>
    <n v="248500"/>
    <x v="0"/>
    <x v="5"/>
    <x v="0"/>
    <n v="4597.25"/>
    <n v="1838.9"/>
    <n v="2758.35"/>
    <s v="Success"/>
  </r>
  <r>
    <s v="TXN21321769"/>
    <x v="584"/>
    <x v="6"/>
    <x v="0"/>
    <n v="249000"/>
    <x v="1"/>
    <x v="5"/>
    <x v="0"/>
    <n v="4606.5"/>
    <n v="1842.6"/>
    <n v="2763.9"/>
    <s v="Success"/>
  </r>
  <r>
    <s v="TXN63131475"/>
    <x v="585"/>
    <x v="6"/>
    <x v="2"/>
    <n v="945"/>
    <x v="0"/>
    <x v="8"/>
    <x v="0"/>
    <n v="0"/>
    <n v="0"/>
    <n v="0"/>
    <s v="Success"/>
  </r>
  <r>
    <s v="TXN67360748"/>
    <x v="586"/>
    <x v="7"/>
    <x v="2"/>
    <n v="3608"/>
    <x v="2"/>
    <x v="8"/>
    <x v="0"/>
    <n v="0"/>
    <n v="0"/>
    <n v="0"/>
    <s v="Success"/>
  </r>
  <r>
    <s v="TXN16848032"/>
    <x v="587"/>
    <x v="6"/>
    <x v="3"/>
    <n v="120025"/>
    <x v="0"/>
    <x v="0"/>
    <x v="0"/>
    <n v="0"/>
    <n v="0"/>
    <n v="0"/>
    <s v="Success"/>
  </r>
  <r>
    <s v="TXN19295641"/>
    <x v="588"/>
    <x v="1"/>
    <x v="3"/>
    <n v="6806"/>
    <x v="0"/>
    <x v="1"/>
    <x v="0"/>
    <n v="0"/>
    <n v="0"/>
    <n v="0"/>
    <s v="Success"/>
  </r>
  <r>
    <s v="TXN43969142"/>
    <x v="589"/>
    <x v="7"/>
    <x v="4"/>
    <n v="149373"/>
    <x v="0"/>
    <x v="5"/>
    <x v="3"/>
    <n v="1493.73"/>
    <n v="0"/>
    <n v="1493.73"/>
    <s v="Success"/>
  </r>
  <r>
    <s v="TXN72674985"/>
    <x v="590"/>
    <x v="6"/>
    <x v="2"/>
    <n v="1678"/>
    <x v="0"/>
    <x v="4"/>
    <x v="0"/>
    <n v="0"/>
    <n v="0"/>
    <n v="0"/>
    <s v="Success"/>
  </r>
  <r>
    <s v="TXN72090876"/>
    <x v="591"/>
    <x v="0"/>
    <x v="2"/>
    <n v="1361"/>
    <x v="0"/>
    <x v="8"/>
    <x v="0"/>
    <n v="0"/>
    <n v="0"/>
    <n v="0"/>
    <s v="Success"/>
  </r>
  <r>
    <s v="TXN56442504"/>
    <x v="592"/>
    <x v="2"/>
    <x v="2"/>
    <n v="2576"/>
    <x v="0"/>
    <x v="5"/>
    <x v="0"/>
    <n v="0"/>
    <n v="0"/>
    <n v="0"/>
    <s v="Failed"/>
  </r>
  <r>
    <s v="TXN53374908"/>
    <x v="593"/>
    <x v="2"/>
    <x v="4"/>
    <n v="11781"/>
    <x v="1"/>
    <x v="0"/>
    <x v="2"/>
    <n v="117.81"/>
    <n v="0"/>
    <n v="117.81"/>
    <s v="Success"/>
  </r>
  <r>
    <s v="TXN46775275"/>
    <x v="594"/>
    <x v="1"/>
    <x v="0"/>
    <n v="27000"/>
    <x v="0"/>
    <x v="0"/>
    <x v="0"/>
    <n v="499.5"/>
    <n v="199.8"/>
    <n v="299.7"/>
    <s v="Success"/>
  </r>
  <r>
    <s v="TXN88514073"/>
    <x v="595"/>
    <x v="6"/>
    <x v="3"/>
    <n v="21410"/>
    <x v="0"/>
    <x v="5"/>
    <x v="0"/>
    <n v="0"/>
    <n v="0"/>
    <n v="0"/>
    <s v="Success"/>
  </r>
  <r>
    <s v="TXN99023379"/>
    <x v="596"/>
    <x v="4"/>
    <x v="1"/>
    <n v="48508"/>
    <x v="0"/>
    <x v="3"/>
    <x v="0"/>
    <n v="5"/>
    <n v="0"/>
    <n v="5"/>
    <s v="Success"/>
  </r>
  <r>
    <s v="TXN28463627"/>
    <x v="597"/>
    <x v="1"/>
    <x v="0"/>
    <n v="232000"/>
    <x v="1"/>
    <x v="2"/>
    <x v="0"/>
    <n v="4292"/>
    <n v="1716.8"/>
    <n v="2575.1999999999998"/>
    <s v="Success"/>
  </r>
  <r>
    <s v="TXN12778459"/>
    <x v="598"/>
    <x v="3"/>
    <x v="4"/>
    <n v="3249"/>
    <x v="0"/>
    <x v="3"/>
    <x v="1"/>
    <n v="32.49"/>
    <n v="0"/>
    <n v="32.49"/>
    <s v="Success"/>
  </r>
  <r>
    <s v="TXN72551910"/>
    <x v="599"/>
    <x v="2"/>
    <x v="4"/>
    <n v="41027"/>
    <x v="0"/>
    <x v="7"/>
    <x v="2"/>
    <n v="410.27"/>
    <n v="0"/>
    <n v="410.27"/>
    <s v="Success"/>
  </r>
  <r>
    <s v="TXN35722350"/>
    <x v="600"/>
    <x v="6"/>
    <x v="2"/>
    <n v="2783"/>
    <x v="0"/>
    <x v="6"/>
    <x v="0"/>
    <n v="0"/>
    <n v="0"/>
    <n v="0"/>
    <s v="Success"/>
  </r>
  <r>
    <s v="TXN49786626"/>
    <x v="601"/>
    <x v="4"/>
    <x v="3"/>
    <n v="133795"/>
    <x v="0"/>
    <x v="6"/>
    <x v="0"/>
    <n v="0"/>
    <n v="0"/>
    <n v="0"/>
    <s v="Success"/>
  </r>
  <r>
    <s v="TXN85770020"/>
    <x v="602"/>
    <x v="0"/>
    <x v="1"/>
    <n v="68308"/>
    <x v="0"/>
    <x v="6"/>
    <x v="0"/>
    <n v="5"/>
    <n v="0"/>
    <n v="5"/>
    <s v="Success"/>
  </r>
  <r>
    <s v="TXN43077524"/>
    <x v="603"/>
    <x v="2"/>
    <x v="3"/>
    <n v="141277"/>
    <x v="0"/>
    <x v="0"/>
    <x v="0"/>
    <n v="0"/>
    <n v="0"/>
    <n v="0"/>
    <s v="Success"/>
  </r>
  <r>
    <s v="TXN11272014"/>
    <x v="604"/>
    <x v="3"/>
    <x v="0"/>
    <n v="177000"/>
    <x v="0"/>
    <x v="5"/>
    <x v="0"/>
    <n v="3274.5"/>
    <n v="1309.8"/>
    <n v="1964.7"/>
    <s v="Success"/>
  </r>
  <r>
    <s v="TXN85029720"/>
    <x v="605"/>
    <x v="7"/>
    <x v="0"/>
    <n v="152500"/>
    <x v="0"/>
    <x v="4"/>
    <x v="0"/>
    <n v="2821.25"/>
    <n v="1128.5"/>
    <n v="1692.75"/>
    <s v="Success"/>
  </r>
  <r>
    <s v="TXN68742592"/>
    <x v="606"/>
    <x v="0"/>
    <x v="3"/>
    <n v="87942"/>
    <x v="0"/>
    <x v="3"/>
    <x v="0"/>
    <n v="0"/>
    <n v="0"/>
    <n v="0"/>
    <s v="Success"/>
  </r>
  <r>
    <s v="TXN49191725"/>
    <x v="607"/>
    <x v="2"/>
    <x v="0"/>
    <n v="118000"/>
    <x v="0"/>
    <x v="5"/>
    <x v="0"/>
    <n v="2183"/>
    <n v="873.2"/>
    <n v="1309.8"/>
    <s v="Success"/>
  </r>
  <r>
    <s v="TXN92198290"/>
    <x v="608"/>
    <x v="5"/>
    <x v="3"/>
    <n v="42242"/>
    <x v="1"/>
    <x v="7"/>
    <x v="0"/>
    <n v="0"/>
    <n v="0"/>
    <n v="0"/>
    <s v="Success"/>
  </r>
  <r>
    <s v="TXN57222567"/>
    <x v="609"/>
    <x v="0"/>
    <x v="4"/>
    <n v="111589"/>
    <x v="0"/>
    <x v="8"/>
    <x v="3"/>
    <n v="1115.8900000000001"/>
    <n v="0"/>
    <n v="1115.8900000000001"/>
    <s v="Success"/>
  </r>
  <r>
    <s v="TXN65258622"/>
    <x v="610"/>
    <x v="3"/>
    <x v="3"/>
    <n v="95358"/>
    <x v="1"/>
    <x v="4"/>
    <x v="0"/>
    <n v="0"/>
    <n v="0"/>
    <n v="0"/>
    <s v="Success"/>
  </r>
  <r>
    <s v="TXN58179311"/>
    <x v="611"/>
    <x v="4"/>
    <x v="2"/>
    <n v="1179"/>
    <x v="0"/>
    <x v="0"/>
    <x v="0"/>
    <n v="0"/>
    <n v="0"/>
    <n v="0"/>
    <s v="Success"/>
  </r>
  <r>
    <s v="TXN65050671"/>
    <x v="612"/>
    <x v="2"/>
    <x v="4"/>
    <n v="97725"/>
    <x v="0"/>
    <x v="8"/>
    <x v="2"/>
    <n v="977.25"/>
    <n v="0"/>
    <n v="977.25"/>
    <s v="Success"/>
  </r>
  <r>
    <s v="TXN58555906"/>
    <x v="613"/>
    <x v="6"/>
    <x v="3"/>
    <n v="125830"/>
    <x v="1"/>
    <x v="3"/>
    <x v="0"/>
    <n v="0"/>
    <n v="0"/>
    <n v="0"/>
    <s v="Success"/>
  </r>
  <r>
    <s v="TXN21925987"/>
    <x v="614"/>
    <x v="1"/>
    <x v="1"/>
    <n v="47680"/>
    <x v="0"/>
    <x v="4"/>
    <x v="0"/>
    <n v="5"/>
    <n v="0"/>
    <n v="5"/>
    <s v="Success"/>
  </r>
  <r>
    <s v="TXN67338322"/>
    <x v="615"/>
    <x v="1"/>
    <x v="3"/>
    <n v="101849"/>
    <x v="0"/>
    <x v="7"/>
    <x v="0"/>
    <n v="0"/>
    <n v="0"/>
    <n v="0"/>
    <s v="Success"/>
  </r>
  <r>
    <s v="TXN78758088"/>
    <x v="616"/>
    <x v="2"/>
    <x v="4"/>
    <n v="17722"/>
    <x v="0"/>
    <x v="8"/>
    <x v="3"/>
    <n v="177.22"/>
    <n v="0"/>
    <n v="177.22"/>
    <s v="Success"/>
  </r>
  <r>
    <s v="TXN13353007"/>
    <x v="617"/>
    <x v="3"/>
    <x v="1"/>
    <n v="119078"/>
    <x v="0"/>
    <x v="5"/>
    <x v="0"/>
    <n v="5"/>
    <n v="0"/>
    <n v="5"/>
    <s v="Success"/>
  </r>
  <r>
    <s v="TXN49868026"/>
    <x v="618"/>
    <x v="3"/>
    <x v="0"/>
    <n v="211500"/>
    <x v="0"/>
    <x v="5"/>
    <x v="0"/>
    <n v="3912.75"/>
    <n v="1565.1"/>
    <n v="2347.65"/>
    <s v="Success"/>
  </r>
  <r>
    <s v="TXN72579285"/>
    <x v="619"/>
    <x v="5"/>
    <x v="4"/>
    <n v="3557"/>
    <x v="0"/>
    <x v="3"/>
    <x v="3"/>
    <n v="35.57"/>
    <n v="0"/>
    <n v="35.57"/>
    <s v="Success"/>
  </r>
  <r>
    <s v="TXN53741426"/>
    <x v="620"/>
    <x v="4"/>
    <x v="2"/>
    <n v="692"/>
    <x v="0"/>
    <x v="4"/>
    <x v="0"/>
    <n v="0"/>
    <n v="0"/>
    <n v="0"/>
    <s v="Success"/>
  </r>
  <r>
    <s v="TXN13135818"/>
    <x v="621"/>
    <x v="3"/>
    <x v="1"/>
    <n v="29568"/>
    <x v="0"/>
    <x v="0"/>
    <x v="0"/>
    <n v="5"/>
    <n v="0"/>
    <n v="5"/>
    <s v="Success"/>
  </r>
  <r>
    <s v="TXN43544052"/>
    <x v="622"/>
    <x v="0"/>
    <x v="3"/>
    <n v="55281"/>
    <x v="0"/>
    <x v="4"/>
    <x v="0"/>
    <n v="0"/>
    <n v="0"/>
    <n v="0"/>
    <s v="Success"/>
  </r>
  <r>
    <s v="TXN23186889"/>
    <x v="623"/>
    <x v="0"/>
    <x v="0"/>
    <n v="176500"/>
    <x v="0"/>
    <x v="3"/>
    <x v="0"/>
    <n v="3265.25"/>
    <n v="1306.0999999999999"/>
    <n v="1959.15"/>
    <s v="Success"/>
  </r>
  <r>
    <s v="TXN45743634"/>
    <x v="624"/>
    <x v="5"/>
    <x v="4"/>
    <n v="86599"/>
    <x v="0"/>
    <x v="1"/>
    <x v="1"/>
    <n v="865.99"/>
    <n v="0"/>
    <n v="865.99"/>
    <s v="Success"/>
  </r>
  <r>
    <s v="TXN45811249"/>
    <x v="625"/>
    <x v="1"/>
    <x v="3"/>
    <n v="140630"/>
    <x v="0"/>
    <x v="2"/>
    <x v="0"/>
    <n v="0"/>
    <n v="0"/>
    <n v="0"/>
    <s v="Success"/>
  </r>
  <r>
    <s v="TXN33929223"/>
    <x v="626"/>
    <x v="4"/>
    <x v="1"/>
    <n v="112823"/>
    <x v="0"/>
    <x v="7"/>
    <x v="0"/>
    <n v="5"/>
    <n v="0"/>
    <n v="5"/>
    <s v="Success"/>
  </r>
  <r>
    <s v="TXN24148901"/>
    <x v="627"/>
    <x v="7"/>
    <x v="4"/>
    <n v="86786"/>
    <x v="2"/>
    <x v="5"/>
    <x v="1"/>
    <n v="867.86"/>
    <n v="0"/>
    <n v="867.86"/>
    <s v="Success"/>
  </r>
  <r>
    <s v="TXN96773085"/>
    <x v="628"/>
    <x v="4"/>
    <x v="2"/>
    <n v="4117"/>
    <x v="0"/>
    <x v="1"/>
    <x v="0"/>
    <n v="0"/>
    <n v="0"/>
    <n v="0"/>
    <s v="Success"/>
  </r>
  <r>
    <s v="TXN75312058"/>
    <x v="629"/>
    <x v="4"/>
    <x v="3"/>
    <n v="101246"/>
    <x v="0"/>
    <x v="5"/>
    <x v="0"/>
    <n v="0"/>
    <n v="0"/>
    <n v="0"/>
    <s v="Success"/>
  </r>
  <r>
    <s v="TXN67694770"/>
    <x v="630"/>
    <x v="3"/>
    <x v="0"/>
    <n v="107500"/>
    <x v="2"/>
    <x v="6"/>
    <x v="0"/>
    <n v="1988.75"/>
    <n v="795.5"/>
    <n v="1193.25"/>
    <s v="Failed"/>
  </r>
  <r>
    <s v="TXN78599607"/>
    <x v="631"/>
    <x v="7"/>
    <x v="0"/>
    <n v="16500"/>
    <x v="0"/>
    <x v="4"/>
    <x v="0"/>
    <n v="305.25"/>
    <n v="122.1"/>
    <n v="183.15"/>
    <s v="Success"/>
  </r>
  <r>
    <s v="TXN94598477"/>
    <x v="632"/>
    <x v="0"/>
    <x v="0"/>
    <n v="42000"/>
    <x v="0"/>
    <x v="5"/>
    <x v="0"/>
    <n v="777"/>
    <n v="310.8"/>
    <n v="466.2"/>
    <s v="Success"/>
  </r>
  <r>
    <s v="TXN61361046"/>
    <x v="633"/>
    <x v="1"/>
    <x v="0"/>
    <n v="4500"/>
    <x v="1"/>
    <x v="1"/>
    <x v="0"/>
    <n v="83.25"/>
    <n v="33.299999999999997"/>
    <n v="49.95"/>
    <s v="Failed"/>
  </r>
  <r>
    <s v="TXN36885836"/>
    <x v="634"/>
    <x v="1"/>
    <x v="1"/>
    <n v="131369"/>
    <x v="0"/>
    <x v="1"/>
    <x v="0"/>
    <n v="5"/>
    <n v="0"/>
    <n v="5"/>
    <s v="Success"/>
  </r>
  <r>
    <s v="TXN69313119"/>
    <x v="635"/>
    <x v="1"/>
    <x v="1"/>
    <n v="101478"/>
    <x v="0"/>
    <x v="8"/>
    <x v="0"/>
    <n v="5"/>
    <n v="0"/>
    <n v="5"/>
    <s v="Success"/>
  </r>
  <r>
    <s v="TXN87723391"/>
    <x v="636"/>
    <x v="5"/>
    <x v="2"/>
    <n v="2477"/>
    <x v="0"/>
    <x v="4"/>
    <x v="0"/>
    <n v="0"/>
    <n v="0"/>
    <n v="0"/>
    <s v="Success"/>
  </r>
  <r>
    <s v="TXN47326665"/>
    <x v="637"/>
    <x v="0"/>
    <x v="2"/>
    <n v="4260"/>
    <x v="0"/>
    <x v="0"/>
    <x v="0"/>
    <n v="0"/>
    <n v="0"/>
    <n v="0"/>
    <s v="Success"/>
  </r>
  <r>
    <s v="TXN16834226"/>
    <x v="638"/>
    <x v="2"/>
    <x v="0"/>
    <n v="174000"/>
    <x v="2"/>
    <x v="3"/>
    <x v="0"/>
    <n v="3219"/>
    <n v="1287.5999999999999"/>
    <n v="1931.4"/>
    <s v="Success"/>
  </r>
  <r>
    <s v="TXN79394076"/>
    <x v="639"/>
    <x v="0"/>
    <x v="1"/>
    <n v="35400"/>
    <x v="2"/>
    <x v="2"/>
    <x v="0"/>
    <n v="5"/>
    <n v="0"/>
    <n v="5"/>
    <s v="Success"/>
  </r>
  <r>
    <s v="TXN70072026"/>
    <x v="640"/>
    <x v="1"/>
    <x v="3"/>
    <n v="119931"/>
    <x v="0"/>
    <x v="5"/>
    <x v="0"/>
    <n v="0"/>
    <n v="0"/>
    <n v="0"/>
    <s v="Success"/>
  </r>
  <r>
    <s v="TXN79134141"/>
    <x v="641"/>
    <x v="5"/>
    <x v="2"/>
    <n v="3668"/>
    <x v="0"/>
    <x v="5"/>
    <x v="0"/>
    <n v="0"/>
    <n v="0"/>
    <n v="0"/>
    <s v="Success"/>
  </r>
  <r>
    <s v="TXN57200197"/>
    <x v="642"/>
    <x v="3"/>
    <x v="0"/>
    <n v="75000"/>
    <x v="1"/>
    <x v="4"/>
    <x v="0"/>
    <n v="1387.5"/>
    <n v="555"/>
    <n v="832.5"/>
    <s v="Success"/>
  </r>
  <r>
    <s v="TXN28887190"/>
    <x v="643"/>
    <x v="0"/>
    <x v="3"/>
    <n v="133962"/>
    <x v="0"/>
    <x v="4"/>
    <x v="0"/>
    <n v="0"/>
    <n v="0"/>
    <n v="0"/>
    <s v="Failed"/>
  </r>
  <r>
    <s v="TXN72138047"/>
    <x v="644"/>
    <x v="4"/>
    <x v="1"/>
    <n v="65841"/>
    <x v="2"/>
    <x v="5"/>
    <x v="0"/>
    <n v="5"/>
    <n v="0"/>
    <n v="5"/>
    <s v="Success"/>
  </r>
  <r>
    <s v="TXN93754351"/>
    <x v="645"/>
    <x v="3"/>
    <x v="1"/>
    <n v="8899"/>
    <x v="1"/>
    <x v="8"/>
    <x v="0"/>
    <n v="5"/>
    <n v="0"/>
    <n v="5"/>
    <s v="Success"/>
  </r>
  <r>
    <s v="TXN55567015"/>
    <x v="646"/>
    <x v="2"/>
    <x v="0"/>
    <n v="219000"/>
    <x v="1"/>
    <x v="6"/>
    <x v="0"/>
    <n v="4051.5"/>
    <n v="1620.6"/>
    <n v="2430.9"/>
    <s v="Success"/>
  </r>
  <r>
    <s v="TXN20613338"/>
    <x v="647"/>
    <x v="7"/>
    <x v="3"/>
    <n v="61762"/>
    <x v="0"/>
    <x v="6"/>
    <x v="0"/>
    <n v="0"/>
    <n v="0"/>
    <n v="0"/>
    <s v="Failed"/>
  </r>
  <r>
    <s v="TXN85383010"/>
    <x v="648"/>
    <x v="3"/>
    <x v="1"/>
    <n v="92267"/>
    <x v="0"/>
    <x v="6"/>
    <x v="0"/>
    <n v="5"/>
    <n v="0"/>
    <n v="5"/>
    <s v="Success"/>
  </r>
  <r>
    <s v="TXN89919647"/>
    <x v="649"/>
    <x v="1"/>
    <x v="2"/>
    <n v="4755"/>
    <x v="1"/>
    <x v="0"/>
    <x v="0"/>
    <n v="0"/>
    <n v="0"/>
    <n v="0"/>
    <s v="Success"/>
  </r>
  <r>
    <s v="TXN44876464"/>
    <x v="650"/>
    <x v="3"/>
    <x v="0"/>
    <n v="66000"/>
    <x v="0"/>
    <x v="2"/>
    <x v="0"/>
    <n v="1221"/>
    <n v="488.4"/>
    <n v="732.6"/>
    <s v="Success"/>
  </r>
  <r>
    <s v="TXN67707772"/>
    <x v="651"/>
    <x v="1"/>
    <x v="0"/>
    <n v="69000"/>
    <x v="0"/>
    <x v="2"/>
    <x v="0"/>
    <n v="1276.5"/>
    <n v="510.6"/>
    <n v="765.9"/>
    <s v="Success"/>
  </r>
  <r>
    <s v="TXN89939796"/>
    <x v="652"/>
    <x v="7"/>
    <x v="1"/>
    <n v="132135"/>
    <x v="0"/>
    <x v="8"/>
    <x v="0"/>
    <n v="5"/>
    <n v="0"/>
    <n v="5"/>
    <s v="Success"/>
  </r>
  <r>
    <s v="TXN89924495"/>
    <x v="653"/>
    <x v="6"/>
    <x v="2"/>
    <n v="3176"/>
    <x v="0"/>
    <x v="3"/>
    <x v="0"/>
    <n v="0"/>
    <n v="0"/>
    <n v="0"/>
    <s v="Success"/>
  </r>
  <r>
    <s v="TXN75236088"/>
    <x v="654"/>
    <x v="4"/>
    <x v="1"/>
    <n v="124171"/>
    <x v="0"/>
    <x v="5"/>
    <x v="0"/>
    <n v="5"/>
    <n v="0"/>
    <n v="5"/>
    <s v="Success"/>
  </r>
  <r>
    <s v="TXN38635921"/>
    <x v="655"/>
    <x v="7"/>
    <x v="0"/>
    <n v="198000"/>
    <x v="0"/>
    <x v="6"/>
    <x v="0"/>
    <n v="3663"/>
    <n v="1465.2"/>
    <n v="2197.8000000000002"/>
    <s v="Success"/>
  </r>
  <r>
    <s v="TXN84689790"/>
    <x v="656"/>
    <x v="2"/>
    <x v="1"/>
    <n v="11948"/>
    <x v="0"/>
    <x v="2"/>
    <x v="0"/>
    <n v="5"/>
    <n v="0"/>
    <n v="5"/>
    <s v="Success"/>
  </r>
  <r>
    <s v="TXN25818585"/>
    <x v="657"/>
    <x v="2"/>
    <x v="0"/>
    <n v="59000"/>
    <x v="0"/>
    <x v="2"/>
    <x v="0"/>
    <n v="1091.5"/>
    <n v="436.6"/>
    <n v="654.9"/>
    <s v="Success"/>
  </r>
  <r>
    <s v="TXN62172815"/>
    <x v="658"/>
    <x v="1"/>
    <x v="1"/>
    <n v="82945"/>
    <x v="0"/>
    <x v="6"/>
    <x v="0"/>
    <n v="5"/>
    <n v="0"/>
    <n v="5"/>
    <s v="Success"/>
  </r>
  <r>
    <s v="TXN74309069"/>
    <x v="659"/>
    <x v="1"/>
    <x v="2"/>
    <n v="1109"/>
    <x v="0"/>
    <x v="6"/>
    <x v="0"/>
    <n v="0"/>
    <n v="0"/>
    <n v="0"/>
    <s v="Success"/>
  </r>
  <r>
    <s v="TXN34110961"/>
    <x v="660"/>
    <x v="5"/>
    <x v="2"/>
    <n v="4689"/>
    <x v="1"/>
    <x v="5"/>
    <x v="0"/>
    <n v="0"/>
    <n v="0"/>
    <n v="0"/>
    <s v="Success"/>
  </r>
  <r>
    <s v="TXN66857740"/>
    <x v="661"/>
    <x v="7"/>
    <x v="0"/>
    <n v="208000"/>
    <x v="0"/>
    <x v="1"/>
    <x v="0"/>
    <n v="3848"/>
    <n v="1539.2"/>
    <n v="2308.8000000000002"/>
    <s v="Success"/>
  </r>
  <r>
    <s v="TXN30838094"/>
    <x v="662"/>
    <x v="3"/>
    <x v="1"/>
    <n v="95540"/>
    <x v="0"/>
    <x v="2"/>
    <x v="0"/>
    <n v="5"/>
    <n v="0"/>
    <n v="5"/>
    <s v="Success"/>
  </r>
  <r>
    <s v="TXN17701540"/>
    <x v="663"/>
    <x v="6"/>
    <x v="1"/>
    <n v="16025"/>
    <x v="0"/>
    <x v="5"/>
    <x v="0"/>
    <n v="5"/>
    <n v="0"/>
    <n v="5"/>
    <s v="Failed"/>
  </r>
  <r>
    <s v="TXN81612300"/>
    <x v="664"/>
    <x v="2"/>
    <x v="0"/>
    <n v="51000"/>
    <x v="0"/>
    <x v="7"/>
    <x v="0"/>
    <n v="943.5"/>
    <n v="377.4"/>
    <n v="566.1"/>
    <s v="Success"/>
  </r>
  <r>
    <s v="TXN28155093"/>
    <x v="665"/>
    <x v="0"/>
    <x v="3"/>
    <n v="125992"/>
    <x v="0"/>
    <x v="6"/>
    <x v="0"/>
    <n v="0"/>
    <n v="0"/>
    <n v="0"/>
    <s v="Success"/>
  </r>
  <r>
    <s v="TXN79587300"/>
    <x v="666"/>
    <x v="4"/>
    <x v="0"/>
    <n v="18500"/>
    <x v="0"/>
    <x v="3"/>
    <x v="0"/>
    <n v="342.25"/>
    <n v="136.9"/>
    <n v="205.35"/>
    <s v="Success"/>
  </r>
  <r>
    <s v="TXN99723808"/>
    <x v="667"/>
    <x v="4"/>
    <x v="3"/>
    <n v="89413"/>
    <x v="2"/>
    <x v="6"/>
    <x v="0"/>
    <n v="0"/>
    <n v="0"/>
    <n v="0"/>
    <s v="Failed"/>
  </r>
  <r>
    <s v="TXN22917365"/>
    <x v="668"/>
    <x v="1"/>
    <x v="4"/>
    <n v="30893"/>
    <x v="0"/>
    <x v="5"/>
    <x v="4"/>
    <n v="308.93"/>
    <n v="0"/>
    <n v="308.93"/>
    <s v="Success"/>
  </r>
  <r>
    <s v="TXN23149864"/>
    <x v="669"/>
    <x v="6"/>
    <x v="4"/>
    <n v="104639"/>
    <x v="0"/>
    <x v="5"/>
    <x v="5"/>
    <n v="1046.3900000000001"/>
    <n v="0"/>
    <n v="1046.3900000000001"/>
    <s v="Success"/>
  </r>
  <r>
    <s v="TXN78553787"/>
    <x v="670"/>
    <x v="5"/>
    <x v="0"/>
    <n v="158500"/>
    <x v="1"/>
    <x v="0"/>
    <x v="0"/>
    <n v="2932.25"/>
    <n v="1172.9000000000001"/>
    <n v="1759.35"/>
    <s v="Success"/>
  </r>
  <r>
    <s v="TXN27534174"/>
    <x v="671"/>
    <x v="6"/>
    <x v="3"/>
    <n v="25843"/>
    <x v="0"/>
    <x v="1"/>
    <x v="0"/>
    <n v="0"/>
    <n v="0"/>
    <n v="0"/>
    <s v="Success"/>
  </r>
  <r>
    <s v="TXN86203732"/>
    <x v="672"/>
    <x v="7"/>
    <x v="4"/>
    <n v="24873"/>
    <x v="1"/>
    <x v="4"/>
    <x v="3"/>
    <n v="248.73"/>
    <n v="0"/>
    <n v="248.73"/>
    <s v="Success"/>
  </r>
  <r>
    <s v="TXN56612142"/>
    <x v="673"/>
    <x v="3"/>
    <x v="4"/>
    <n v="121315"/>
    <x v="1"/>
    <x v="0"/>
    <x v="1"/>
    <n v="1213.1500000000001"/>
    <n v="0"/>
    <n v="1213.1500000000001"/>
    <s v="Success"/>
  </r>
  <r>
    <s v="TXN65388004"/>
    <x v="674"/>
    <x v="1"/>
    <x v="1"/>
    <n v="85830"/>
    <x v="0"/>
    <x v="0"/>
    <x v="0"/>
    <n v="5"/>
    <n v="0"/>
    <n v="5"/>
    <s v="Success"/>
  </r>
  <r>
    <s v="TXN29944466"/>
    <x v="675"/>
    <x v="6"/>
    <x v="2"/>
    <n v="4268"/>
    <x v="0"/>
    <x v="0"/>
    <x v="0"/>
    <n v="0"/>
    <n v="0"/>
    <n v="0"/>
    <s v="Success"/>
  </r>
  <r>
    <s v="TXN28358619"/>
    <x v="676"/>
    <x v="1"/>
    <x v="4"/>
    <n v="83450"/>
    <x v="0"/>
    <x v="7"/>
    <x v="5"/>
    <n v="834.5"/>
    <n v="0"/>
    <n v="834.5"/>
    <s v="Success"/>
  </r>
  <r>
    <s v="TXN87613764"/>
    <x v="677"/>
    <x v="1"/>
    <x v="3"/>
    <n v="86609"/>
    <x v="0"/>
    <x v="5"/>
    <x v="0"/>
    <n v="0"/>
    <n v="0"/>
    <n v="0"/>
    <s v="Success"/>
  </r>
  <r>
    <s v="TXN39853737"/>
    <x v="678"/>
    <x v="5"/>
    <x v="2"/>
    <n v="18"/>
    <x v="1"/>
    <x v="4"/>
    <x v="0"/>
    <n v="0"/>
    <n v="0"/>
    <n v="0"/>
    <s v="Success"/>
  </r>
  <r>
    <s v="TXN14012399"/>
    <x v="679"/>
    <x v="4"/>
    <x v="3"/>
    <n v="47192"/>
    <x v="1"/>
    <x v="4"/>
    <x v="0"/>
    <n v="0"/>
    <n v="0"/>
    <n v="0"/>
    <s v="Failed"/>
  </r>
  <r>
    <s v="TXN35160348"/>
    <x v="680"/>
    <x v="5"/>
    <x v="4"/>
    <n v="122215"/>
    <x v="0"/>
    <x v="4"/>
    <x v="4"/>
    <n v="1222.1500000000001"/>
    <n v="0"/>
    <n v="1222.1500000000001"/>
    <s v="Success"/>
  </r>
  <r>
    <s v="TXN80647139"/>
    <x v="681"/>
    <x v="4"/>
    <x v="1"/>
    <n v="7453"/>
    <x v="0"/>
    <x v="3"/>
    <x v="0"/>
    <n v="5"/>
    <n v="0"/>
    <n v="5"/>
    <s v="Success"/>
  </r>
  <r>
    <s v="TXN72811155"/>
    <x v="682"/>
    <x v="5"/>
    <x v="1"/>
    <n v="8260"/>
    <x v="0"/>
    <x v="1"/>
    <x v="0"/>
    <n v="5"/>
    <n v="0"/>
    <n v="5"/>
    <s v="Success"/>
  </r>
  <r>
    <s v="TXN62716393"/>
    <x v="683"/>
    <x v="1"/>
    <x v="0"/>
    <n v="50000"/>
    <x v="0"/>
    <x v="6"/>
    <x v="0"/>
    <n v="925"/>
    <n v="370"/>
    <n v="555"/>
    <s v="Success"/>
  </r>
  <r>
    <s v="TXN42412677"/>
    <x v="684"/>
    <x v="3"/>
    <x v="2"/>
    <n v="4922"/>
    <x v="0"/>
    <x v="7"/>
    <x v="0"/>
    <n v="0"/>
    <n v="0"/>
    <n v="0"/>
    <s v="Success"/>
  </r>
  <r>
    <s v="TXN67770796"/>
    <x v="685"/>
    <x v="5"/>
    <x v="2"/>
    <n v="1204"/>
    <x v="0"/>
    <x v="8"/>
    <x v="0"/>
    <n v="0"/>
    <n v="0"/>
    <n v="0"/>
    <s v="Failed"/>
  </r>
  <r>
    <s v="TXN16683999"/>
    <x v="686"/>
    <x v="1"/>
    <x v="1"/>
    <n v="1065"/>
    <x v="0"/>
    <x v="5"/>
    <x v="0"/>
    <n v="5"/>
    <n v="0"/>
    <n v="5"/>
    <s v="Success"/>
  </r>
  <r>
    <s v="TXN83528546"/>
    <x v="687"/>
    <x v="1"/>
    <x v="2"/>
    <n v="4450"/>
    <x v="0"/>
    <x v="6"/>
    <x v="0"/>
    <n v="0"/>
    <n v="0"/>
    <n v="0"/>
    <s v="Success"/>
  </r>
  <r>
    <s v="TXN78235398"/>
    <x v="688"/>
    <x v="7"/>
    <x v="0"/>
    <n v="111000"/>
    <x v="0"/>
    <x v="5"/>
    <x v="0"/>
    <n v="2053.5"/>
    <n v="821.4"/>
    <n v="1232.0999999999999"/>
    <s v="Success"/>
  </r>
  <r>
    <s v="TXN97181323"/>
    <x v="689"/>
    <x v="2"/>
    <x v="4"/>
    <n v="77385"/>
    <x v="0"/>
    <x v="3"/>
    <x v="2"/>
    <n v="773.85"/>
    <n v="0"/>
    <n v="773.85"/>
    <s v="Success"/>
  </r>
  <r>
    <s v="TXN86235800"/>
    <x v="690"/>
    <x v="0"/>
    <x v="1"/>
    <n v="124336"/>
    <x v="0"/>
    <x v="5"/>
    <x v="0"/>
    <n v="5"/>
    <n v="0"/>
    <n v="5"/>
    <s v="Success"/>
  </r>
  <r>
    <s v="TXN84640367"/>
    <x v="691"/>
    <x v="3"/>
    <x v="2"/>
    <n v="4249"/>
    <x v="0"/>
    <x v="8"/>
    <x v="0"/>
    <n v="0"/>
    <n v="0"/>
    <n v="0"/>
    <s v="Success"/>
  </r>
  <r>
    <s v="TXN16222478"/>
    <x v="692"/>
    <x v="5"/>
    <x v="3"/>
    <n v="80736"/>
    <x v="0"/>
    <x v="3"/>
    <x v="0"/>
    <n v="0"/>
    <n v="0"/>
    <n v="0"/>
    <s v="Success"/>
  </r>
  <r>
    <s v="TXN86034801"/>
    <x v="693"/>
    <x v="1"/>
    <x v="2"/>
    <n v="1160"/>
    <x v="0"/>
    <x v="5"/>
    <x v="0"/>
    <n v="0"/>
    <n v="0"/>
    <n v="0"/>
    <s v="Success"/>
  </r>
  <r>
    <s v="TXN89670390"/>
    <x v="694"/>
    <x v="3"/>
    <x v="0"/>
    <n v="112500"/>
    <x v="0"/>
    <x v="4"/>
    <x v="0"/>
    <n v="2081.25"/>
    <n v="832.5"/>
    <n v="1248.75"/>
    <s v="Success"/>
  </r>
  <r>
    <s v="TXN76052872"/>
    <x v="695"/>
    <x v="7"/>
    <x v="3"/>
    <n v="29654"/>
    <x v="0"/>
    <x v="3"/>
    <x v="0"/>
    <n v="0"/>
    <n v="0"/>
    <n v="0"/>
    <s v="Success"/>
  </r>
  <r>
    <s v="TXN41408916"/>
    <x v="696"/>
    <x v="2"/>
    <x v="2"/>
    <n v="4668"/>
    <x v="2"/>
    <x v="0"/>
    <x v="0"/>
    <n v="0"/>
    <n v="0"/>
    <n v="0"/>
    <s v="Success"/>
  </r>
  <r>
    <s v="TXN89088337"/>
    <x v="697"/>
    <x v="4"/>
    <x v="2"/>
    <n v="2808"/>
    <x v="0"/>
    <x v="5"/>
    <x v="0"/>
    <n v="0"/>
    <n v="0"/>
    <n v="0"/>
    <s v="Success"/>
  </r>
  <r>
    <s v="TXN60026654"/>
    <x v="698"/>
    <x v="3"/>
    <x v="1"/>
    <n v="146075"/>
    <x v="0"/>
    <x v="0"/>
    <x v="0"/>
    <n v="5"/>
    <n v="0"/>
    <n v="5"/>
    <s v="Success"/>
  </r>
  <r>
    <s v="TXN84508004"/>
    <x v="699"/>
    <x v="5"/>
    <x v="0"/>
    <n v="24500"/>
    <x v="1"/>
    <x v="6"/>
    <x v="0"/>
    <n v="453.25"/>
    <n v="181.3"/>
    <n v="271.95"/>
    <s v="Success"/>
  </r>
  <r>
    <s v="TXN48343985"/>
    <x v="700"/>
    <x v="5"/>
    <x v="3"/>
    <n v="83030"/>
    <x v="1"/>
    <x v="5"/>
    <x v="0"/>
    <n v="0"/>
    <n v="0"/>
    <n v="0"/>
    <s v="Success"/>
  </r>
  <r>
    <s v="TXN80461768"/>
    <x v="701"/>
    <x v="1"/>
    <x v="4"/>
    <n v="41461"/>
    <x v="0"/>
    <x v="2"/>
    <x v="4"/>
    <n v="414.61"/>
    <n v="0"/>
    <n v="414.61"/>
    <s v="Success"/>
  </r>
  <r>
    <s v="TXN12139483"/>
    <x v="702"/>
    <x v="5"/>
    <x v="2"/>
    <n v="1515"/>
    <x v="0"/>
    <x v="8"/>
    <x v="0"/>
    <n v="0"/>
    <n v="0"/>
    <n v="0"/>
    <s v="Success"/>
  </r>
  <r>
    <s v="TXN10126182"/>
    <x v="703"/>
    <x v="3"/>
    <x v="1"/>
    <n v="80679"/>
    <x v="0"/>
    <x v="4"/>
    <x v="0"/>
    <n v="5"/>
    <n v="0"/>
    <n v="5"/>
    <s v="Success"/>
  </r>
  <r>
    <s v="TXN44680375"/>
    <x v="704"/>
    <x v="5"/>
    <x v="1"/>
    <n v="58180"/>
    <x v="1"/>
    <x v="2"/>
    <x v="0"/>
    <n v="5"/>
    <n v="0"/>
    <n v="5"/>
    <s v="Success"/>
  </r>
  <r>
    <s v="TXN34713009"/>
    <x v="705"/>
    <x v="6"/>
    <x v="4"/>
    <n v="7835"/>
    <x v="0"/>
    <x v="6"/>
    <x v="1"/>
    <n v="78.349999999999994"/>
    <n v="0"/>
    <n v="78.349999999999994"/>
    <s v="Success"/>
  </r>
  <r>
    <s v="TXN24808833"/>
    <x v="706"/>
    <x v="1"/>
    <x v="0"/>
    <n v="227000"/>
    <x v="0"/>
    <x v="5"/>
    <x v="0"/>
    <n v="4199.5"/>
    <n v="1679.8"/>
    <n v="2519.6999999999998"/>
    <s v="Failed"/>
  </r>
  <r>
    <s v="TXN25142652"/>
    <x v="707"/>
    <x v="7"/>
    <x v="3"/>
    <n v="123904"/>
    <x v="0"/>
    <x v="6"/>
    <x v="0"/>
    <n v="0"/>
    <n v="0"/>
    <n v="0"/>
    <s v="Success"/>
  </r>
  <r>
    <s v="TXN91031864"/>
    <x v="708"/>
    <x v="3"/>
    <x v="3"/>
    <n v="54696"/>
    <x v="0"/>
    <x v="2"/>
    <x v="0"/>
    <n v="0"/>
    <n v="0"/>
    <n v="0"/>
    <s v="Success"/>
  </r>
  <r>
    <s v="TXN89806422"/>
    <x v="709"/>
    <x v="3"/>
    <x v="1"/>
    <n v="573"/>
    <x v="0"/>
    <x v="3"/>
    <x v="0"/>
    <n v="5"/>
    <n v="0"/>
    <n v="5"/>
    <s v="Success"/>
  </r>
  <r>
    <s v="TXN97240088"/>
    <x v="710"/>
    <x v="0"/>
    <x v="3"/>
    <n v="103493"/>
    <x v="0"/>
    <x v="5"/>
    <x v="0"/>
    <n v="0"/>
    <n v="0"/>
    <n v="0"/>
    <s v="Success"/>
  </r>
  <r>
    <s v="TXN33873496"/>
    <x v="711"/>
    <x v="6"/>
    <x v="1"/>
    <n v="103965"/>
    <x v="0"/>
    <x v="8"/>
    <x v="0"/>
    <n v="5"/>
    <n v="0"/>
    <n v="5"/>
    <s v="Success"/>
  </r>
  <r>
    <s v="TXN53445869"/>
    <x v="712"/>
    <x v="1"/>
    <x v="1"/>
    <n v="112434"/>
    <x v="0"/>
    <x v="8"/>
    <x v="0"/>
    <n v="5"/>
    <n v="0"/>
    <n v="5"/>
    <s v="Success"/>
  </r>
  <r>
    <s v="TXN58522764"/>
    <x v="713"/>
    <x v="2"/>
    <x v="4"/>
    <n v="123069"/>
    <x v="0"/>
    <x v="2"/>
    <x v="2"/>
    <n v="1230.69"/>
    <n v="0"/>
    <n v="1230.69"/>
    <s v="Success"/>
  </r>
  <r>
    <s v="TXN25870592"/>
    <x v="714"/>
    <x v="1"/>
    <x v="3"/>
    <n v="56065"/>
    <x v="0"/>
    <x v="8"/>
    <x v="0"/>
    <n v="0"/>
    <n v="0"/>
    <n v="0"/>
    <s v="Success"/>
  </r>
  <r>
    <s v="TXN76822715"/>
    <x v="715"/>
    <x v="6"/>
    <x v="0"/>
    <n v="211500"/>
    <x v="0"/>
    <x v="3"/>
    <x v="0"/>
    <n v="3912.75"/>
    <n v="1565.1"/>
    <n v="2347.65"/>
    <s v="Success"/>
  </r>
  <r>
    <s v="TXN92727821"/>
    <x v="716"/>
    <x v="5"/>
    <x v="3"/>
    <n v="51419"/>
    <x v="1"/>
    <x v="0"/>
    <x v="0"/>
    <n v="0"/>
    <n v="0"/>
    <n v="0"/>
    <s v="Success"/>
  </r>
  <r>
    <s v="TXN21275713"/>
    <x v="717"/>
    <x v="4"/>
    <x v="1"/>
    <n v="65137"/>
    <x v="0"/>
    <x v="3"/>
    <x v="0"/>
    <n v="5"/>
    <n v="0"/>
    <n v="5"/>
    <s v="Success"/>
  </r>
  <r>
    <s v="TXN99865544"/>
    <x v="718"/>
    <x v="3"/>
    <x v="4"/>
    <n v="77373"/>
    <x v="1"/>
    <x v="3"/>
    <x v="5"/>
    <n v="773.73"/>
    <n v="0"/>
    <n v="773.73"/>
    <s v="Success"/>
  </r>
  <r>
    <s v="TXN23862206"/>
    <x v="719"/>
    <x v="5"/>
    <x v="1"/>
    <n v="75908"/>
    <x v="0"/>
    <x v="5"/>
    <x v="0"/>
    <n v="5"/>
    <n v="0"/>
    <n v="5"/>
    <s v="Success"/>
  </r>
  <r>
    <s v="TXN98782107"/>
    <x v="720"/>
    <x v="0"/>
    <x v="0"/>
    <n v="229500"/>
    <x v="0"/>
    <x v="4"/>
    <x v="0"/>
    <n v="4245.75"/>
    <n v="1698.3"/>
    <n v="2547.4499999999998"/>
    <s v="Success"/>
  </r>
  <r>
    <s v="TXN21526907"/>
    <x v="721"/>
    <x v="4"/>
    <x v="2"/>
    <n v="366"/>
    <x v="0"/>
    <x v="8"/>
    <x v="0"/>
    <n v="0"/>
    <n v="0"/>
    <n v="0"/>
    <s v="Success"/>
  </r>
  <r>
    <s v="TXN76354353"/>
    <x v="722"/>
    <x v="5"/>
    <x v="2"/>
    <n v="4990"/>
    <x v="0"/>
    <x v="4"/>
    <x v="0"/>
    <n v="0"/>
    <n v="0"/>
    <n v="0"/>
    <s v="Success"/>
  </r>
  <r>
    <s v="TXN32510591"/>
    <x v="723"/>
    <x v="1"/>
    <x v="2"/>
    <n v="3284"/>
    <x v="0"/>
    <x v="0"/>
    <x v="0"/>
    <n v="0"/>
    <n v="0"/>
    <n v="0"/>
    <s v="Success"/>
  </r>
  <r>
    <s v="TXN24450570"/>
    <x v="724"/>
    <x v="7"/>
    <x v="1"/>
    <n v="55521"/>
    <x v="2"/>
    <x v="0"/>
    <x v="0"/>
    <n v="5"/>
    <n v="0"/>
    <n v="5"/>
    <s v="Success"/>
  </r>
  <r>
    <s v="TXN13003495"/>
    <x v="725"/>
    <x v="3"/>
    <x v="0"/>
    <n v="133000"/>
    <x v="0"/>
    <x v="0"/>
    <x v="0"/>
    <n v="2460.5"/>
    <n v="984.2"/>
    <n v="1476.3"/>
    <s v="Success"/>
  </r>
  <r>
    <s v="TXN85937283"/>
    <x v="726"/>
    <x v="3"/>
    <x v="3"/>
    <n v="116"/>
    <x v="0"/>
    <x v="0"/>
    <x v="0"/>
    <n v="0"/>
    <n v="0"/>
    <n v="0"/>
    <s v="Success"/>
  </r>
  <r>
    <s v="TXN14173877"/>
    <x v="727"/>
    <x v="1"/>
    <x v="4"/>
    <n v="3795"/>
    <x v="0"/>
    <x v="5"/>
    <x v="3"/>
    <n v="37.950000000000003"/>
    <n v="0"/>
    <n v="37.950000000000003"/>
    <s v="Success"/>
  </r>
  <r>
    <s v="TXN83289254"/>
    <x v="728"/>
    <x v="2"/>
    <x v="0"/>
    <n v="30500"/>
    <x v="0"/>
    <x v="5"/>
    <x v="0"/>
    <n v="564.25"/>
    <n v="225.7"/>
    <n v="338.55"/>
    <s v="Success"/>
  </r>
  <r>
    <s v="TXN65870425"/>
    <x v="729"/>
    <x v="6"/>
    <x v="1"/>
    <n v="129724"/>
    <x v="0"/>
    <x v="5"/>
    <x v="0"/>
    <n v="5"/>
    <n v="0"/>
    <n v="5"/>
    <s v="Success"/>
  </r>
  <r>
    <s v="TXN61876036"/>
    <x v="730"/>
    <x v="2"/>
    <x v="1"/>
    <n v="132834"/>
    <x v="0"/>
    <x v="6"/>
    <x v="0"/>
    <n v="5"/>
    <n v="0"/>
    <n v="5"/>
    <s v="Success"/>
  </r>
  <r>
    <s v="TXN81323823"/>
    <x v="731"/>
    <x v="2"/>
    <x v="1"/>
    <n v="62801"/>
    <x v="0"/>
    <x v="8"/>
    <x v="0"/>
    <n v="5"/>
    <n v="0"/>
    <n v="5"/>
    <s v="Success"/>
  </r>
  <r>
    <s v="TXN94169588"/>
    <x v="732"/>
    <x v="2"/>
    <x v="1"/>
    <n v="17411"/>
    <x v="0"/>
    <x v="8"/>
    <x v="0"/>
    <n v="5"/>
    <n v="0"/>
    <n v="5"/>
    <s v="Success"/>
  </r>
  <r>
    <s v="TXN15220636"/>
    <x v="733"/>
    <x v="2"/>
    <x v="3"/>
    <n v="145195"/>
    <x v="0"/>
    <x v="4"/>
    <x v="0"/>
    <n v="0"/>
    <n v="0"/>
    <n v="0"/>
    <s v="Success"/>
  </r>
  <r>
    <s v="TXN16172279"/>
    <x v="734"/>
    <x v="2"/>
    <x v="1"/>
    <n v="142832"/>
    <x v="0"/>
    <x v="5"/>
    <x v="0"/>
    <n v="5"/>
    <n v="0"/>
    <n v="5"/>
    <s v="Success"/>
  </r>
  <r>
    <s v="TXN95490739"/>
    <x v="735"/>
    <x v="6"/>
    <x v="1"/>
    <n v="112304"/>
    <x v="0"/>
    <x v="5"/>
    <x v="0"/>
    <n v="5"/>
    <n v="0"/>
    <n v="5"/>
    <s v="Success"/>
  </r>
  <r>
    <s v="TXN42479062"/>
    <x v="736"/>
    <x v="0"/>
    <x v="4"/>
    <n v="35688"/>
    <x v="0"/>
    <x v="6"/>
    <x v="3"/>
    <n v="356.88"/>
    <n v="0"/>
    <n v="356.88"/>
    <s v="Success"/>
  </r>
  <r>
    <s v="TXN99860170"/>
    <x v="737"/>
    <x v="2"/>
    <x v="1"/>
    <n v="67831"/>
    <x v="0"/>
    <x v="5"/>
    <x v="0"/>
    <n v="5"/>
    <n v="0"/>
    <n v="5"/>
    <s v="Success"/>
  </r>
  <r>
    <s v="TXN37593616"/>
    <x v="738"/>
    <x v="4"/>
    <x v="4"/>
    <n v="148787"/>
    <x v="0"/>
    <x v="0"/>
    <x v="3"/>
    <n v="1487.87"/>
    <n v="0"/>
    <n v="1487.87"/>
    <s v="Success"/>
  </r>
  <r>
    <s v="TXN24706500"/>
    <x v="739"/>
    <x v="2"/>
    <x v="3"/>
    <n v="86813"/>
    <x v="0"/>
    <x v="5"/>
    <x v="0"/>
    <n v="0"/>
    <n v="0"/>
    <n v="0"/>
    <s v="Success"/>
  </r>
  <r>
    <s v="TXN12292871"/>
    <x v="740"/>
    <x v="2"/>
    <x v="3"/>
    <n v="36934"/>
    <x v="0"/>
    <x v="0"/>
    <x v="0"/>
    <n v="0"/>
    <n v="0"/>
    <n v="0"/>
    <s v="Success"/>
  </r>
  <r>
    <s v="TXN57010719"/>
    <x v="741"/>
    <x v="0"/>
    <x v="1"/>
    <n v="132243"/>
    <x v="0"/>
    <x v="5"/>
    <x v="0"/>
    <n v="5"/>
    <n v="0"/>
    <n v="5"/>
    <s v="Success"/>
  </r>
  <r>
    <s v="TXN94953398"/>
    <x v="742"/>
    <x v="5"/>
    <x v="2"/>
    <n v="4425"/>
    <x v="0"/>
    <x v="1"/>
    <x v="0"/>
    <n v="0"/>
    <n v="0"/>
    <n v="0"/>
    <s v="Success"/>
  </r>
  <r>
    <s v="TXN40212419"/>
    <x v="743"/>
    <x v="4"/>
    <x v="4"/>
    <n v="82208"/>
    <x v="0"/>
    <x v="7"/>
    <x v="5"/>
    <n v="822.08"/>
    <n v="0"/>
    <n v="822.08"/>
    <s v="Success"/>
  </r>
  <r>
    <s v="TXN88758883"/>
    <x v="744"/>
    <x v="4"/>
    <x v="2"/>
    <n v="84"/>
    <x v="0"/>
    <x v="4"/>
    <x v="0"/>
    <n v="0"/>
    <n v="0"/>
    <n v="0"/>
    <s v="Success"/>
  </r>
  <r>
    <s v="TXN26266740"/>
    <x v="745"/>
    <x v="2"/>
    <x v="2"/>
    <n v="1171"/>
    <x v="0"/>
    <x v="1"/>
    <x v="0"/>
    <n v="0"/>
    <n v="0"/>
    <n v="0"/>
    <s v="Success"/>
  </r>
  <r>
    <s v="TXN16019441"/>
    <x v="746"/>
    <x v="2"/>
    <x v="1"/>
    <n v="88678"/>
    <x v="1"/>
    <x v="7"/>
    <x v="0"/>
    <n v="5"/>
    <n v="0"/>
    <n v="5"/>
    <s v="Success"/>
  </r>
  <r>
    <s v="TXN85792932"/>
    <x v="747"/>
    <x v="4"/>
    <x v="1"/>
    <n v="77578"/>
    <x v="0"/>
    <x v="3"/>
    <x v="0"/>
    <n v="5"/>
    <n v="0"/>
    <n v="5"/>
    <s v="Success"/>
  </r>
  <r>
    <s v="TXN23751184"/>
    <x v="748"/>
    <x v="7"/>
    <x v="0"/>
    <n v="73500"/>
    <x v="2"/>
    <x v="5"/>
    <x v="0"/>
    <n v="1359.75"/>
    <n v="543.9"/>
    <n v="815.85"/>
    <s v="Success"/>
  </r>
  <r>
    <s v="TXN13455458"/>
    <x v="749"/>
    <x v="5"/>
    <x v="0"/>
    <n v="248500"/>
    <x v="2"/>
    <x v="6"/>
    <x v="0"/>
    <n v="4597.25"/>
    <n v="1838.9"/>
    <n v="2758.35"/>
    <s v="Failed"/>
  </r>
  <r>
    <s v="TXN62892615"/>
    <x v="750"/>
    <x v="6"/>
    <x v="0"/>
    <n v="39500"/>
    <x v="0"/>
    <x v="4"/>
    <x v="0"/>
    <n v="730.75"/>
    <n v="292.3"/>
    <n v="438.45"/>
    <s v="Success"/>
  </r>
  <r>
    <s v="TXN79292033"/>
    <x v="751"/>
    <x v="1"/>
    <x v="1"/>
    <n v="23317"/>
    <x v="0"/>
    <x v="2"/>
    <x v="0"/>
    <n v="5"/>
    <n v="0"/>
    <n v="5"/>
    <s v="Success"/>
  </r>
  <r>
    <s v="TXN65244818"/>
    <x v="752"/>
    <x v="3"/>
    <x v="0"/>
    <n v="167500"/>
    <x v="0"/>
    <x v="5"/>
    <x v="0"/>
    <n v="3098.75"/>
    <n v="1239.5"/>
    <n v="1859.25"/>
    <s v="Success"/>
  </r>
  <r>
    <s v="TXN93191820"/>
    <x v="753"/>
    <x v="3"/>
    <x v="0"/>
    <n v="224500"/>
    <x v="2"/>
    <x v="0"/>
    <x v="0"/>
    <n v="4153.25"/>
    <n v="1661.3"/>
    <n v="2491.9499999999998"/>
    <s v="Success"/>
  </r>
  <r>
    <s v="TXN85731309"/>
    <x v="754"/>
    <x v="6"/>
    <x v="0"/>
    <n v="200000"/>
    <x v="0"/>
    <x v="3"/>
    <x v="0"/>
    <n v="3700"/>
    <n v="1480"/>
    <n v="2220"/>
    <s v="Success"/>
  </r>
  <r>
    <s v="TXN75972943"/>
    <x v="755"/>
    <x v="2"/>
    <x v="2"/>
    <n v="4710"/>
    <x v="2"/>
    <x v="6"/>
    <x v="0"/>
    <n v="0"/>
    <n v="0"/>
    <n v="0"/>
    <s v="Success"/>
  </r>
  <r>
    <s v="TXN61302580"/>
    <x v="756"/>
    <x v="7"/>
    <x v="2"/>
    <n v="4497"/>
    <x v="0"/>
    <x v="4"/>
    <x v="0"/>
    <n v="0"/>
    <n v="0"/>
    <n v="0"/>
    <s v="Success"/>
  </r>
  <r>
    <s v="TXN58078890"/>
    <x v="757"/>
    <x v="1"/>
    <x v="2"/>
    <n v="689"/>
    <x v="0"/>
    <x v="1"/>
    <x v="0"/>
    <n v="0"/>
    <n v="0"/>
    <n v="0"/>
    <s v="Success"/>
  </r>
  <r>
    <s v="TXN66525778"/>
    <x v="758"/>
    <x v="2"/>
    <x v="3"/>
    <n v="44301"/>
    <x v="1"/>
    <x v="7"/>
    <x v="0"/>
    <n v="0"/>
    <n v="0"/>
    <n v="0"/>
    <s v="Success"/>
  </r>
  <r>
    <s v="TXN89715288"/>
    <x v="759"/>
    <x v="7"/>
    <x v="0"/>
    <n v="185500"/>
    <x v="0"/>
    <x v="1"/>
    <x v="0"/>
    <n v="3431.75"/>
    <n v="1372.7"/>
    <n v="2059.0500000000002"/>
    <s v="Success"/>
  </r>
  <r>
    <s v="TXN67331555"/>
    <x v="760"/>
    <x v="2"/>
    <x v="4"/>
    <n v="79052"/>
    <x v="0"/>
    <x v="8"/>
    <x v="3"/>
    <n v="790.52"/>
    <n v="0"/>
    <n v="790.52"/>
    <s v="Success"/>
  </r>
  <r>
    <s v="TXN66559311"/>
    <x v="761"/>
    <x v="5"/>
    <x v="3"/>
    <n v="111751"/>
    <x v="1"/>
    <x v="0"/>
    <x v="0"/>
    <n v="0"/>
    <n v="0"/>
    <n v="0"/>
    <s v="Success"/>
  </r>
  <r>
    <s v="TXN27774239"/>
    <x v="762"/>
    <x v="6"/>
    <x v="3"/>
    <n v="37698"/>
    <x v="1"/>
    <x v="8"/>
    <x v="0"/>
    <n v="0"/>
    <n v="0"/>
    <n v="0"/>
    <s v="Success"/>
  </r>
  <r>
    <s v="TXN54830084"/>
    <x v="763"/>
    <x v="5"/>
    <x v="4"/>
    <n v="75535"/>
    <x v="1"/>
    <x v="3"/>
    <x v="4"/>
    <n v="755.35"/>
    <n v="0"/>
    <n v="755.35"/>
    <s v="Success"/>
  </r>
  <r>
    <s v="TXN34992754"/>
    <x v="764"/>
    <x v="6"/>
    <x v="2"/>
    <n v="2359"/>
    <x v="0"/>
    <x v="1"/>
    <x v="0"/>
    <n v="0"/>
    <n v="0"/>
    <n v="0"/>
    <s v="Success"/>
  </r>
  <r>
    <s v="TXN47737766"/>
    <x v="765"/>
    <x v="3"/>
    <x v="4"/>
    <n v="71106"/>
    <x v="0"/>
    <x v="5"/>
    <x v="2"/>
    <n v="711.06"/>
    <n v="0"/>
    <n v="711.06"/>
    <s v="Success"/>
  </r>
  <r>
    <s v="TXN28388291"/>
    <x v="766"/>
    <x v="2"/>
    <x v="0"/>
    <n v="98000"/>
    <x v="0"/>
    <x v="5"/>
    <x v="0"/>
    <n v="1813"/>
    <n v="725.2"/>
    <n v="1087.8"/>
    <s v="Success"/>
  </r>
  <r>
    <s v="TXN27432227"/>
    <x v="767"/>
    <x v="5"/>
    <x v="2"/>
    <n v="4678"/>
    <x v="0"/>
    <x v="4"/>
    <x v="0"/>
    <n v="0"/>
    <n v="0"/>
    <n v="0"/>
    <s v="Success"/>
  </r>
  <r>
    <s v="TXN67895612"/>
    <x v="768"/>
    <x v="7"/>
    <x v="0"/>
    <n v="14500"/>
    <x v="0"/>
    <x v="2"/>
    <x v="0"/>
    <n v="268.25"/>
    <n v="107.3"/>
    <n v="160.94999999999999"/>
    <s v="Success"/>
  </r>
  <r>
    <s v="TXN71149711"/>
    <x v="769"/>
    <x v="3"/>
    <x v="0"/>
    <n v="205000"/>
    <x v="1"/>
    <x v="5"/>
    <x v="0"/>
    <n v="3792.5"/>
    <n v="1517"/>
    <n v="2275.5"/>
    <s v="Success"/>
  </r>
  <r>
    <s v="TXN45301774"/>
    <x v="770"/>
    <x v="5"/>
    <x v="4"/>
    <n v="39153"/>
    <x v="0"/>
    <x v="5"/>
    <x v="2"/>
    <n v="391.53"/>
    <n v="0"/>
    <n v="391.53"/>
    <s v="Success"/>
  </r>
  <r>
    <s v="TXN54193351"/>
    <x v="771"/>
    <x v="2"/>
    <x v="0"/>
    <n v="208000"/>
    <x v="0"/>
    <x v="1"/>
    <x v="0"/>
    <n v="3848"/>
    <n v="1539.2"/>
    <n v="2308.8000000000002"/>
    <s v="Success"/>
  </r>
  <r>
    <s v="TXN86105223"/>
    <x v="772"/>
    <x v="5"/>
    <x v="3"/>
    <n v="42974"/>
    <x v="0"/>
    <x v="1"/>
    <x v="0"/>
    <n v="0"/>
    <n v="0"/>
    <n v="0"/>
    <s v="Success"/>
  </r>
  <r>
    <s v="TXN76416307"/>
    <x v="773"/>
    <x v="0"/>
    <x v="4"/>
    <n v="137538"/>
    <x v="0"/>
    <x v="4"/>
    <x v="5"/>
    <n v="1375.38"/>
    <n v="0"/>
    <n v="1375.38"/>
    <s v="Success"/>
  </r>
  <r>
    <s v="TXN95283658"/>
    <x v="774"/>
    <x v="5"/>
    <x v="3"/>
    <n v="107004"/>
    <x v="0"/>
    <x v="5"/>
    <x v="0"/>
    <n v="0"/>
    <n v="0"/>
    <n v="0"/>
    <s v="Failed"/>
  </r>
  <r>
    <s v="TXN27397636"/>
    <x v="775"/>
    <x v="1"/>
    <x v="4"/>
    <n v="9441"/>
    <x v="2"/>
    <x v="5"/>
    <x v="5"/>
    <n v="94.41"/>
    <n v="0"/>
    <n v="94.41"/>
    <s v="Success"/>
  </r>
  <r>
    <s v="TXN72017018"/>
    <x v="776"/>
    <x v="3"/>
    <x v="3"/>
    <n v="80115"/>
    <x v="0"/>
    <x v="4"/>
    <x v="0"/>
    <n v="0"/>
    <n v="0"/>
    <n v="0"/>
    <s v="Success"/>
  </r>
  <r>
    <s v="TXN20693432"/>
    <x v="777"/>
    <x v="0"/>
    <x v="2"/>
    <n v="3792"/>
    <x v="0"/>
    <x v="4"/>
    <x v="0"/>
    <n v="0"/>
    <n v="0"/>
    <n v="0"/>
    <s v="Success"/>
  </r>
  <r>
    <s v="TXN73357862"/>
    <x v="778"/>
    <x v="0"/>
    <x v="0"/>
    <n v="110500"/>
    <x v="0"/>
    <x v="3"/>
    <x v="0"/>
    <n v="2044.25"/>
    <n v="817.7"/>
    <n v="1226.55"/>
    <s v="Success"/>
  </r>
  <r>
    <s v="TXN36018147"/>
    <x v="779"/>
    <x v="4"/>
    <x v="3"/>
    <n v="61683"/>
    <x v="0"/>
    <x v="2"/>
    <x v="0"/>
    <n v="0"/>
    <n v="0"/>
    <n v="0"/>
    <s v="Failed"/>
  </r>
  <r>
    <s v="TXN94219694"/>
    <x v="780"/>
    <x v="1"/>
    <x v="1"/>
    <n v="117427"/>
    <x v="0"/>
    <x v="5"/>
    <x v="0"/>
    <n v="5"/>
    <n v="0"/>
    <n v="5"/>
    <s v="Failed"/>
  </r>
  <r>
    <s v="TXN70008281"/>
    <x v="781"/>
    <x v="3"/>
    <x v="4"/>
    <n v="66645"/>
    <x v="1"/>
    <x v="5"/>
    <x v="5"/>
    <n v="666.45"/>
    <n v="0"/>
    <n v="666.45"/>
    <s v="Success"/>
  </r>
  <r>
    <s v="TXN43581534"/>
    <x v="782"/>
    <x v="7"/>
    <x v="0"/>
    <n v="33000"/>
    <x v="0"/>
    <x v="5"/>
    <x v="0"/>
    <n v="610.5"/>
    <n v="244.2"/>
    <n v="366.3"/>
    <s v="Success"/>
  </r>
  <r>
    <s v="TXN53144046"/>
    <x v="783"/>
    <x v="6"/>
    <x v="0"/>
    <n v="28000"/>
    <x v="0"/>
    <x v="6"/>
    <x v="0"/>
    <n v="518"/>
    <n v="207.2"/>
    <n v="310.8"/>
    <s v="Success"/>
  </r>
  <r>
    <s v="TXN24614763"/>
    <x v="784"/>
    <x v="7"/>
    <x v="3"/>
    <n v="17797"/>
    <x v="1"/>
    <x v="1"/>
    <x v="0"/>
    <n v="0"/>
    <n v="0"/>
    <n v="0"/>
    <s v="Success"/>
  </r>
  <r>
    <s v="TXN65647668"/>
    <x v="785"/>
    <x v="1"/>
    <x v="1"/>
    <n v="77104"/>
    <x v="0"/>
    <x v="8"/>
    <x v="0"/>
    <n v="5"/>
    <n v="0"/>
    <n v="5"/>
    <s v="Success"/>
  </r>
  <r>
    <s v="TXN36720406"/>
    <x v="786"/>
    <x v="4"/>
    <x v="1"/>
    <n v="60921"/>
    <x v="0"/>
    <x v="1"/>
    <x v="0"/>
    <n v="5"/>
    <n v="0"/>
    <n v="5"/>
    <s v="Success"/>
  </r>
  <r>
    <s v="TXN45361021"/>
    <x v="787"/>
    <x v="6"/>
    <x v="1"/>
    <n v="88938"/>
    <x v="0"/>
    <x v="0"/>
    <x v="0"/>
    <n v="5"/>
    <n v="0"/>
    <n v="5"/>
    <s v="Success"/>
  </r>
  <r>
    <s v="TXN57460448"/>
    <x v="788"/>
    <x v="2"/>
    <x v="4"/>
    <n v="89768"/>
    <x v="0"/>
    <x v="1"/>
    <x v="5"/>
    <n v="897.68"/>
    <n v="0"/>
    <n v="897.68"/>
    <s v="Success"/>
  </r>
  <r>
    <s v="TXN35459030"/>
    <x v="789"/>
    <x v="1"/>
    <x v="4"/>
    <n v="137778"/>
    <x v="1"/>
    <x v="5"/>
    <x v="5"/>
    <n v="1377.78"/>
    <n v="0"/>
    <n v="1377.78"/>
    <s v="Success"/>
  </r>
  <r>
    <s v="TXN80954750"/>
    <x v="790"/>
    <x v="4"/>
    <x v="2"/>
    <n v="4548"/>
    <x v="0"/>
    <x v="8"/>
    <x v="0"/>
    <n v="0"/>
    <n v="0"/>
    <n v="0"/>
    <s v="Success"/>
  </r>
  <r>
    <s v="TXN95898067"/>
    <x v="791"/>
    <x v="6"/>
    <x v="1"/>
    <n v="78366"/>
    <x v="0"/>
    <x v="3"/>
    <x v="0"/>
    <n v="5"/>
    <n v="0"/>
    <n v="5"/>
    <s v="Success"/>
  </r>
  <r>
    <s v="TXN86848448"/>
    <x v="792"/>
    <x v="5"/>
    <x v="0"/>
    <n v="36500"/>
    <x v="0"/>
    <x v="7"/>
    <x v="0"/>
    <n v="675.25"/>
    <n v="270.10000000000002"/>
    <n v="405.15"/>
    <s v="Success"/>
  </r>
  <r>
    <s v="TXN48178999"/>
    <x v="793"/>
    <x v="2"/>
    <x v="1"/>
    <n v="6725"/>
    <x v="0"/>
    <x v="8"/>
    <x v="0"/>
    <n v="5"/>
    <n v="0"/>
    <n v="5"/>
    <s v="Success"/>
  </r>
  <r>
    <s v="TXN71244739"/>
    <x v="794"/>
    <x v="1"/>
    <x v="2"/>
    <n v="2140"/>
    <x v="0"/>
    <x v="2"/>
    <x v="0"/>
    <n v="0"/>
    <n v="0"/>
    <n v="0"/>
    <s v="Success"/>
  </r>
  <r>
    <s v="TXN30127850"/>
    <x v="795"/>
    <x v="5"/>
    <x v="4"/>
    <n v="39817"/>
    <x v="1"/>
    <x v="7"/>
    <x v="4"/>
    <n v="398.17"/>
    <n v="0"/>
    <n v="398.17"/>
    <s v="Success"/>
  </r>
  <r>
    <s v="TXN85248152"/>
    <x v="796"/>
    <x v="4"/>
    <x v="2"/>
    <n v="4516"/>
    <x v="0"/>
    <x v="5"/>
    <x v="0"/>
    <n v="0"/>
    <n v="0"/>
    <n v="0"/>
    <s v="Success"/>
  </r>
  <r>
    <s v="TXN87564685"/>
    <x v="797"/>
    <x v="2"/>
    <x v="2"/>
    <n v="4056"/>
    <x v="0"/>
    <x v="6"/>
    <x v="0"/>
    <n v="0"/>
    <n v="0"/>
    <n v="0"/>
    <s v="Success"/>
  </r>
  <r>
    <s v="TXN91588993"/>
    <x v="798"/>
    <x v="2"/>
    <x v="2"/>
    <n v="1496"/>
    <x v="0"/>
    <x v="5"/>
    <x v="0"/>
    <n v="0"/>
    <n v="0"/>
    <n v="0"/>
    <s v="Success"/>
  </r>
  <r>
    <s v="TXN75278112"/>
    <x v="799"/>
    <x v="5"/>
    <x v="1"/>
    <n v="34301"/>
    <x v="0"/>
    <x v="2"/>
    <x v="0"/>
    <n v="5"/>
    <n v="0"/>
    <n v="5"/>
    <s v="Success"/>
  </r>
  <r>
    <s v="TXN76722958"/>
    <x v="800"/>
    <x v="1"/>
    <x v="0"/>
    <n v="92500"/>
    <x v="0"/>
    <x v="4"/>
    <x v="0"/>
    <n v="1711.25"/>
    <n v="684.5"/>
    <n v="1026.75"/>
    <s v="Success"/>
  </r>
  <r>
    <s v="TXN61821323"/>
    <x v="801"/>
    <x v="4"/>
    <x v="0"/>
    <n v="96500"/>
    <x v="0"/>
    <x v="6"/>
    <x v="0"/>
    <n v="1785.25"/>
    <n v="714.1"/>
    <n v="1071.1500000000001"/>
    <s v="Success"/>
  </r>
  <r>
    <s v="TXN49053456"/>
    <x v="802"/>
    <x v="2"/>
    <x v="2"/>
    <n v="2611"/>
    <x v="0"/>
    <x v="5"/>
    <x v="0"/>
    <n v="0"/>
    <n v="0"/>
    <n v="0"/>
    <s v="Success"/>
  </r>
  <r>
    <s v="TXN63111596"/>
    <x v="803"/>
    <x v="4"/>
    <x v="1"/>
    <n v="49392"/>
    <x v="0"/>
    <x v="6"/>
    <x v="0"/>
    <n v="5"/>
    <n v="0"/>
    <n v="5"/>
    <s v="Success"/>
  </r>
  <r>
    <s v="TXN80610010"/>
    <x v="804"/>
    <x v="2"/>
    <x v="4"/>
    <n v="109135"/>
    <x v="0"/>
    <x v="6"/>
    <x v="3"/>
    <n v="1091.3499999999999"/>
    <n v="0"/>
    <n v="1091.3499999999999"/>
    <s v="Success"/>
  </r>
  <r>
    <s v="TXN79447535"/>
    <x v="805"/>
    <x v="5"/>
    <x v="4"/>
    <n v="87388"/>
    <x v="0"/>
    <x v="8"/>
    <x v="5"/>
    <n v="873.88"/>
    <n v="0"/>
    <n v="873.88"/>
    <s v="Success"/>
  </r>
  <r>
    <s v="TXN97329264"/>
    <x v="806"/>
    <x v="1"/>
    <x v="1"/>
    <n v="74851"/>
    <x v="0"/>
    <x v="1"/>
    <x v="0"/>
    <n v="5"/>
    <n v="0"/>
    <n v="5"/>
    <s v="Success"/>
  </r>
  <r>
    <s v="TXN68673952"/>
    <x v="807"/>
    <x v="4"/>
    <x v="0"/>
    <n v="205000"/>
    <x v="0"/>
    <x v="6"/>
    <x v="0"/>
    <n v="3792.5"/>
    <n v="1517"/>
    <n v="2275.5"/>
    <s v="Success"/>
  </r>
  <r>
    <s v="TXN61071684"/>
    <x v="808"/>
    <x v="3"/>
    <x v="4"/>
    <n v="124715"/>
    <x v="0"/>
    <x v="2"/>
    <x v="3"/>
    <n v="1247.1500000000001"/>
    <n v="0"/>
    <n v="1247.1500000000001"/>
    <s v="Success"/>
  </r>
  <r>
    <s v="TXN69802678"/>
    <x v="809"/>
    <x v="5"/>
    <x v="0"/>
    <n v="88000"/>
    <x v="1"/>
    <x v="0"/>
    <x v="0"/>
    <n v="1628"/>
    <n v="651.20000000000005"/>
    <n v="976.8"/>
    <s v="Success"/>
  </r>
  <r>
    <s v="TXN96575405"/>
    <x v="810"/>
    <x v="6"/>
    <x v="0"/>
    <n v="8500"/>
    <x v="0"/>
    <x v="4"/>
    <x v="0"/>
    <n v="157.25"/>
    <n v="62.9"/>
    <n v="94.35"/>
    <s v="Success"/>
  </r>
  <r>
    <s v="TXN68154115"/>
    <x v="811"/>
    <x v="1"/>
    <x v="3"/>
    <n v="36271"/>
    <x v="0"/>
    <x v="2"/>
    <x v="0"/>
    <n v="0"/>
    <n v="0"/>
    <n v="0"/>
    <s v="Success"/>
  </r>
  <r>
    <s v="TXN74106336"/>
    <x v="812"/>
    <x v="2"/>
    <x v="4"/>
    <n v="36509"/>
    <x v="1"/>
    <x v="8"/>
    <x v="2"/>
    <n v="365.09"/>
    <n v="0"/>
    <n v="365.09"/>
    <s v="Success"/>
  </r>
  <r>
    <s v="TXN74793528"/>
    <x v="813"/>
    <x v="7"/>
    <x v="3"/>
    <n v="67202"/>
    <x v="0"/>
    <x v="3"/>
    <x v="0"/>
    <n v="0"/>
    <n v="0"/>
    <n v="0"/>
    <s v="Failed"/>
  </r>
  <r>
    <s v="TXN38885600"/>
    <x v="814"/>
    <x v="3"/>
    <x v="3"/>
    <n v="64745"/>
    <x v="1"/>
    <x v="1"/>
    <x v="0"/>
    <n v="0"/>
    <n v="0"/>
    <n v="0"/>
    <s v="Success"/>
  </r>
  <r>
    <s v="TXN50925739"/>
    <x v="815"/>
    <x v="4"/>
    <x v="0"/>
    <n v="247500"/>
    <x v="0"/>
    <x v="5"/>
    <x v="0"/>
    <n v="4578.75"/>
    <n v="1831.5"/>
    <n v="2747.25"/>
    <s v="Success"/>
  </r>
  <r>
    <s v="TXN28687667"/>
    <x v="816"/>
    <x v="6"/>
    <x v="2"/>
    <n v="801"/>
    <x v="0"/>
    <x v="4"/>
    <x v="0"/>
    <n v="0"/>
    <n v="0"/>
    <n v="0"/>
    <s v="Success"/>
  </r>
  <r>
    <s v="TXN80797902"/>
    <x v="817"/>
    <x v="4"/>
    <x v="3"/>
    <n v="124608"/>
    <x v="1"/>
    <x v="8"/>
    <x v="0"/>
    <n v="0"/>
    <n v="0"/>
    <n v="0"/>
    <s v="Success"/>
  </r>
  <r>
    <s v="TXN36248566"/>
    <x v="818"/>
    <x v="6"/>
    <x v="1"/>
    <n v="75405"/>
    <x v="0"/>
    <x v="5"/>
    <x v="0"/>
    <n v="5"/>
    <n v="0"/>
    <n v="5"/>
    <s v="Success"/>
  </r>
  <r>
    <s v="TXN74044431"/>
    <x v="819"/>
    <x v="6"/>
    <x v="2"/>
    <n v="2411"/>
    <x v="0"/>
    <x v="3"/>
    <x v="0"/>
    <n v="0"/>
    <n v="0"/>
    <n v="0"/>
    <s v="Failed"/>
  </r>
  <r>
    <s v="TXN18772195"/>
    <x v="820"/>
    <x v="5"/>
    <x v="0"/>
    <n v="170000"/>
    <x v="0"/>
    <x v="5"/>
    <x v="0"/>
    <n v="3145"/>
    <n v="1258"/>
    <n v="1887"/>
    <s v="Success"/>
  </r>
  <r>
    <s v="TXN36200870"/>
    <x v="821"/>
    <x v="7"/>
    <x v="4"/>
    <n v="9281"/>
    <x v="1"/>
    <x v="3"/>
    <x v="5"/>
    <n v="92.81"/>
    <n v="0"/>
    <n v="92.81"/>
    <s v="Success"/>
  </r>
  <r>
    <s v="TXN65765773"/>
    <x v="822"/>
    <x v="3"/>
    <x v="1"/>
    <n v="136296"/>
    <x v="0"/>
    <x v="1"/>
    <x v="0"/>
    <n v="5"/>
    <n v="0"/>
    <n v="5"/>
    <s v="Success"/>
  </r>
  <r>
    <s v="TXN26565511"/>
    <x v="823"/>
    <x v="7"/>
    <x v="2"/>
    <n v="4044"/>
    <x v="0"/>
    <x v="3"/>
    <x v="0"/>
    <n v="0"/>
    <n v="0"/>
    <n v="0"/>
    <s v="Success"/>
  </r>
  <r>
    <s v="TXN71734999"/>
    <x v="824"/>
    <x v="3"/>
    <x v="4"/>
    <n v="148463"/>
    <x v="1"/>
    <x v="2"/>
    <x v="1"/>
    <n v="1484.63"/>
    <n v="0"/>
    <n v="1484.63"/>
    <s v="Success"/>
  </r>
  <r>
    <s v="TXN77232355"/>
    <x v="825"/>
    <x v="3"/>
    <x v="3"/>
    <n v="85064"/>
    <x v="1"/>
    <x v="5"/>
    <x v="0"/>
    <n v="0"/>
    <n v="0"/>
    <n v="0"/>
    <s v="Success"/>
  </r>
  <r>
    <s v="TXN46229657"/>
    <x v="826"/>
    <x v="3"/>
    <x v="3"/>
    <n v="23242"/>
    <x v="0"/>
    <x v="0"/>
    <x v="0"/>
    <n v="0"/>
    <n v="0"/>
    <n v="0"/>
    <s v="Success"/>
  </r>
  <r>
    <s v="TXN46416489"/>
    <x v="827"/>
    <x v="2"/>
    <x v="1"/>
    <n v="4632"/>
    <x v="0"/>
    <x v="0"/>
    <x v="0"/>
    <n v="5"/>
    <n v="0"/>
    <n v="5"/>
    <s v="Success"/>
  </r>
  <r>
    <s v="TXN39390994"/>
    <x v="828"/>
    <x v="3"/>
    <x v="2"/>
    <n v="4501"/>
    <x v="0"/>
    <x v="3"/>
    <x v="0"/>
    <n v="0"/>
    <n v="0"/>
    <n v="0"/>
    <s v="Success"/>
  </r>
  <r>
    <s v="TXN52421476"/>
    <x v="829"/>
    <x v="1"/>
    <x v="1"/>
    <n v="102466"/>
    <x v="1"/>
    <x v="0"/>
    <x v="0"/>
    <n v="5"/>
    <n v="0"/>
    <n v="5"/>
    <s v="Success"/>
  </r>
  <r>
    <s v="TXN64849606"/>
    <x v="830"/>
    <x v="1"/>
    <x v="3"/>
    <n v="58280"/>
    <x v="0"/>
    <x v="8"/>
    <x v="0"/>
    <n v="0"/>
    <n v="0"/>
    <n v="0"/>
    <s v="Success"/>
  </r>
  <r>
    <s v="TXN48656481"/>
    <x v="831"/>
    <x v="1"/>
    <x v="4"/>
    <n v="134193"/>
    <x v="0"/>
    <x v="6"/>
    <x v="3"/>
    <n v="1341.93"/>
    <n v="0"/>
    <n v="1341.93"/>
    <s v="Success"/>
  </r>
  <r>
    <s v="TXN48530964"/>
    <x v="832"/>
    <x v="7"/>
    <x v="3"/>
    <n v="60933"/>
    <x v="0"/>
    <x v="5"/>
    <x v="0"/>
    <n v="0"/>
    <n v="0"/>
    <n v="0"/>
    <s v="Success"/>
  </r>
  <r>
    <s v="TXN40295896"/>
    <x v="833"/>
    <x v="2"/>
    <x v="4"/>
    <n v="50300"/>
    <x v="1"/>
    <x v="5"/>
    <x v="3"/>
    <n v="503"/>
    <n v="0"/>
    <n v="503"/>
    <s v="Success"/>
  </r>
  <r>
    <s v="TXN48548900"/>
    <x v="834"/>
    <x v="4"/>
    <x v="1"/>
    <n v="79023"/>
    <x v="0"/>
    <x v="5"/>
    <x v="0"/>
    <n v="5"/>
    <n v="0"/>
    <n v="5"/>
    <s v="Success"/>
  </r>
  <r>
    <s v="TXN60251305"/>
    <x v="835"/>
    <x v="1"/>
    <x v="3"/>
    <n v="32415"/>
    <x v="0"/>
    <x v="2"/>
    <x v="0"/>
    <n v="0"/>
    <n v="0"/>
    <n v="0"/>
    <s v="Success"/>
  </r>
  <r>
    <s v="TXN31626174"/>
    <x v="836"/>
    <x v="2"/>
    <x v="3"/>
    <n v="140817"/>
    <x v="0"/>
    <x v="1"/>
    <x v="0"/>
    <n v="0"/>
    <n v="0"/>
    <n v="0"/>
    <s v="Success"/>
  </r>
  <r>
    <s v="TXN77352283"/>
    <x v="837"/>
    <x v="1"/>
    <x v="4"/>
    <n v="113895"/>
    <x v="0"/>
    <x v="5"/>
    <x v="2"/>
    <n v="1138.95"/>
    <n v="0"/>
    <n v="1138.95"/>
    <s v="Success"/>
  </r>
  <r>
    <s v="TXN83791353"/>
    <x v="838"/>
    <x v="1"/>
    <x v="0"/>
    <n v="213000"/>
    <x v="0"/>
    <x v="0"/>
    <x v="0"/>
    <n v="3940.5"/>
    <n v="1576.2"/>
    <n v="2364.3000000000002"/>
    <s v="Success"/>
  </r>
  <r>
    <s v="TXN39645791"/>
    <x v="839"/>
    <x v="0"/>
    <x v="3"/>
    <n v="120818"/>
    <x v="0"/>
    <x v="7"/>
    <x v="0"/>
    <n v="0"/>
    <n v="0"/>
    <n v="0"/>
    <s v="Success"/>
  </r>
  <r>
    <s v="TXN43680128"/>
    <x v="840"/>
    <x v="2"/>
    <x v="4"/>
    <n v="87115"/>
    <x v="0"/>
    <x v="8"/>
    <x v="4"/>
    <n v="871.15"/>
    <n v="0"/>
    <n v="871.15"/>
    <s v="Success"/>
  </r>
  <r>
    <s v="TXN60756972"/>
    <x v="841"/>
    <x v="3"/>
    <x v="0"/>
    <n v="215000"/>
    <x v="0"/>
    <x v="5"/>
    <x v="0"/>
    <n v="3977.5"/>
    <n v="1591"/>
    <n v="2386.5"/>
    <s v="Success"/>
  </r>
  <r>
    <s v="TXN96281516"/>
    <x v="842"/>
    <x v="5"/>
    <x v="3"/>
    <n v="108141"/>
    <x v="0"/>
    <x v="6"/>
    <x v="0"/>
    <n v="0"/>
    <n v="0"/>
    <n v="0"/>
    <s v="Success"/>
  </r>
  <r>
    <s v="TXN43868768"/>
    <x v="843"/>
    <x v="2"/>
    <x v="1"/>
    <n v="96887"/>
    <x v="0"/>
    <x v="5"/>
    <x v="0"/>
    <n v="5"/>
    <n v="0"/>
    <n v="5"/>
    <s v="Success"/>
  </r>
  <r>
    <s v="TXN53012326"/>
    <x v="844"/>
    <x v="5"/>
    <x v="2"/>
    <n v="2290"/>
    <x v="1"/>
    <x v="0"/>
    <x v="0"/>
    <n v="0"/>
    <n v="0"/>
    <n v="0"/>
    <s v="Success"/>
  </r>
  <r>
    <s v="TXN55941888"/>
    <x v="845"/>
    <x v="0"/>
    <x v="2"/>
    <n v="317"/>
    <x v="0"/>
    <x v="1"/>
    <x v="0"/>
    <n v="0"/>
    <n v="0"/>
    <n v="0"/>
    <s v="Success"/>
  </r>
  <r>
    <s v="TXN88012448"/>
    <x v="846"/>
    <x v="2"/>
    <x v="0"/>
    <n v="48000"/>
    <x v="0"/>
    <x v="5"/>
    <x v="0"/>
    <n v="888"/>
    <n v="355.2"/>
    <n v="532.79999999999995"/>
    <s v="Success"/>
  </r>
  <r>
    <s v="TXN84551473"/>
    <x v="847"/>
    <x v="6"/>
    <x v="3"/>
    <n v="42746"/>
    <x v="0"/>
    <x v="1"/>
    <x v="0"/>
    <n v="0"/>
    <n v="0"/>
    <n v="0"/>
    <s v="Success"/>
  </r>
  <r>
    <s v="TXN24064291"/>
    <x v="848"/>
    <x v="1"/>
    <x v="4"/>
    <n v="33544"/>
    <x v="2"/>
    <x v="8"/>
    <x v="5"/>
    <n v="335.44"/>
    <n v="0"/>
    <n v="335.44"/>
    <s v="Success"/>
  </r>
  <r>
    <s v="TXN82010358"/>
    <x v="849"/>
    <x v="0"/>
    <x v="1"/>
    <n v="104977"/>
    <x v="0"/>
    <x v="5"/>
    <x v="0"/>
    <n v="5"/>
    <n v="0"/>
    <n v="5"/>
    <s v="Success"/>
  </r>
  <r>
    <s v="TXN13243367"/>
    <x v="850"/>
    <x v="5"/>
    <x v="0"/>
    <n v="123000"/>
    <x v="0"/>
    <x v="2"/>
    <x v="0"/>
    <n v="2275.5"/>
    <n v="910.2"/>
    <n v="1365.3"/>
    <s v="Success"/>
  </r>
  <r>
    <s v="TXN38513745"/>
    <x v="851"/>
    <x v="0"/>
    <x v="3"/>
    <n v="123875"/>
    <x v="0"/>
    <x v="3"/>
    <x v="0"/>
    <n v="0"/>
    <n v="0"/>
    <n v="0"/>
    <s v="Success"/>
  </r>
  <r>
    <s v="TXN52612536"/>
    <x v="852"/>
    <x v="2"/>
    <x v="0"/>
    <n v="232500"/>
    <x v="0"/>
    <x v="2"/>
    <x v="0"/>
    <n v="4301.25"/>
    <n v="1720.5"/>
    <n v="2580.75"/>
    <s v="Success"/>
  </r>
  <r>
    <s v="TXN87855313"/>
    <x v="853"/>
    <x v="6"/>
    <x v="4"/>
    <n v="24201"/>
    <x v="0"/>
    <x v="4"/>
    <x v="4"/>
    <n v="242.01"/>
    <n v="0"/>
    <n v="242.01"/>
    <s v="Success"/>
  </r>
  <r>
    <s v="TXN60971110"/>
    <x v="854"/>
    <x v="1"/>
    <x v="2"/>
    <n v="4504"/>
    <x v="0"/>
    <x v="4"/>
    <x v="0"/>
    <n v="0"/>
    <n v="0"/>
    <n v="0"/>
    <s v="Success"/>
  </r>
  <r>
    <s v="TXN58510505"/>
    <x v="855"/>
    <x v="2"/>
    <x v="4"/>
    <n v="111681"/>
    <x v="0"/>
    <x v="5"/>
    <x v="5"/>
    <n v="1116.81"/>
    <n v="0"/>
    <n v="1116.81"/>
    <s v="Success"/>
  </r>
  <r>
    <s v="TXN65269026"/>
    <x v="856"/>
    <x v="7"/>
    <x v="2"/>
    <n v="1748"/>
    <x v="1"/>
    <x v="7"/>
    <x v="0"/>
    <n v="0"/>
    <n v="0"/>
    <n v="0"/>
    <s v="Success"/>
  </r>
  <r>
    <s v="TXN99470818"/>
    <x v="857"/>
    <x v="4"/>
    <x v="3"/>
    <n v="50427"/>
    <x v="0"/>
    <x v="3"/>
    <x v="0"/>
    <n v="0"/>
    <n v="0"/>
    <n v="0"/>
    <s v="Success"/>
  </r>
  <r>
    <s v="TXN78357472"/>
    <x v="858"/>
    <x v="3"/>
    <x v="3"/>
    <n v="21126"/>
    <x v="0"/>
    <x v="8"/>
    <x v="0"/>
    <n v="0"/>
    <n v="0"/>
    <n v="0"/>
    <s v="Success"/>
  </r>
  <r>
    <s v="TXN68014766"/>
    <x v="859"/>
    <x v="6"/>
    <x v="2"/>
    <n v="3316"/>
    <x v="0"/>
    <x v="7"/>
    <x v="0"/>
    <n v="0"/>
    <n v="0"/>
    <n v="0"/>
    <s v="Success"/>
  </r>
  <r>
    <s v="TXN93401560"/>
    <x v="860"/>
    <x v="5"/>
    <x v="2"/>
    <n v="1462"/>
    <x v="2"/>
    <x v="1"/>
    <x v="0"/>
    <n v="0"/>
    <n v="0"/>
    <n v="0"/>
    <s v="Success"/>
  </r>
  <r>
    <s v="TXN36730210"/>
    <x v="861"/>
    <x v="7"/>
    <x v="0"/>
    <n v="231500"/>
    <x v="1"/>
    <x v="3"/>
    <x v="0"/>
    <n v="4282.75"/>
    <n v="1713.1"/>
    <n v="2569.65"/>
    <s v="Success"/>
  </r>
  <r>
    <s v="TXN37165387"/>
    <x v="862"/>
    <x v="5"/>
    <x v="4"/>
    <n v="127284"/>
    <x v="0"/>
    <x v="8"/>
    <x v="4"/>
    <n v="1272.8399999999999"/>
    <n v="0"/>
    <n v="1272.8399999999999"/>
    <s v="Success"/>
  </r>
  <r>
    <s v="TXN97641469"/>
    <x v="863"/>
    <x v="2"/>
    <x v="3"/>
    <n v="140263"/>
    <x v="2"/>
    <x v="8"/>
    <x v="0"/>
    <n v="0"/>
    <n v="0"/>
    <n v="0"/>
    <s v="Success"/>
  </r>
  <r>
    <s v="TXN85647474"/>
    <x v="864"/>
    <x v="6"/>
    <x v="3"/>
    <n v="83363"/>
    <x v="0"/>
    <x v="3"/>
    <x v="0"/>
    <n v="0"/>
    <n v="0"/>
    <n v="0"/>
    <s v="Success"/>
  </r>
  <r>
    <s v="TXN65455143"/>
    <x v="865"/>
    <x v="0"/>
    <x v="0"/>
    <n v="63500"/>
    <x v="0"/>
    <x v="1"/>
    <x v="0"/>
    <n v="1174.75"/>
    <n v="469.9"/>
    <n v="704.85"/>
    <s v="Success"/>
  </r>
  <r>
    <s v="TXN39979510"/>
    <x v="866"/>
    <x v="6"/>
    <x v="4"/>
    <n v="44481"/>
    <x v="0"/>
    <x v="1"/>
    <x v="5"/>
    <n v="444.81"/>
    <n v="0"/>
    <n v="444.81"/>
    <s v="Success"/>
  </r>
  <r>
    <s v="TXN98378133"/>
    <x v="867"/>
    <x v="0"/>
    <x v="1"/>
    <n v="70743"/>
    <x v="0"/>
    <x v="3"/>
    <x v="0"/>
    <n v="5"/>
    <n v="0"/>
    <n v="5"/>
    <s v="Success"/>
  </r>
  <r>
    <s v="TXN79599553"/>
    <x v="868"/>
    <x v="7"/>
    <x v="2"/>
    <n v="249"/>
    <x v="0"/>
    <x v="8"/>
    <x v="0"/>
    <n v="0"/>
    <n v="0"/>
    <n v="0"/>
    <s v="Success"/>
  </r>
  <r>
    <s v="TXN56661427"/>
    <x v="869"/>
    <x v="2"/>
    <x v="1"/>
    <n v="40560"/>
    <x v="0"/>
    <x v="3"/>
    <x v="0"/>
    <n v="5"/>
    <n v="0"/>
    <n v="5"/>
    <s v="Failed"/>
  </r>
  <r>
    <s v="TXN45472129"/>
    <x v="870"/>
    <x v="0"/>
    <x v="4"/>
    <n v="47775"/>
    <x v="0"/>
    <x v="5"/>
    <x v="3"/>
    <n v="477.75"/>
    <n v="0"/>
    <n v="477.75"/>
    <s v="Success"/>
  </r>
  <r>
    <s v="TXN14357496"/>
    <x v="871"/>
    <x v="4"/>
    <x v="0"/>
    <n v="35500"/>
    <x v="0"/>
    <x v="7"/>
    <x v="0"/>
    <n v="656.75"/>
    <n v="262.7"/>
    <n v="394.05"/>
    <s v="Success"/>
  </r>
  <r>
    <s v="TXN57124080"/>
    <x v="872"/>
    <x v="7"/>
    <x v="3"/>
    <n v="126171"/>
    <x v="1"/>
    <x v="5"/>
    <x v="0"/>
    <n v="0"/>
    <n v="0"/>
    <n v="0"/>
    <s v="Success"/>
  </r>
  <r>
    <s v="TXN78547703"/>
    <x v="873"/>
    <x v="3"/>
    <x v="2"/>
    <n v="159"/>
    <x v="0"/>
    <x v="5"/>
    <x v="0"/>
    <n v="0"/>
    <n v="0"/>
    <n v="0"/>
    <s v="Success"/>
  </r>
  <r>
    <s v="TXN83772619"/>
    <x v="874"/>
    <x v="6"/>
    <x v="3"/>
    <n v="79855"/>
    <x v="1"/>
    <x v="8"/>
    <x v="0"/>
    <n v="0"/>
    <n v="0"/>
    <n v="0"/>
    <s v="Success"/>
  </r>
  <r>
    <s v="TXN41359939"/>
    <x v="875"/>
    <x v="4"/>
    <x v="1"/>
    <n v="100003"/>
    <x v="0"/>
    <x v="7"/>
    <x v="0"/>
    <n v="5"/>
    <n v="0"/>
    <n v="5"/>
    <s v="Success"/>
  </r>
  <r>
    <s v="TXN89472576"/>
    <x v="876"/>
    <x v="6"/>
    <x v="1"/>
    <n v="28026"/>
    <x v="0"/>
    <x v="7"/>
    <x v="0"/>
    <n v="5"/>
    <n v="0"/>
    <n v="5"/>
    <s v="Success"/>
  </r>
  <r>
    <s v="TXN34530989"/>
    <x v="877"/>
    <x v="5"/>
    <x v="0"/>
    <n v="129500"/>
    <x v="0"/>
    <x v="0"/>
    <x v="0"/>
    <n v="2395.75"/>
    <n v="958.3"/>
    <n v="1437.45"/>
    <s v="Success"/>
  </r>
  <r>
    <s v="TXN31982877"/>
    <x v="878"/>
    <x v="2"/>
    <x v="2"/>
    <n v="2103"/>
    <x v="0"/>
    <x v="4"/>
    <x v="0"/>
    <n v="0"/>
    <n v="0"/>
    <n v="0"/>
    <s v="Success"/>
  </r>
  <r>
    <s v="TXN12377901"/>
    <x v="879"/>
    <x v="7"/>
    <x v="3"/>
    <n v="67886"/>
    <x v="0"/>
    <x v="3"/>
    <x v="0"/>
    <n v="0"/>
    <n v="0"/>
    <n v="0"/>
    <s v="Failed"/>
  </r>
  <r>
    <s v="TXN87547210"/>
    <x v="880"/>
    <x v="7"/>
    <x v="1"/>
    <n v="145264"/>
    <x v="0"/>
    <x v="1"/>
    <x v="0"/>
    <n v="5"/>
    <n v="0"/>
    <n v="5"/>
    <s v="Success"/>
  </r>
  <r>
    <s v="TXN77137993"/>
    <x v="881"/>
    <x v="7"/>
    <x v="4"/>
    <n v="86170"/>
    <x v="0"/>
    <x v="3"/>
    <x v="4"/>
    <n v="861.7"/>
    <n v="0"/>
    <n v="861.7"/>
    <s v="Success"/>
  </r>
  <r>
    <s v="TXN40566142"/>
    <x v="882"/>
    <x v="6"/>
    <x v="4"/>
    <n v="122298"/>
    <x v="1"/>
    <x v="3"/>
    <x v="4"/>
    <n v="1222.98"/>
    <n v="0"/>
    <n v="1222.98"/>
    <s v="Success"/>
  </r>
  <r>
    <s v="TXN99374245"/>
    <x v="883"/>
    <x v="5"/>
    <x v="4"/>
    <n v="109016"/>
    <x v="0"/>
    <x v="7"/>
    <x v="5"/>
    <n v="1090.1600000000001"/>
    <n v="0"/>
    <n v="1090.1600000000001"/>
    <s v="Success"/>
  </r>
  <r>
    <s v="TXN98861196"/>
    <x v="884"/>
    <x v="4"/>
    <x v="4"/>
    <n v="24853"/>
    <x v="0"/>
    <x v="3"/>
    <x v="5"/>
    <n v="248.53"/>
    <n v="0"/>
    <n v="248.53"/>
    <s v="Success"/>
  </r>
  <r>
    <s v="TXN68752095"/>
    <x v="885"/>
    <x v="4"/>
    <x v="2"/>
    <n v="3380"/>
    <x v="0"/>
    <x v="0"/>
    <x v="0"/>
    <n v="0"/>
    <n v="0"/>
    <n v="0"/>
    <s v="Success"/>
  </r>
  <r>
    <s v="TXN94342599"/>
    <x v="886"/>
    <x v="3"/>
    <x v="1"/>
    <n v="52466"/>
    <x v="1"/>
    <x v="1"/>
    <x v="0"/>
    <n v="5"/>
    <n v="0"/>
    <n v="5"/>
    <s v="Success"/>
  </r>
  <r>
    <s v="TXN68897613"/>
    <x v="887"/>
    <x v="4"/>
    <x v="3"/>
    <n v="15395"/>
    <x v="0"/>
    <x v="1"/>
    <x v="0"/>
    <n v="0"/>
    <n v="0"/>
    <n v="0"/>
    <s v="Success"/>
  </r>
  <r>
    <s v="TXN71671761"/>
    <x v="888"/>
    <x v="5"/>
    <x v="1"/>
    <n v="20013"/>
    <x v="0"/>
    <x v="2"/>
    <x v="0"/>
    <n v="5"/>
    <n v="0"/>
    <n v="5"/>
    <s v="Success"/>
  </r>
  <r>
    <s v="TXN25137042"/>
    <x v="889"/>
    <x v="1"/>
    <x v="0"/>
    <n v="206000"/>
    <x v="1"/>
    <x v="5"/>
    <x v="0"/>
    <n v="3811"/>
    <n v="1524.4"/>
    <n v="2286.6"/>
    <s v="Success"/>
  </r>
  <r>
    <s v="TXN29592798"/>
    <x v="890"/>
    <x v="3"/>
    <x v="2"/>
    <n v="1301"/>
    <x v="0"/>
    <x v="4"/>
    <x v="0"/>
    <n v="0"/>
    <n v="0"/>
    <n v="0"/>
    <s v="Success"/>
  </r>
  <r>
    <s v="TXN14940842"/>
    <x v="891"/>
    <x v="2"/>
    <x v="1"/>
    <n v="43791"/>
    <x v="0"/>
    <x v="5"/>
    <x v="0"/>
    <n v="5"/>
    <n v="0"/>
    <n v="5"/>
    <s v="Success"/>
  </r>
  <r>
    <s v="TXN66403807"/>
    <x v="892"/>
    <x v="6"/>
    <x v="0"/>
    <n v="227500"/>
    <x v="0"/>
    <x v="6"/>
    <x v="0"/>
    <n v="4208.75"/>
    <n v="1683.5"/>
    <n v="2525.25"/>
    <s v="Success"/>
  </r>
  <r>
    <s v="TXN36629146"/>
    <x v="893"/>
    <x v="6"/>
    <x v="1"/>
    <n v="67089"/>
    <x v="0"/>
    <x v="7"/>
    <x v="0"/>
    <n v="5"/>
    <n v="0"/>
    <n v="5"/>
    <s v="Success"/>
  </r>
  <r>
    <s v="TXN64941031"/>
    <x v="894"/>
    <x v="1"/>
    <x v="2"/>
    <n v="1068"/>
    <x v="2"/>
    <x v="5"/>
    <x v="0"/>
    <n v="0"/>
    <n v="0"/>
    <n v="0"/>
    <s v="Success"/>
  </r>
  <r>
    <s v="TXN23733539"/>
    <x v="895"/>
    <x v="4"/>
    <x v="0"/>
    <n v="166500"/>
    <x v="0"/>
    <x v="7"/>
    <x v="0"/>
    <n v="3080.25"/>
    <n v="1232.0999999999999"/>
    <n v="1848.15"/>
    <s v="Success"/>
  </r>
  <r>
    <s v="TXN38665035"/>
    <x v="896"/>
    <x v="0"/>
    <x v="2"/>
    <n v="4567"/>
    <x v="1"/>
    <x v="1"/>
    <x v="0"/>
    <n v="0"/>
    <n v="0"/>
    <n v="0"/>
    <s v="Success"/>
  </r>
  <r>
    <s v="TXN40100113"/>
    <x v="897"/>
    <x v="7"/>
    <x v="3"/>
    <n v="71232"/>
    <x v="1"/>
    <x v="4"/>
    <x v="0"/>
    <n v="0"/>
    <n v="0"/>
    <n v="0"/>
    <s v="Success"/>
  </r>
  <r>
    <s v="TXN95111354"/>
    <x v="898"/>
    <x v="5"/>
    <x v="0"/>
    <n v="108000"/>
    <x v="0"/>
    <x v="3"/>
    <x v="0"/>
    <n v="1998"/>
    <n v="799.2"/>
    <n v="1198.8"/>
    <s v="Success"/>
  </r>
  <r>
    <s v="TXN84102323"/>
    <x v="899"/>
    <x v="2"/>
    <x v="0"/>
    <n v="20000"/>
    <x v="0"/>
    <x v="6"/>
    <x v="0"/>
    <n v="370"/>
    <n v="148"/>
    <n v="222"/>
    <s v="Success"/>
  </r>
  <r>
    <s v="TXN94055675"/>
    <x v="900"/>
    <x v="3"/>
    <x v="0"/>
    <n v="69500"/>
    <x v="0"/>
    <x v="7"/>
    <x v="0"/>
    <n v="1285.75"/>
    <n v="514.29999999999995"/>
    <n v="771.45"/>
    <s v="Success"/>
  </r>
  <r>
    <s v="TXN28167000"/>
    <x v="901"/>
    <x v="0"/>
    <x v="3"/>
    <n v="6697"/>
    <x v="0"/>
    <x v="1"/>
    <x v="0"/>
    <n v="0"/>
    <n v="0"/>
    <n v="0"/>
    <s v="Success"/>
  </r>
  <r>
    <s v="TXN19422227"/>
    <x v="902"/>
    <x v="6"/>
    <x v="2"/>
    <n v="4366"/>
    <x v="0"/>
    <x v="6"/>
    <x v="0"/>
    <n v="0"/>
    <n v="0"/>
    <n v="0"/>
    <s v="Success"/>
  </r>
  <r>
    <s v="TXN22209861"/>
    <x v="903"/>
    <x v="3"/>
    <x v="2"/>
    <n v="4958"/>
    <x v="0"/>
    <x v="7"/>
    <x v="0"/>
    <n v="0"/>
    <n v="0"/>
    <n v="0"/>
    <s v="Success"/>
  </r>
  <r>
    <s v="TXN14809822"/>
    <x v="904"/>
    <x v="7"/>
    <x v="1"/>
    <n v="2096"/>
    <x v="0"/>
    <x v="2"/>
    <x v="0"/>
    <n v="5"/>
    <n v="0"/>
    <n v="5"/>
    <s v="Success"/>
  </r>
  <r>
    <s v="TXN43163608"/>
    <x v="905"/>
    <x v="3"/>
    <x v="2"/>
    <n v="760"/>
    <x v="0"/>
    <x v="1"/>
    <x v="0"/>
    <n v="0"/>
    <n v="0"/>
    <n v="0"/>
    <s v="Success"/>
  </r>
  <r>
    <s v="TXN62649497"/>
    <x v="906"/>
    <x v="3"/>
    <x v="3"/>
    <n v="145368"/>
    <x v="0"/>
    <x v="5"/>
    <x v="0"/>
    <n v="0"/>
    <n v="0"/>
    <n v="0"/>
    <s v="Success"/>
  </r>
  <r>
    <s v="TXN75382651"/>
    <x v="907"/>
    <x v="0"/>
    <x v="2"/>
    <n v="620"/>
    <x v="0"/>
    <x v="1"/>
    <x v="0"/>
    <n v="0"/>
    <n v="0"/>
    <n v="0"/>
    <s v="Success"/>
  </r>
  <r>
    <s v="TXN16020690"/>
    <x v="908"/>
    <x v="7"/>
    <x v="0"/>
    <n v="200000"/>
    <x v="0"/>
    <x v="6"/>
    <x v="0"/>
    <n v="3700"/>
    <n v="1480"/>
    <n v="2220"/>
    <s v="Success"/>
  </r>
  <r>
    <s v="TXN59970140"/>
    <x v="909"/>
    <x v="0"/>
    <x v="4"/>
    <n v="78267"/>
    <x v="0"/>
    <x v="8"/>
    <x v="2"/>
    <n v="782.67"/>
    <n v="0"/>
    <n v="782.67"/>
    <s v="Success"/>
  </r>
  <r>
    <s v="TXN67284742"/>
    <x v="910"/>
    <x v="7"/>
    <x v="2"/>
    <n v="4100"/>
    <x v="0"/>
    <x v="6"/>
    <x v="0"/>
    <n v="0"/>
    <n v="0"/>
    <n v="0"/>
    <s v="Success"/>
  </r>
  <r>
    <s v="TXN40499076"/>
    <x v="911"/>
    <x v="1"/>
    <x v="3"/>
    <n v="88412"/>
    <x v="0"/>
    <x v="1"/>
    <x v="0"/>
    <n v="0"/>
    <n v="0"/>
    <n v="0"/>
    <s v="Success"/>
  </r>
  <r>
    <s v="TXN49990203"/>
    <x v="912"/>
    <x v="7"/>
    <x v="3"/>
    <n v="109019"/>
    <x v="1"/>
    <x v="8"/>
    <x v="0"/>
    <n v="0"/>
    <n v="0"/>
    <n v="0"/>
    <s v="Success"/>
  </r>
  <r>
    <s v="TXN27624051"/>
    <x v="913"/>
    <x v="0"/>
    <x v="1"/>
    <n v="62946"/>
    <x v="0"/>
    <x v="6"/>
    <x v="0"/>
    <n v="5"/>
    <n v="0"/>
    <n v="5"/>
    <s v="Success"/>
  </r>
  <r>
    <s v="TXN24478493"/>
    <x v="914"/>
    <x v="6"/>
    <x v="4"/>
    <n v="61666"/>
    <x v="0"/>
    <x v="5"/>
    <x v="4"/>
    <n v="616.66"/>
    <n v="0"/>
    <n v="616.66"/>
    <s v="Success"/>
  </r>
  <r>
    <s v="TXN70686593"/>
    <x v="915"/>
    <x v="1"/>
    <x v="0"/>
    <n v="222000"/>
    <x v="0"/>
    <x v="8"/>
    <x v="0"/>
    <n v="4107"/>
    <n v="1642.8"/>
    <n v="2464.1999999999998"/>
    <s v="Success"/>
  </r>
  <r>
    <s v="TXN65426585"/>
    <x v="916"/>
    <x v="1"/>
    <x v="1"/>
    <n v="33403"/>
    <x v="0"/>
    <x v="4"/>
    <x v="0"/>
    <n v="5"/>
    <n v="0"/>
    <n v="5"/>
    <s v="Success"/>
  </r>
  <r>
    <s v="TXN73295960"/>
    <x v="917"/>
    <x v="3"/>
    <x v="1"/>
    <n v="137730"/>
    <x v="0"/>
    <x v="1"/>
    <x v="0"/>
    <n v="5"/>
    <n v="0"/>
    <n v="5"/>
    <s v="Success"/>
  </r>
  <r>
    <s v="TXN73790605"/>
    <x v="918"/>
    <x v="4"/>
    <x v="0"/>
    <n v="19500"/>
    <x v="2"/>
    <x v="5"/>
    <x v="0"/>
    <n v="360.75"/>
    <n v="144.30000000000001"/>
    <n v="216.45"/>
    <s v="Success"/>
  </r>
  <r>
    <s v="TXN14456179"/>
    <x v="919"/>
    <x v="4"/>
    <x v="2"/>
    <n v="3716"/>
    <x v="0"/>
    <x v="3"/>
    <x v="0"/>
    <n v="0"/>
    <n v="0"/>
    <n v="0"/>
    <s v="Success"/>
  </r>
  <r>
    <s v="TXN23983995"/>
    <x v="920"/>
    <x v="3"/>
    <x v="0"/>
    <n v="48500"/>
    <x v="0"/>
    <x v="5"/>
    <x v="0"/>
    <n v="897.25"/>
    <n v="358.9"/>
    <n v="538.35"/>
    <s v="Success"/>
  </r>
  <r>
    <s v="TXN41717035"/>
    <x v="921"/>
    <x v="1"/>
    <x v="0"/>
    <n v="235000"/>
    <x v="0"/>
    <x v="3"/>
    <x v="0"/>
    <n v="4347.5"/>
    <n v="1739"/>
    <n v="2608.5"/>
    <s v="Success"/>
  </r>
  <r>
    <s v="TXN84288221"/>
    <x v="922"/>
    <x v="2"/>
    <x v="3"/>
    <n v="50381"/>
    <x v="1"/>
    <x v="2"/>
    <x v="0"/>
    <n v="0"/>
    <n v="0"/>
    <n v="0"/>
    <s v="Success"/>
  </r>
  <r>
    <s v="TXN12896351"/>
    <x v="923"/>
    <x v="5"/>
    <x v="2"/>
    <n v="1016"/>
    <x v="1"/>
    <x v="7"/>
    <x v="0"/>
    <n v="0"/>
    <n v="0"/>
    <n v="0"/>
    <s v="Success"/>
  </r>
  <r>
    <s v="TXN68980662"/>
    <x v="924"/>
    <x v="0"/>
    <x v="2"/>
    <n v="2256"/>
    <x v="0"/>
    <x v="5"/>
    <x v="0"/>
    <n v="0"/>
    <n v="0"/>
    <n v="0"/>
    <s v="Success"/>
  </r>
  <r>
    <s v="TXN95783752"/>
    <x v="925"/>
    <x v="3"/>
    <x v="3"/>
    <n v="55306"/>
    <x v="0"/>
    <x v="0"/>
    <x v="0"/>
    <n v="0"/>
    <n v="0"/>
    <n v="0"/>
    <s v="Success"/>
  </r>
  <r>
    <s v="TXN76414199"/>
    <x v="926"/>
    <x v="7"/>
    <x v="4"/>
    <n v="11366"/>
    <x v="0"/>
    <x v="2"/>
    <x v="3"/>
    <n v="113.66"/>
    <n v="0"/>
    <n v="113.66"/>
    <s v="Success"/>
  </r>
  <r>
    <s v="TXN95038150"/>
    <x v="927"/>
    <x v="1"/>
    <x v="1"/>
    <n v="146614"/>
    <x v="0"/>
    <x v="5"/>
    <x v="0"/>
    <n v="5"/>
    <n v="0"/>
    <n v="5"/>
    <s v="Success"/>
  </r>
  <r>
    <s v="TXN70310206"/>
    <x v="928"/>
    <x v="1"/>
    <x v="0"/>
    <n v="123500"/>
    <x v="0"/>
    <x v="7"/>
    <x v="0"/>
    <n v="2284.75"/>
    <n v="913.9"/>
    <n v="1370.85"/>
    <s v="Success"/>
  </r>
  <r>
    <s v="TXN75678150"/>
    <x v="929"/>
    <x v="3"/>
    <x v="2"/>
    <n v="1886"/>
    <x v="0"/>
    <x v="8"/>
    <x v="0"/>
    <n v="0"/>
    <n v="0"/>
    <n v="0"/>
    <s v="Success"/>
  </r>
  <r>
    <s v="TXN76458903"/>
    <x v="930"/>
    <x v="6"/>
    <x v="3"/>
    <n v="112336"/>
    <x v="0"/>
    <x v="8"/>
    <x v="0"/>
    <n v="0"/>
    <n v="0"/>
    <n v="0"/>
    <s v="Success"/>
  </r>
  <r>
    <s v="TXN45448049"/>
    <x v="931"/>
    <x v="0"/>
    <x v="2"/>
    <n v="3524"/>
    <x v="0"/>
    <x v="1"/>
    <x v="0"/>
    <n v="0"/>
    <n v="0"/>
    <n v="0"/>
    <s v="Success"/>
  </r>
  <r>
    <s v="TXN75344074"/>
    <x v="932"/>
    <x v="2"/>
    <x v="2"/>
    <n v="2060"/>
    <x v="0"/>
    <x v="0"/>
    <x v="0"/>
    <n v="0"/>
    <n v="0"/>
    <n v="0"/>
    <s v="Success"/>
  </r>
  <r>
    <s v="TXN19436554"/>
    <x v="933"/>
    <x v="4"/>
    <x v="0"/>
    <n v="188000"/>
    <x v="0"/>
    <x v="4"/>
    <x v="0"/>
    <n v="3478"/>
    <n v="1391.2"/>
    <n v="2086.8000000000002"/>
    <s v="Success"/>
  </r>
  <r>
    <s v="TXN81358035"/>
    <x v="934"/>
    <x v="0"/>
    <x v="4"/>
    <n v="97232"/>
    <x v="0"/>
    <x v="3"/>
    <x v="4"/>
    <n v="972.32"/>
    <n v="0"/>
    <n v="972.32"/>
    <s v="Failed"/>
  </r>
  <r>
    <s v="TXN52821216"/>
    <x v="935"/>
    <x v="1"/>
    <x v="1"/>
    <n v="59589"/>
    <x v="0"/>
    <x v="4"/>
    <x v="0"/>
    <n v="5"/>
    <n v="0"/>
    <n v="5"/>
    <s v="Success"/>
  </r>
  <r>
    <s v="TXN70087590"/>
    <x v="936"/>
    <x v="7"/>
    <x v="3"/>
    <n v="102583"/>
    <x v="1"/>
    <x v="0"/>
    <x v="0"/>
    <n v="0"/>
    <n v="0"/>
    <n v="0"/>
    <s v="Success"/>
  </r>
  <r>
    <s v="TXN97329805"/>
    <x v="937"/>
    <x v="1"/>
    <x v="1"/>
    <n v="2136"/>
    <x v="0"/>
    <x v="2"/>
    <x v="0"/>
    <n v="5"/>
    <n v="0"/>
    <n v="5"/>
    <s v="Success"/>
  </r>
  <r>
    <s v="TXN88304598"/>
    <x v="938"/>
    <x v="1"/>
    <x v="2"/>
    <n v="2996"/>
    <x v="0"/>
    <x v="5"/>
    <x v="0"/>
    <n v="0"/>
    <n v="0"/>
    <n v="0"/>
    <s v="Success"/>
  </r>
  <r>
    <s v="TXN89725783"/>
    <x v="939"/>
    <x v="4"/>
    <x v="3"/>
    <n v="5426"/>
    <x v="0"/>
    <x v="3"/>
    <x v="0"/>
    <n v="0"/>
    <n v="0"/>
    <n v="0"/>
    <s v="Success"/>
  </r>
  <r>
    <s v="TXN20991181"/>
    <x v="940"/>
    <x v="2"/>
    <x v="3"/>
    <n v="3731"/>
    <x v="0"/>
    <x v="6"/>
    <x v="0"/>
    <n v="0"/>
    <n v="0"/>
    <n v="0"/>
    <s v="Success"/>
  </r>
  <r>
    <s v="TXN35198021"/>
    <x v="941"/>
    <x v="6"/>
    <x v="1"/>
    <n v="16525"/>
    <x v="1"/>
    <x v="3"/>
    <x v="0"/>
    <n v="5"/>
    <n v="0"/>
    <n v="5"/>
    <s v="Success"/>
  </r>
  <r>
    <s v="TXN57035887"/>
    <x v="942"/>
    <x v="0"/>
    <x v="3"/>
    <n v="3275"/>
    <x v="0"/>
    <x v="3"/>
    <x v="0"/>
    <n v="0"/>
    <n v="0"/>
    <n v="0"/>
    <s v="Success"/>
  </r>
  <r>
    <s v="TXN51743754"/>
    <x v="943"/>
    <x v="3"/>
    <x v="3"/>
    <n v="63969"/>
    <x v="0"/>
    <x v="5"/>
    <x v="0"/>
    <n v="0"/>
    <n v="0"/>
    <n v="0"/>
    <s v="Success"/>
  </r>
  <r>
    <s v="TXN37340977"/>
    <x v="944"/>
    <x v="6"/>
    <x v="1"/>
    <n v="133488"/>
    <x v="1"/>
    <x v="1"/>
    <x v="0"/>
    <n v="5"/>
    <n v="0"/>
    <n v="5"/>
    <s v="Success"/>
  </r>
  <r>
    <s v="TXN93394022"/>
    <x v="945"/>
    <x v="0"/>
    <x v="1"/>
    <n v="49122"/>
    <x v="0"/>
    <x v="3"/>
    <x v="0"/>
    <n v="5"/>
    <n v="0"/>
    <n v="5"/>
    <s v="Success"/>
  </r>
  <r>
    <s v="TXN25531522"/>
    <x v="946"/>
    <x v="4"/>
    <x v="2"/>
    <n v="4352"/>
    <x v="0"/>
    <x v="6"/>
    <x v="0"/>
    <n v="0"/>
    <n v="0"/>
    <n v="0"/>
    <s v="Success"/>
  </r>
  <r>
    <s v="TXN80780074"/>
    <x v="947"/>
    <x v="2"/>
    <x v="4"/>
    <n v="130391"/>
    <x v="0"/>
    <x v="6"/>
    <x v="3"/>
    <n v="1303.9100000000001"/>
    <n v="0"/>
    <n v="1303.9100000000001"/>
    <s v="Success"/>
  </r>
  <r>
    <s v="TXN80255077"/>
    <x v="948"/>
    <x v="4"/>
    <x v="2"/>
    <n v="2533"/>
    <x v="0"/>
    <x v="8"/>
    <x v="0"/>
    <n v="0"/>
    <n v="0"/>
    <n v="0"/>
    <s v="Success"/>
  </r>
  <r>
    <s v="TXN97899345"/>
    <x v="949"/>
    <x v="2"/>
    <x v="1"/>
    <n v="130953"/>
    <x v="0"/>
    <x v="7"/>
    <x v="0"/>
    <n v="5"/>
    <n v="0"/>
    <n v="5"/>
    <s v="Success"/>
  </r>
  <r>
    <s v="TXN54099950"/>
    <x v="950"/>
    <x v="6"/>
    <x v="2"/>
    <n v="3425"/>
    <x v="0"/>
    <x v="7"/>
    <x v="0"/>
    <n v="0"/>
    <n v="0"/>
    <n v="0"/>
    <s v="Success"/>
  </r>
  <r>
    <s v="TXN45597200"/>
    <x v="951"/>
    <x v="1"/>
    <x v="1"/>
    <n v="106571"/>
    <x v="0"/>
    <x v="0"/>
    <x v="0"/>
    <n v="5"/>
    <n v="0"/>
    <n v="5"/>
    <s v="Success"/>
  </r>
  <r>
    <s v="TXN23247153"/>
    <x v="952"/>
    <x v="7"/>
    <x v="1"/>
    <n v="143398"/>
    <x v="1"/>
    <x v="6"/>
    <x v="0"/>
    <n v="5"/>
    <n v="0"/>
    <n v="5"/>
    <s v="Success"/>
  </r>
  <r>
    <s v="TXN93663271"/>
    <x v="953"/>
    <x v="5"/>
    <x v="0"/>
    <n v="131000"/>
    <x v="0"/>
    <x v="2"/>
    <x v="0"/>
    <n v="2423.5"/>
    <n v="969.4"/>
    <n v="1454.1"/>
    <s v="Success"/>
  </r>
  <r>
    <s v="TXN43945958"/>
    <x v="954"/>
    <x v="4"/>
    <x v="1"/>
    <n v="74273"/>
    <x v="0"/>
    <x v="2"/>
    <x v="0"/>
    <n v="5"/>
    <n v="0"/>
    <n v="5"/>
    <s v="Success"/>
  </r>
  <r>
    <s v="TXN63373914"/>
    <x v="955"/>
    <x v="4"/>
    <x v="0"/>
    <n v="123500"/>
    <x v="0"/>
    <x v="8"/>
    <x v="0"/>
    <n v="2284.75"/>
    <n v="913.9"/>
    <n v="1370.85"/>
    <s v="Success"/>
  </r>
  <r>
    <s v="TXN31290682"/>
    <x v="956"/>
    <x v="2"/>
    <x v="3"/>
    <n v="66657"/>
    <x v="0"/>
    <x v="5"/>
    <x v="0"/>
    <n v="0"/>
    <n v="0"/>
    <n v="0"/>
    <s v="Success"/>
  </r>
  <r>
    <s v="TXN94249354"/>
    <x v="957"/>
    <x v="3"/>
    <x v="3"/>
    <n v="40667"/>
    <x v="0"/>
    <x v="2"/>
    <x v="0"/>
    <n v="0"/>
    <n v="0"/>
    <n v="0"/>
    <s v="Success"/>
  </r>
  <r>
    <s v="TXN10179775"/>
    <x v="958"/>
    <x v="1"/>
    <x v="2"/>
    <n v="2956"/>
    <x v="0"/>
    <x v="3"/>
    <x v="0"/>
    <n v="0"/>
    <n v="0"/>
    <n v="0"/>
    <s v="Failed"/>
  </r>
  <r>
    <s v="TXN35923736"/>
    <x v="959"/>
    <x v="3"/>
    <x v="4"/>
    <n v="109456"/>
    <x v="0"/>
    <x v="2"/>
    <x v="5"/>
    <n v="1094.56"/>
    <n v="0"/>
    <n v="1094.56"/>
    <s v="Success"/>
  </r>
  <r>
    <s v="TXN82394331"/>
    <x v="960"/>
    <x v="7"/>
    <x v="3"/>
    <n v="58194"/>
    <x v="0"/>
    <x v="0"/>
    <x v="0"/>
    <n v="0"/>
    <n v="0"/>
    <n v="0"/>
    <s v="Success"/>
  </r>
  <r>
    <s v="TXN59961319"/>
    <x v="961"/>
    <x v="6"/>
    <x v="2"/>
    <n v="4308"/>
    <x v="0"/>
    <x v="5"/>
    <x v="0"/>
    <n v="0"/>
    <n v="0"/>
    <n v="0"/>
    <s v="Success"/>
  </r>
  <r>
    <s v="TXN57407428"/>
    <x v="962"/>
    <x v="2"/>
    <x v="0"/>
    <n v="187000"/>
    <x v="0"/>
    <x v="1"/>
    <x v="0"/>
    <n v="3459.5"/>
    <n v="1383.8"/>
    <n v="2075.6999999999998"/>
    <s v="Success"/>
  </r>
  <r>
    <s v="TXN30591527"/>
    <x v="963"/>
    <x v="6"/>
    <x v="0"/>
    <n v="139000"/>
    <x v="0"/>
    <x v="1"/>
    <x v="0"/>
    <n v="2571.5"/>
    <n v="1028.5999999999999"/>
    <n v="1542.9"/>
    <s v="Success"/>
  </r>
  <r>
    <s v="TXN86522465"/>
    <x v="964"/>
    <x v="0"/>
    <x v="0"/>
    <n v="86000"/>
    <x v="0"/>
    <x v="3"/>
    <x v="0"/>
    <n v="1591"/>
    <n v="636.4"/>
    <n v="954.6"/>
    <s v="Success"/>
  </r>
  <r>
    <s v="TXN47238395"/>
    <x v="965"/>
    <x v="3"/>
    <x v="3"/>
    <n v="103050"/>
    <x v="1"/>
    <x v="6"/>
    <x v="0"/>
    <n v="0"/>
    <n v="0"/>
    <n v="0"/>
    <s v="Success"/>
  </r>
  <r>
    <s v="TXN77172507"/>
    <x v="966"/>
    <x v="3"/>
    <x v="1"/>
    <n v="104830"/>
    <x v="0"/>
    <x v="6"/>
    <x v="0"/>
    <n v="5"/>
    <n v="0"/>
    <n v="5"/>
    <s v="Success"/>
  </r>
  <r>
    <s v="TXN62216179"/>
    <x v="967"/>
    <x v="3"/>
    <x v="1"/>
    <n v="47360"/>
    <x v="1"/>
    <x v="5"/>
    <x v="0"/>
    <n v="5"/>
    <n v="0"/>
    <n v="5"/>
    <s v="Success"/>
  </r>
  <r>
    <s v="TXN15107648"/>
    <x v="968"/>
    <x v="2"/>
    <x v="3"/>
    <n v="7984"/>
    <x v="1"/>
    <x v="0"/>
    <x v="0"/>
    <n v="0"/>
    <n v="0"/>
    <n v="0"/>
    <s v="Success"/>
  </r>
  <r>
    <s v="TXN49239535"/>
    <x v="969"/>
    <x v="6"/>
    <x v="4"/>
    <n v="131349"/>
    <x v="0"/>
    <x v="2"/>
    <x v="5"/>
    <n v="1313.49"/>
    <n v="0"/>
    <n v="1313.49"/>
    <s v="Success"/>
  </r>
  <r>
    <s v="TXN18148253"/>
    <x v="970"/>
    <x v="0"/>
    <x v="2"/>
    <n v="3865"/>
    <x v="2"/>
    <x v="1"/>
    <x v="0"/>
    <n v="0"/>
    <n v="0"/>
    <n v="0"/>
    <s v="Success"/>
  </r>
  <r>
    <s v="TXN66631294"/>
    <x v="971"/>
    <x v="5"/>
    <x v="2"/>
    <n v="2416"/>
    <x v="0"/>
    <x v="0"/>
    <x v="0"/>
    <n v="0"/>
    <n v="0"/>
    <n v="0"/>
    <s v="Success"/>
  </r>
  <r>
    <s v="TXN24346333"/>
    <x v="972"/>
    <x v="6"/>
    <x v="3"/>
    <n v="4409"/>
    <x v="0"/>
    <x v="4"/>
    <x v="0"/>
    <n v="0"/>
    <n v="0"/>
    <n v="0"/>
    <s v="Success"/>
  </r>
  <r>
    <s v="TXN37547643"/>
    <x v="973"/>
    <x v="1"/>
    <x v="3"/>
    <n v="146248"/>
    <x v="0"/>
    <x v="5"/>
    <x v="0"/>
    <n v="0"/>
    <n v="0"/>
    <n v="0"/>
    <s v="Success"/>
  </r>
  <r>
    <s v="TXN78289292"/>
    <x v="974"/>
    <x v="7"/>
    <x v="2"/>
    <n v="3222"/>
    <x v="0"/>
    <x v="7"/>
    <x v="0"/>
    <n v="0"/>
    <n v="0"/>
    <n v="0"/>
    <s v="Success"/>
  </r>
  <r>
    <s v="TXN47549818"/>
    <x v="975"/>
    <x v="6"/>
    <x v="2"/>
    <n v="3178"/>
    <x v="0"/>
    <x v="6"/>
    <x v="0"/>
    <n v="0"/>
    <n v="0"/>
    <n v="0"/>
    <s v="Success"/>
  </r>
  <r>
    <s v="TXN88772344"/>
    <x v="976"/>
    <x v="0"/>
    <x v="3"/>
    <n v="35847"/>
    <x v="1"/>
    <x v="7"/>
    <x v="0"/>
    <n v="0"/>
    <n v="0"/>
    <n v="0"/>
    <s v="Failed"/>
  </r>
  <r>
    <s v="TXN90650784"/>
    <x v="977"/>
    <x v="2"/>
    <x v="4"/>
    <n v="144031"/>
    <x v="1"/>
    <x v="4"/>
    <x v="1"/>
    <n v="1440.31"/>
    <n v="0"/>
    <n v="1440.31"/>
    <s v="Success"/>
  </r>
  <r>
    <s v="TXN61073939"/>
    <x v="978"/>
    <x v="6"/>
    <x v="4"/>
    <n v="48127"/>
    <x v="0"/>
    <x v="7"/>
    <x v="2"/>
    <n v="481.27"/>
    <n v="0"/>
    <n v="481.27"/>
    <s v="Success"/>
  </r>
  <r>
    <s v="TXN19050368"/>
    <x v="979"/>
    <x v="2"/>
    <x v="1"/>
    <n v="146299"/>
    <x v="0"/>
    <x v="1"/>
    <x v="0"/>
    <n v="5"/>
    <n v="0"/>
    <n v="5"/>
    <s v="Success"/>
  </r>
  <r>
    <s v="TXN46478168"/>
    <x v="980"/>
    <x v="2"/>
    <x v="1"/>
    <n v="78432"/>
    <x v="2"/>
    <x v="5"/>
    <x v="0"/>
    <n v="5"/>
    <n v="0"/>
    <n v="5"/>
    <s v="Success"/>
  </r>
  <r>
    <s v="TXN62916817"/>
    <x v="981"/>
    <x v="4"/>
    <x v="0"/>
    <n v="15000"/>
    <x v="2"/>
    <x v="6"/>
    <x v="0"/>
    <n v="277.5"/>
    <n v="111"/>
    <n v="166.5"/>
    <s v="Success"/>
  </r>
  <r>
    <s v="TXN14114238"/>
    <x v="982"/>
    <x v="1"/>
    <x v="1"/>
    <n v="33360"/>
    <x v="0"/>
    <x v="8"/>
    <x v="0"/>
    <n v="5"/>
    <n v="0"/>
    <n v="5"/>
    <s v="Failed"/>
  </r>
  <r>
    <s v="TXN31626469"/>
    <x v="983"/>
    <x v="7"/>
    <x v="2"/>
    <n v="2087"/>
    <x v="0"/>
    <x v="2"/>
    <x v="0"/>
    <n v="0"/>
    <n v="0"/>
    <n v="0"/>
    <s v="Success"/>
  </r>
  <r>
    <s v="TXN68608784"/>
    <x v="984"/>
    <x v="0"/>
    <x v="3"/>
    <n v="80422"/>
    <x v="2"/>
    <x v="7"/>
    <x v="0"/>
    <n v="0"/>
    <n v="0"/>
    <n v="0"/>
    <s v="Success"/>
  </r>
  <r>
    <s v="TXN29508995"/>
    <x v="985"/>
    <x v="3"/>
    <x v="2"/>
    <n v="1232"/>
    <x v="0"/>
    <x v="4"/>
    <x v="0"/>
    <n v="0"/>
    <n v="0"/>
    <n v="0"/>
    <s v="Success"/>
  </r>
  <r>
    <s v="TXN30760947"/>
    <x v="986"/>
    <x v="7"/>
    <x v="2"/>
    <n v="1470"/>
    <x v="0"/>
    <x v="7"/>
    <x v="0"/>
    <n v="0"/>
    <n v="0"/>
    <n v="0"/>
    <s v="Success"/>
  </r>
  <r>
    <s v="TXN44893284"/>
    <x v="987"/>
    <x v="0"/>
    <x v="3"/>
    <n v="39422"/>
    <x v="2"/>
    <x v="3"/>
    <x v="0"/>
    <n v="0"/>
    <n v="0"/>
    <n v="0"/>
    <s v="Success"/>
  </r>
  <r>
    <s v="TXN28070083"/>
    <x v="988"/>
    <x v="4"/>
    <x v="1"/>
    <n v="94935"/>
    <x v="0"/>
    <x v="7"/>
    <x v="0"/>
    <n v="5"/>
    <n v="0"/>
    <n v="5"/>
    <s v="Success"/>
  </r>
  <r>
    <s v="TXN29463632"/>
    <x v="989"/>
    <x v="0"/>
    <x v="1"/>
    <n v="55219"/>
    <x v="0"/>
    <x v="8"/>
    <x v="0"/>
    <n v="5"/>
    <n v="0"/>
    <n v="5"/>
    <s v="Success"/>
  </r>
  <r>
    <s v="TXN20861895"/>
    <x v="990"/>
    <x v="5"/>
    <x v="1"/>
    <n v="148972"/>
    <x v="0"/>
    <x v="2"/>
    <x v="0"/>
    <n v="5"/>
    <n v="0"/>
    <n v="5"/>
    <s v="Success"/>
  </r>
  <r>
    <s v="TXN66596048"/>
    <x v="991"/>
    <x v="6"/>
    <x v="3"/>
    <n v="48008"/>
    <x v="0"/>
    <x v="5"/>
    <x v="0"/>
    <n v="0"/>
    <n v="0"/>
    <n v="0"/>
    <s v="Success"/>
  </r>
  <r>
    <s v="TXN62511914"/>
    <x v="992"/>
    <x v="3"/>
    <x v="4"/>
    <n v="91883"/>
    <x v="0"/>
    <x v="7"/>
    <x v="2"/>
    <n v="918.83"/>
    <n v="0"/>
    <n v="918.83"/>
    <s v="Success"/>
  </r>
  <r>
    <s v="TXN31936318"/>
    <x v="993"/>
    <x v="6"/>
    <x v="2"/>
    <n v="1175"/>
    <x v="0"/>
    <x v="4"/>
    <x v="0"/>
    <n v="0"/>
    <n v="0"/>
    <n v="0"/>
    <s v="Success"/>
  </r>
  <r>
    <s v="TXN97533390"/>
    <x v="994"/>
    <x v="2"/>
    <x v="1"/>
    <n v="34626"/>
    <x v="0"/>
    <x v="8"/>
    <x v="0"/>
    <n v="5"/>
    <n v="0"/>
    <n v="5"/>
    <s v="Success"/>
  </r>
  <r>
    <s v="TXN54774811"/>
    <x v="995"/>
    <x v="5"/>
    <x v="0"/>
    <n v="159000"/>
    <x v="0"/>
    <x v="1"/>
    <x v="0"/>
    <n v="2941.5"/>
    <n v="1176.5999999999999"/>
    <n v="1764.9"/>
    <s v="Success"/>
  </r>
  <r>
    <s v="TXN74379791"/>
    <x v="996"/>
    <x v="1"/>
    <x v="1"/>
    <n v="129223"/>
    <x v="0"/>
    <x v="2"/>
    <x v="0"/>
    <n v="5"/>
    <n v="0"/>
    <n v="5"/>
    <s v="Success"/>
  </r>
  <r>
    <s v="TXN30687566"/>
    <x v="997"/>
    <x v="7"/>
    <x v="2"/>
    <n v="82"/>
    <x v="1"/>
    <x v="0"/>
    <x v="0"/>
    <n v="0"/>
    <n v="0"/>
    <n v="0"/>
    <s v="Success"/>
  </r>
  <r>
    <s v="TXN28440019"/>
    <x v="998"/>
    <x v="4"/>
    <x v="3"/>
    <n v="118282"/>
    <x v="0"/>
    <x v="0"/>
    <x v="0"/>
    <n v="0"/>
    <n v="0"/>
    <n v="0"/>
    <s v="Failed"/>
  </r>
  <r>
    <s v="TXN19018840"/>
    <x v="999"/>
    <x v="2"/>
    <x v="2"/>
    <n v="3948"/>
    <x v="0"/>
    <x v="4"/>
    <x v="0"/>
    <n v="0"/>
    <n v="0"/>
    <n v="0"/>
    <s v="Success"/>
  </r>
  <r>
    <s v="TXN54036224"/>
    <x v="1000"/>
    <x v="7"/>
    <x v="0"/>
    <n v="97000"/>
    <x v="0"/>
    <x v="7"/>
    <x v="0"/>
    <n v="1794.5"/>
    <n v="717.8"/>
    <n v="1076.7"/>
    <s v="Success"/>
  </r>
  <r>
    <s v="TXN16312991"/>
    <x v="1001"/>
    <x v="2"/>
    <x v="3"/>
    <n v="31220"/>
    <x v="2"/>
    <x v="7"/>
    <x v="0"/>
    <n v="0"/>
    <n v="0"/>
    <n v="0"/>
    <s v="Success"/>
  </r>
  <r>
    <s v="TXN66152543"/>
    <x v="1002"/>
    <x v="7"/>
    <x v="1"/>
    <n v="115690"/>
    <x v="0"/>
    <x v="3"/>
    <x v="0"/>
    <n v="5"/>
    <n v="0"/>
    <n v="5"/>
    <s v="Success"/>
  </r>
  <r>
    <s v="TXN55297189"/>
    <x v="1003"/>
    <x v="0"/>
    <x v="1"/>
    <n v="87514"/>
    <x v="0"/>
    <x v="3"/>
    <x v="0"/>
    <n v="5"/>
    <n v="0"/>
    <n v="5"/>
    <s v="Success"/>
  </r>
  <r>
    <s v="TXN61163085"/>
    <x v="1004"/>
    <x v="3"/>
    <x v="1"/>
    <n v="77690"/>
    <x v="1"/>
    <x v="5"/>
    <x v="0"/>
    <n v="5"/>
    <n v="0"/>
    <n v="5"/>
    <s v="Success"/>
  </r>
  <r>
    <s v="TXN86268151"/>
    <x v="1005"/>
    <x v="7"/>
    <x v="2"/>
    <n v="4480"/>
    <x v="2"/>
    <x v="3"/>
    <x v="0"/>
    <n v="0"/>
    <n v="0"/>
    <n v="0"/>
    <s v="Success"/>
  </r>
  <r>
    <s v="TXN74241121"/>
    <x v="1006"/>
    <x v="0"/>
    <x v="3"/>
    <n v="50497"/>
    <x v="0"/>
    <x v="4"/>
    <x v="0"/>
    <n v="0"/>
    <n v="0"/>
    <n v="0"/>
    <s v="Success"/>
  </r>
  <r>
    <s v="TXN59014821"/>
    <x v="1007"/>
    <x v="3"/>
    <x v="3"/>
    <n v="129443"/>
    <x v="0"/>
    <x v="5"/>
    <x v="0"/>
    <n v="0"/>
    <n v="0"/>
    <n v="0"/>
    <s v="Success"/>
  </r>
  <r>
    <s v="TXN22986463"/>
    <x v="1008"/>
    <x v="1"/>
    <x v="4"/>
    <n v="69860"/>
    <x v="2"/>
    <x v="0"/>
    <x v="5"/>
    <n v="698.6"/>
    <n v="0"/>
    <n v="698.6"/>
    <s v="Success"/>
  </r>
  <r>
    <s v="TXN94030931"/>
    <x v="1009"/>
    <x v="6"/>
    <x v="1"/>
    <n v="59434"/>
    <x v="1"/>
    <x v="8"/>
    <x v="0"/>
    <n v="5"/>
    <n v="0"/>
    <n v="5"/>
    <s v="Success"/>
  </r>
  <r>
    <s v="TXN91286517"/>
    <x v="1010"/>
    <x v="4"/>
    <x v="0"/>
    <n v="46500"/>
    <x v="0"/>
    <x v="5"/>
    <x v="0"/>
    <n v="860.25"/>
    <n v="344.1"/>
    <n v="516.15"/>
    <s v="Success"/>
  </r>
  <r>
    <s v="TXN39499201"/>
    <x v="1011"/>
    <x v="3"/>
    <x v="1"/>
    <n v="67963"/>
    <x v="0"/>
    <x v="7"/>
    <x v="0"/>
    <n v="5"/>
    <n v="0"/>
    <n v="5"/>
    <s v="Success"/>
  </r>
  <r>
    <s v="TXN27437086"/>
    <x v="1012"/>
    <x v="2"/>
    <x v="0"/>
    <n v="193500"/>
    <x v="0"/>
    <x v="3"/>
    <x v="0"/>
    <n v="3579.75"/>
    <n v="1431.9"/>
    <n v="2147.85"/>
    <s v="Success"/>
  </r>
  <r>
    <s v="TXN49031492"/>
    <x v="1013"/>
    <x v="1"/>
    <x v="1"/>
    <n v="29701"/>
    <x v="0"/>
    <x v="1"/>
    <x v="0"/>
    <n v="5"/>
    <n v="0"/>
    <n v="5"/>
    <s v="Failed"/>
  </r>
  <r>
    <s v="TXN75454756"/>
    <x v="1014"/>
    <x v="7"/>
    <x v="4"/>
    <n v="93528"/>
    <x v="2"/>
    <x v="8"/>
    <x v="3"/>
    <n v="935.28"/>
    <n v="0"/>
    <n v="935.28"/>
    <s v="Success"/>
  </r>
  <r>
    <s v="TXN13926839"/>
    <x v="1015"/>
    <x v="6"/>
    <x v="4"/>
    <n v="21405"/>
    <x v="0"/>
    <x v="5"/>
    <x v="4"/>
    <n v="214.05"/>
    <n v="0"/>
    <n v="214.05"/>
    <s v="Success"/>
  </r>
  <r>
    <s v="TXN84936013"/>
    <x v="1016"/>
    <x v="2"/>
    <x v="0"/>
    <n v="139500"/>
    <x v="0"/>
    <x v="8"/>
    <x v="0"/>
    <n v="2580.75"/>
    <n v="1032.3"/>
    <n v="1548.45"/>
    <s v="Success"/>
  </r>
  <r>
    <s v="TXN29676391"/>
    <x v="1017"/>
    <x v="0"/>
    <x v="2"/>
    <n v="2734"/>
    <x v="0"/>
    <x v="7"/>
    <x v="0"/>
    <n v="0"/>
    <n v="0"/>
    <n v="0"/>
    <s v="Failed"/>
  </r>
  <r>
    <s v="TXN30964493"/>
    <x v="1018"/>
    <x v="6"/>
    <x v="1"/>
    <n v="65157"/>
    <x v="0"/>
    <x v="8"/>
    <x v="0"/>
    <n v="5"/>
    <n v="0"/>
    <n v="5"/>
    <s v="Success"/>
  </r>
  <r>
    <s v="TXN23652120"/>
    <x v="1019"/>
    <x v="5"/>
    <x v="0"/>
    <n v="9000"/>
    <x v="0"/>
    <x v="3"/>
    <x v="0"/>
    <n v="166.5"/>
    <n v="66.599999999999994"/>
    <n v="99.9"/>
    <s v="Success"/>
  </r>
  <r>
    <s v="TXN98297767"/>
    <x v="1020"/>
    <x v="1"/>
    <x v="2"/>
    <n v="295"/>
    <x v="2"/>
    <x v="0"/>
    <x v="0"/>
    <n v="0"/>
    <n v="0"/>
    <n v="0"/>
    <s v="Success"/>
  </r>
  <r>
    <s v="TXN60828782"/>
    <x v="1021"/>
    <x v="7"/>
    <x v="4"/>
    <n v="51510"/>
    <x v="0"/>
    <x v="3"/>
    <x v="3"/>
    <n v="515.1"/>
    <n v="0"/>
    <n v="515.1"/>
    <s v="Success"/>
  </r>
  <r>
    <s v="TXN79526422"/>
    <x v="1022"/>
    <x v="3"/>
    <x v="4"/>
    <n v="132971"/>
    <x v="0"/>
    <x v="5"/>
    <x v="4"/>
    <n v="1329.71"/>
    <n v="0"/>
    <n v="1329.71"/>
    <s v="Success"/>
  </r>
  <r>
    <s v="TXN24492162"/>
    <x v="1023"/>
    <x v="0"/>
    <x v="3"/>
    <n v="129734"/>
    <x v="0"/>
    <x v="2"/>
    <x v="0"/>
    <n v="0"/>
    <n v="0"/>
    <n v="0"/>
    <s v="Success"/>
  </r>
  <r>
    <s v="TXN80702156"/>
    <x v="1024"/>
    <x v="7"/>
    <x v="1"/>
    <n v="103261"/>
    <x v="0"/>
    <x v="0"/>
    <x v="0"/>
    <n v="5"/>
    <n v="0"/>
    <n v="5"/>
    <s v="Success"/>
  </r>
  <r>
    <s v="TXN42690429"/>
    <x v="1025"/>
    <x v="3"/>
    <x v="1"/>
    <n v="111312"/>
    <x v="0"/>
    <x v="3"/>
    <x v="0"/>
    <n v="5"/>
    <n v="0"/>
    <n v="5"/>
    <s v="Success"/>
  </r>
  <r>
    <s v="TXN41347803"/>
    <x v="1026"/>
    <x v="3"/>
    <x v="3"/>
    <n v="4297"/>
    <x v="1"/>
    <x v="5"/>
    <x v="0"/>
    <n v="0"/>
    <n v="0"/>
    <n v="0"/>
    <s v="Success"/>
  </r>
  <r>
    <s v="TXN69655485"/>
    <x v="1027"/>
    <x v="5"/>
    <x v="0"/>
    <n v="145500"/>
    <x v="0"/>
    <x v="1"/>
    <x v="0"/>
    <n v="2691.75"/>
    <n v="1076.7"/>
    <n v="1615.05"/>
    <s v="Success"/>
  </r>
  <r>
    <s v="TXN23545521"/>
    <x v="1028"/>
    <x v="3"/>
    <x v="0"/>
    <n v="211500"/>
    <x v="0"/>
    <x v="4"/>
    <x v="0"/>
    <n v="3912.75"/>
    <n v="1565.1"/>
    <n v="2347.65"/>
    <s v="Success"/>
  </r>
  <r>
    <s v="TXN47896222"/>
    <x v="1029"/>
    <x v="3"/>
    <x v="4"/>
    <n v="139401"/>
    <x v="0"/>
    <x v="5"/>
    <x v="3"/>
    <n v="1394.01"/>
    <n v="0"/>
    <n v="1394.01"/>
    <s v="Success"/>
  </r>
  <r>
    <s v="TXN44631087"/>
    <x v="1030"/>
    <x v="0"/>
    <x v="0"/>
    <n v="247000"/>
    <x v="1"/>
    <x v="5"/>
    <x v="0"/>
    <n v="4569.5"/>
    <n v="1827.8"/>
    <n v="2741.7"/>
    <s v="Success"/>
  </r>
  <r>
    <s v="TXN53266338"/>
    <x v="1031"/>
    <x v="6"/>
    <x v="0"/>
    <n v="58000"/>
    <x v="0"/>
    <x v="5"/>
    <x v="0"/>
    <n v="1073"/>
    <n v="429.2"/>
    <n v="643.79999999999995"/>
    <s v="Success"/>
  </r>
  <r>
    <s v="TXN50511445"/>
    <x v="1032"/>
    <x v="5"/>
    <x v="1"/>
    <n v="53691"/>
    <x v="0"/>
    <x v="6"/>
    <x v="0"/>
    <n v="5"/>
    <n v="0"/>
    <n v="5"/>
    <s v="Failed"/>
  </r>
  <r>
    <s v="TXN61746943"/>
    <x v="1033"/>
    <x v="6"/>
    <x v="3"/>
    <n v="42819"/>
    <x v="0"/>
    <x v="0"/>
    <x v="0"/>
    <n v="0"/>
    <n v="0"/>
    <n v="0"/>
    <s v="Success"/>
  </r>
  <r>
    <s v="TXN17748084"/>
    <x v="1034"/>
    <x v="0"/>
    <x v="2"/>
    <n v="1740"/>
    <x v="0"/>
    <x v="5"/>
    <x v="0"/>
    <n v="0"/>
    <n v="0"/>
    <n v="0"/>
    <s v="Success"/>
  </r>
  <r>
    <s v="TXN30139254"/>
    <x v="1035"/>
    <x v="7"/>
    <x v="4"/>
    <n v="70621"/>
    <x v="0"/>
    <x v="1"/>
    <x v="1"/>
    <n v="706.21"/>
    <n v="0"/>
    <n v="706.21"/>
    <s v="Success"/>
  </r>
  <r>
    <s v="TXN87215988"/>
    <x v="1036"/>
    <x v="7"/>
    <x v="3"/>
    <n v="142604"/>
    <x v="0"/>
    <x v="3"/>
    <x v="0"/>
    <n v="0"/>
    <n v="0"/>
    <n v="0"/>
    <s v="Success"/>
  </r>
  <r>
    <s v="TXN28228808"/>
    <x v="1037"/>
    <x v="1"/>
    <x v="3"/>
    <n v="70590"/>
    <x v="2"/>
    <x v="7"/>
    <x v="0"/>
    <n v="0"/>
    <n v="0"/>
    <n v="0"/>
    <s v="Success"/>
  </r>
  <r>
    <s v="TXN70944149"/>
    <x v="1038"/>
    <x v="7"/>
    <x v="1"/>
    <n v="142990"/>
    <x v="1"/>
    <x v="5"/>
    <x v="0"/>
    <n v="5"/>
    <n v="0"/>
    <n v="5"/>
    <s v="Success"/>
  </r>
  <r>
    <s v="TXN93426675"/>
    <x v="1039"/>
    <x v="3"/>
    <x v="4"/>
    <n v="42234"/>
    <x v="0"/>
    <x v="4"/>
    <x v="5"/>
    <n v="422.34"/>
    <n v="0"/>
    <n v="422.34"/>
    <s v="Success"/>
  </r>
  <r>
    <s v="TXN92248927"/>
    <x v="1040"/>
    <x v="4"/>
    <x v="0"/>
    <n v="81000"/>
    <x v="0"/>
    <x v="0"/>
    <x v="0"/>
    <n v="1498.5"/>
    <n v="599.4"/>
    <n v="899.1"/>
    <s v="Success"/>
  </r>
  <r>
    <s v="TXN24256845"/>
    <x v="1041"/>
    <x v="0"/>
    <x v="2"/>
    <n v="2601"/>
    <x v="0"/>
    <x v="2"/>
    <x v="0"/>
    <n v="0"/>
    <n v="0"/>
    <n v="0"/>
    <s v="Success"/>
  </r>
  <r>
    <s v="TXN29029779"/>
    <x v="1042"/>
    <x v="3"/>
    <x v="2"/>
    <n v="2800"/>
    <x v="0"/>
    <x v="5"/>
    <x v="0"/>
    <n v="0"/>
    <n v="0"/>
    <n v="0"/>
    <s v="Success"/>
  </r>
  <r>
    <s v="TXN21055782"/>
    <x v="1043"/>
    <x v="6"/>
    <x v="2"/>
    <n v="698"/>
    <x v="0"/>
    <x v="5"/>
    <x v="0"/>
    <n v="0"/>
    <n v="0"/>
    <n v="0"/>
    <s v="Success"/>
  </r>
  <r>
    <s v="TXN71076522"/>
    <x v="1044"/>
    <x v="2"/>
    <x v="0"/>
    <n v="192500"/>
    <x v="2"/>
    <x v="4"/>
    <x v="0"/>
    <n v="3561.25"/>
    <n v="1424.5"/>
    <n v="2136.75"/>
    <s v="Success"/>
  </r>
  <r>
    <s v="TXN51931685"/>
    <x v="1045"/>
    <x v="0"/>
    <x v="0"/>
    <n v="59000"/>
    <x v="0"/>
    <x v="8"/>
    <x v="0"/>
    <n v="1091.5"/>
    <n v="436.6"/>
    <n v="654.9"/>
    <s v="Success"/>
  </r>
  <r>
    <s v="TXN61604149"/>
    <x v="1046"/>
    <x v="2"/>
    <x v="1"/>
    <n v="84782"/>
    <x v="2"/>
    <x v="2"/>
    <x v="0"/>
    <n v="5"/>
    <n v="0"/>
    <n v="5"/>
    <s v="Success"/>
  </r>
  <r>
    <s v="TXN65726573"/>
    <x v="1047"/>
    <x v="0"/>
    <x v="4"/>
    <n v="147627"/>
    <x v="0"/>
    <x v="5"/>
    <x v="1"/>
    <n v="1476.27"/>
    <n v="0"/>
    <n v="1476.27"/>
    <s v="Failed"/>
  </r>
  <r>
    <s v="TXN85691432"/>
    <x v="1048"/>
    <x v="0"/>
    <x v="0"/>
    <n v="66000"/>
    <x v="0"/>
    <x v="7"/>
    <x v="0"/>
    <n v="1221"/>
    <n v="488.4"/>
    <n v="732.6"/>
    <s v="Success"/>
  </r>
  <r>
    <s v="TXN92155531"/>
    <x v="1049"/>
    <x v="6"/>
    <x v="2"/>
    <n v="1177"/>
    <x v="0"/>
    <x v="8"/>
    <x v="0"/>
    <n v="0"/>
    <n v="0"/>
    <n v="0"/>
    <s v="Success"/>
  </r>
  <r>
    <s v="TXN71370911"/>
    <x v="1050"/>
    <x v="0"/>
    <x v="2"/>
    <n v="2584"/>
    <x v="1"/>
    <x v="0"/>
    <x v="0"/>
    <n v="0"/>
    <n v="0"/>
    <n v="0"/>
    <s v="Success"/>
  </r>
  <r>
    <s v="TXN68952713"/>
    <x v="1051"/>
    <x v="4"/>
    <x v="3"/>
    <n v="112075"/>
    <x v="0"/>
    <x v="3"/>
    <x v="0"/>
    <n v="0"/>
    <n v="0"/>
    <n v="0"/>
    <s v="Success"/>
  </r>
  <r>
    <s v="TXN37776411"/>
    <x v="1052"/>
    <x v="1"/>
    <x v="4"/>
    <n v="56531"/>
    <x v="0"/>
    <x v="5"/>
    <x v="2"/>
    <n v="565.30999999999995"/>
    <n v="0"/>
    <n v="565.30999999999995"/>
    <s v="Success"/>
  </r>
  <r>
    <s v="TXN47010038"/>
    <x v="1053"/>
    <x v="2"/>
    <x v="4"/>
    <n v="71408"/>
    <x v="0"/>
    <x v="4"/>
    <x v="5"/>
    <n v="714.08"/>
    <n v="0"/>
    <n v="714.08"/>
    <s v="Success"/>
  </r>
  <r>
    <s v="TXN67218677"/>
    <x v="1054"/>
    <x v="5"/>
    <x v="4"/>
    <n v="60512"/>
    <x v="0"/>
    <x v="8"/>
    <x v="1"/>
    <n v="605.12"/>
    <n v="0"/>
    <n v="605.12"/>
    <s v="Success"/>
  </r>
  <r>
    <s v="TXN78729624"/>
    <x v="1055"/>
    <x v="4"/>
    <x v="0"/>
    <n v="96500"/>
    <x v="0"/>
    <x v="3"/>
    <x v="0"/>
    <n v="1785.25"/>
    <n v="714.1"/>
    <n v="1071.1500000000001"/>
    <s v="Success"/>
  </r>
  <r>
    <s v="TXN16919922"/>
    <x v="1056"/>
    <x v="3"/>
    <x v="3"/>
    <n v="40875"/>
    <x v="0"/>
    <x v="5"/>
    <x v="0"/>
    <n v="0"/>
    <n v="0"/>
    <n v="0"/>
    <s v="Success"/>
  </r>
  <r>
    <s v="TXN36057234"/>
    <x v="1057"/>
    <x v="3"/>
    <x v="2"/>
    <n v="4397"/>
    <x v="0"/>
    <x v="2"/>
    <x v="0"/>
    <n v="0"/>
    <n v="0"/>
    <n v="0"/>
    <s v="Failed"/>
  </r>
  <r>
    <s v="TXN24708160"/>
    <x v="1058"/>
    <x v="6"/>
    <x v="4"/>
    <n v="61235"/>
    <x v="0"/>
    <x v="7"/>
    <x v="5"/>
    <n v="612.35"/>
    <n v="0"/>
    <n v="612.35"/>
    <s v="Success"/>
  </r>
  <r>
    <s v="TXN64528701"/>
    <x v="1059"/>
    <x v="1"/>
    <x v="4"/>
    <n v="11574"/>
    <x v="0"/>
    <x v="3"/>
    <x v="3"/>
    <n v="115.74"/>
    <n v="0"/>
    <n v="115.74"/>
    <s v="Success"/>
  </r>
  <r>
    <s v="TXN47351843"/>
    <x v="1060"/>
    <x v="3"/>
    <x v="0"/>
    <n v="192500"/>
    <x v="0"/>
    <x v="3"/>
    <x v="0"/>
    <n v="3561.25"/>
    <n v="1424.5"/>
    <n v="2136.75"/>
    <s v="Success"/>
  </r>
  <r>
    <s v="TXN19013813"/>
    <x v="1061"/>
    <x v="6"/>
    <x v="1"/>
    <n v="12191"/>
    <x v="0"/>
    <x v="6"/>
    <x v="0"/>
    <n v="5"/>
    <n v="0"/>
    <n v="5"/>
    <s v="Success"/>
  </r>
  <r>
    <s v="TXN73515431"/>
    <x v="1062"/>
    <x v="3"/>
    <x v="2"/>
    <n v="665"/>
    <x v="0"/>
    <x v="8"/>
    <x v="0"/>
    <n v="0"/>
    <n v="0"/>
    <n v="0"/>
    <s v="Success"/>
  </r>
  <r>
    <s v="TXN69029392"/>
    <x v="1063"/>
    <x v="7"/>
    <x v="1"/>
    <n v="27482"/>
    <x v="0"/>
    <x v="8"/>
    <x v="0"/>
    <n v="5"/>
    <n v="0"/>
    <n v="5"/>
    <s v="Success"/>
  </r>
  <r>
    <s v="TXN99679006"/>
    <x v="1064"/>
    <x v="1"/>
    <x v="0"/>
    <n v="67500"/>
    <x v="0"/>
    <x v="5"/>
    <x v="0"/>
    <n v="1248.75"/>
    <n v="499.5"/>
    <n v="749.25"/>
    <s v="Success"/>
  </r>
  <r>
    <s v="TXN50976899"/>
    <x v="1065"/>
    <x v="3"/>
    <x v="3"/>
    <n v="33875"/>
    <x v="0"/>
    <x v="5"/>
    <x v="0"/>
    <n v="0"/>
    <n v="0"/>
    <n v="0"/>
    <s v="Failed"/>
  </r>
  <r>
    <s v="TXN26143287"/>
    <x v="1066"/>
    <x v="3"/>
    <x v="0"/>
    <n v="70000"/>
    <x v="1"/>
    <x v="5"/>
    <x v="0"/>
    <n v="1295"/>
    <n v="518"/>
    <n v="777"/>
    <s v="Success"/>
  </r>
  <r>
    <s v="TXN86384644"/>
    <x v="1067"/>
    <x v="4"/>
    <x v="3"/>
    <n v="36827"/>
    <x v="0"/>
    <x v="5"/>
    <x v="0"/>
    <n v="0"/>
    <n v="0"/>
    <n v="0"/>
    <s v="Success"/>
  </r>
  <r>
    <s v="TXN85944833"/>
    <x v="1068"/>
    <x v="6"/>
    <x v="1"/>
    <n v="43340"/>
    <x v="0"/>
    <x v="5"/>
    <x v="0"/>
    <n v="5"/>
    <n v="0"/>
    <n v="5"/>
    <s v="Success"/>
  </r>
  <r>
    <s v="TXN18846830"/>
    <x v="1069"/>
    <x v="3"/>
    <x v="2"/>
    <n v="3367"/>
    <x v="0"/>
    <x v="6"/>
    <x v="0"/>
    <n v="0"/>
    <n v="0"/>
    <n v="0"/>
    <s v="Success"/>
  </r>
  <r>
    <s v="TXN81705613"/>
    <x v="1070"/>
    <x v="3"/>
    <x v="4"/>
    <n v="2924"/>
    <x v="1"/>
    <x v="7"/>
    <x v="1"/>
    <n v="29.24"/>
    <n v="0"/>
    <n v="29.24"/>
    <s v="Success"/>
  </r>
  <r>
    <s v="TXN33403703"/>
    <x v="1071"/>
    <x v="2"/>
    <x v="0"/>
    <n v="106000"/>
    <x v="0"/>
    <x v="5"/>
    <x v="0"/>
    <n v="1961"/>
    <n v="784.4"/>
    <n v="1176.5999999999999"/>
    <s v="Success"/>
  </r>
  <r>
    <s v="TXN98255308"/>
    <x v="1072"/>
    <x v="2"/>
    <x v="4"/>
    <n v="46046"/>
    <x v="0"/>
    <x v="2"/>
    <x v="2"/>
    <n v="460.46"/>
    <n v="0"/>
    <n v="460.46"/>
    <s v="Success"/>
  </r>
  <r>
    <s v="TXN92877989"/>
    <x v="1073"/>
    <x v="2"/>
    <x v="2"/>
    <n v="206"/>
    <x v="2"/>
    <x v="5"/>
    <x v="0"/>
    <n v="0"/>
    <n v="0"/>
    <n v="0"/>
    <s v="Success"/>
  </r>
  <r>
    <s v="TXN33996740"/>
    <x v="1074"/>
    <x v="7"/>
    <x v="3"/>
    <n v="132905"/>
    <x v="0"/>
    <x v="5"/>
    <x v="0"/>
    <n v="0"/>
    <n v="0"/>
    <n v="0"/>
    <s v="Success"/>
  </r>
  <r>
    <s v="TXN14801085"/>
    <x v="1075"/>
    <x v="3"/>
    <x v="3"/>
    <n v="19273"/>
    <x v="0"/>
    <x v="8"/>
    <x v="0"/>
    <n v="0"/>
    <n v="0"/>
    <n v="0"/>
    <s v="Failed"/>
  </r>
  <r>
    <s v="TXN69627240"/>
    <x v="1076"/>
    <x v="3"/>
    <x v="2"/>
    <n v="3412"/>
    <x v="0"/>
    <x v="4"/>
    <x v="0"/>
    <n v="0"/>
    <n v="0"/>
    <n v="0"/>
    <s v="Success"/>
  </r>
  <r>
    <s v="TXN29149950"/>
    <x v="1077"/>
    <x v="6"/>
    <x v="3"/>
    <n v="148346"/>
    <x v="0"/>
    <x v="3"/>
    <x v="0"/>
    <n v="0"/>
    <n v="0"/>
    <n v="0"/>
    <s v="Success"/>
  </r>
  <r>
    <s v="TXN79707718"/>
    <x v="1078"/>
    <x v="0"/>
    <x v="2"/>
    <n v="415"/>
    <x v="0"/>
    <x v="3"/>
    <x v="0"/>
    <n v="0"/>
    <n v="0"/>
    <n v="0"/>
    <s v="Failed"/>
  </r>
  <r>
    <s v="TXN63256012"/>
    <x v="1079"/>
    <x v="1"/>
    <x v="3"/>
    <n v="47623"/>
    <x v="0"/>
    <x v="4"/>
    <x v="0"/>
    <n v="0"/>
    <n v="0"/>
    <n v="0"/>
    <s v="Success"/>
  </r>
  <r>
    <s v="TXN46399222"/>
    <x v="1080"/>
    <x v="7"/>
    <x v="3"/>
    <n v="144318"/>
    <x v="0"/>
    <x v="3"/>
    <x v="0"/>
    <n v="0"/>
    <n v="0"/>
    <n v="0"/>
    <s v="Success"/>
  </r>
  <r>
    <s v="TXN62500897"/>
    <x v="1081"/>
    <x v="3"/>
    <x v="1"/>
    <n v="58895"/>
    <x v="0"/>
    <x v="8"/>
    <x v="0"/>
    <n v="5"/>
    <n v="0"/>
    <n v="5"/>
    <s v="Success"/>
  </r>
  <r>
    <s v="TXN15223235"/>
    <x v="1082"/>
    <x v="0"/>
    <x v="0"/>
    <n v="157500"/>
    <x v="0"/>
    <x v="8"/>
    <x v="0"/>
    <n v="2913.75"/>
    <n v="1165.5"/>
    <n v="1748.25"/>
    <s v="Success"/>
  </r>
  <r>
    <s v="TXN41212625"/>
    <x v="1083"/>
    <x v="7"/>
    <x v="0"/>
    <n v="35500"/>
    <x v="0"/>
    <x v="3"/>
    <x v="0"/>
    <n v="656.75"/>
    <n v="262.7"/>
    <n v="394.05"/>
    <s v="Success"/>
  </r>
  <r>
    <s v="TXN68743373"/>
    <x v="1084"/>
    <x v="0"/>
    <x v="3"/>
    <n v="114291"/>
    <x v="0"/>
    <x v="2"/>
    <x v="0"/>
    <n v="0"/>
    <n v="0"/>
    <n v="0"/>
    <s v="Success"/>
  </r>
  <r>
    <s v="TXN96263021"/>
    <x v="1085"/>
    <x v="0"/>
    <x v="0"/>
    <n v="41500"/>
    <x v="1"/>
    <x v="5"/>
    <x v="0"/>
    <n v="767.75"/>
    <n v="307.10000000000002"/>
    <n v="460.65"/>
    <s v="Success"/>
  </r>
  <r>
    <s v="TXN45806776"/>
    <x v="1086"/>
    <x v="3"/>
    <x v="3"/>
    <n v="133499"/>
    <x v="0"/>
    <x v="3"/>
    <x v="0"/>
    <n v="0"/>
    <n v="0"/>
    <n v="0"/>
    <s v="Success"/>
  </r>
  <r>
    <s v="TXN59172326"/>
    <x v="1087"/>
    <x v="2"/>
    <x v="1"/>
    <n v="26759"/>
    <x v="0"/>
    <x v="1"/>
    <x v="0"/>
    <n v="5"/>
    <n v="0"/>
    <n v="5"/>
    <s v="Success"/>
  </r>
  <r>
    <s v="TXN18059204"/>
    <x v="1088"/>
    <x v="7"/>
    <x v="4"/>
    <n v="73453"/>
    <x v="1"/>
    <x v="2"/>
    <x v="5"/>
    <n v="734.53"/>
    <n v="0"/>
    <n v="734.53"/>
    <s v="Success"/>
  </r>
  <r>
    <s v="TXN30325401"/>
    <x v="1089"/>
    <x v="7"/>
    <x v="4"/>
    <n v="128761"/>
    <x v="0"/>
    <x v="1"/>
    <x v="1"/>
    <n v="1287.6099999999999"/>
    <n v="0"/>
    <n v="1287.6099999999999"/>
    <s v="Success"/>
  </r>
  <r>
    <s v="TXN41961749"/>
    <x v="1090"/>
    <x v="6"/>
    <x v="0"/>
    <n v="240500"/>
    <x v="0"/>
    <x v="5"/>
    <x v="0"/>
    <n v="4449.25"/>
    <n v="1779.7"/>
    <n v="2669.55"/>
    <s v="Success"/>
  </r>
  <r>
    <s v="TXN99846311"/>
    <x v="1091"/>
    <x v="0"/>
    <x v="2"/>
    <n v="1680"/>
    <x v="0"/>
    <x v="8"/>
    <x v="0"/>
    <n v="0"/>
    <n v="0"/>
    <n v="0"/>
    <s v="Success"/>
  </r>
  <r>
    <s v="TXN14070319"/>
    <x v="1092"/>
    <x v="0"/>
    <x v="3"/>
    <n v="126352"/>
    <x v="2"/>
    <x v="8"/>
    <x v="0"/>
    <n v="0"/>
    <n v="0"/>
    <n v="0"/>
    <s v="Success"/>
  </r>
  <r>
    <s v="TXN60643554"/>
    <x v="1093"/>
    <x v="1"/>
    <x v="2"/>
    <n v="1162"/>
    <x v="0"/>
    <x v="3"/>
    <x v="0"/>
    <n v="0"/>
    <n v="0"/>
    <n v="0"/>
    <s v="Failed"/>
  </r>
  <r>
    <s v="TXN92261383"/>
    <x v="1094"/>
    <x v="0"/>
    <x v="2"/>
    <n v="4863"/>
    <x v="0"/>
    <x v="3"/>
    <x v="0"/>
    <n v="0"/>
    <n v="0"/>
    <n v="0"/>
    <s v="Success"/>
  </r>
  <r>
    <s v="TXN68370439"/>
    <x v="1095"/>
    <x v="5"/>
    <x v="4"/>
    <n v="68722"/>
    <x v="1"/>
    <x v="5"/>
    <x v="2"/>
    <n v="687.22"/>
    <n v="0"/>
    <n v="687.22"/>
    <s v="Success"/>
  </r>
  <r>
    <s v="TXN79587911"/>
    <x v="1096"/>
    <x v="5"/>
    <x v="0"/>
    <n v="47000"/>
    <x v="0"/>
    <x v="5"/>
    <x v="0"/>
    <n v="869.5"/>
    <n v="347.8"/>
    <n v="521.70000000000005"/>
    <s v="Success"/>
  </r>
  <r>
    <s v="TXN55510892"/>
    <x v="1097"/>
    <x v="5"/>
    <x v="1"/>
    <n v="87692"/>
    <x v="0"/>
    <x v="8"/>
    <x v="0"/>
    <n v="5"/>
    <n v="0"/>
    <n v="5"/>
    <s v="Success"/>
  </r>
  <r>
    <s v="TXN51862610"/>
    <x v="1098"/>
    <x v="1"/>
    <x v="0"/>
    <n v="2000"/>
    <x v="0"/>
    <x v="4"/>
    <x v="0"/>
    <n v="37"/>
    <n v="14.8"/>
    <n v="22.2"/>
    <s v="Success"/>
  </r>
  <r>
    <s v="TXN19773580"/>
    <x v="1099"/>
    <x v="1"/>
    <x v="4"/>
    <n v="35966"/>
    <x v="0"/>
    <x v="5"/>
    <x v="2"/>
    <n v="359.66"/>
    <n v="0"/>
    <n v="359.66"/>
    <s v="Success"/>
  </r>
  <r>
    <s v="TXN16324867"/>
    <x v="1100"/>
    <x v="7"/>
    <x v="0"/>
    <n v="190500"/>
    <x v="2"/>
    <x v="1"/>
    <x v="0"/>
    <n v="3524.25"/>
    <n v="1409.7"/>
    <n v="2114.5500000000002"/>
    <s v="Success"/>
  </r>
  <r>
    <s v="TXN28442892"/>
    <x v="1101"/>
    <x v="5"/>
    <x v="3"/>
    <n v="9254"/>
    <x v="1"/>
    <x v="0"/>
    <x v="0"/>
    <n v="0"/>
    <n v="0"/>
    <n v="0"/>
    <s v="Success"/>
  </r>
  <r>
    <s v="TXN11719771"/>
    <x v="1102"/>
    <x v="3"/>
    <x v="0"/>
    <n v="7000"/>
    <x v="0"/>
    <x v="3"/>
    <x v="0"/>
    <n v="129.5"/>
    <n v="51.8"/>
    <n v="77.7"/>
    <s v="Success"/>
  </r>
  <r>
    <s v="TXN93614719"/>
    <x v="1103"/>
    <x v="3"/>
    <x v="3"/>
    <n v="128414"/>
    <x v="0"/>
    <x v="6"/>
    <x v="0"/>
    <n v="0"/>
    <n v="0"/>
    <n v="0"/>
    <s v="Success"/>
  </r>
  <r>
    <s v="TXN51051733"/>
    <x v="1104"/>
    <x v="1"/>
    <x v="1"/>
    <n v="62313"/>
    <x v="0"/>
    <x v="7"/>
    <x v="0"/>
    <n v="5"/>
    <n v="0"/>
    <n v="5"/>
    <s v="Success"/>
  </r>
  <r>
    <s v="TXN27184714"/>
    <x v="1105"/>
    <x v="0"/>
    <x v="4"/>
    <n v="144528"/>
    <x v="0"/>
    <x v="2"/>
    <x v="3"/>
    <n v="1445.28"/>
    <n v="0"/>
    <n v="1445.28"/>
    <s v="Success"/>
  </r>
  <r>
    <s v="TXN60246118"/>
    <x v="1106"/>
    <x v="2"/>
    <x v="1"/>
    <n v="13921"/>
    <x v="0"/>
    <x v="5"/>
    <x v="0"/>
    <n v="5"/>
    <n v="0"/>
    <n v="5"/>
    <s v="Failed"/>
  </r>
  <r>
    <s v="TXN24876247"/>
    <x v="1107"/>
    <x v="1"/>
    <x v="0"/>
    <n v="208500"/>
    <x v="0"/>
    <x v="1"/>
    <x v="0"/>
    <n v="3857.25"/>
    <n v="1542.9"/>
    <n v="2314.35"/>
    <s v="Success"/>
  </r>
  <r>
    <s v="TXN63001774"/>
    <x v="1108"/>
    <x v="7"/>
    <x v="4"/>
    <n v="28124"/>
    <x v="0"/>
    <x v="8"/>
    <x v="2"/>
    <n v="281.24"/>
    <n v="0"/>
    <n v="281.24"/>
    <s v="Success"/>
  </r>
  <r>
    <s v="TXN10469395"/>
    <x v="1109"/>
    <x v="5"/>
    <x v="4"/>
    <n v="114874"/>
    <x v="1"/>
    <x v="5"/>
    <x v="4"/>
    <n v="1148.74"/>
    <n v="0"/>
    <n v="1148.74"/>
    <s v="Failed"/>
  </r>
  <r>
    <s v="TXN93388795"/>
    <x v="1110"/>
    <x v="6"/>
    <x v="2"/>
    <n v="2893"/>
    <x v="0"/>
    <x v="2"/>
    <x v="0"/>
    <n v="0"/>
    <n v="0"/>
    <n v="0"/>
    <s v="Success"/>
  </r>
  <r>
    <s v="TXN86988345"/>
    <x v="1111"/>
    <x v="0"/>
    <x v="0"/>
    <n v="202000"/>
    <x v="0"/>
    <x v="2"/>
    <x v="0"/>
    <n v="3737"/>
    <n v="1494.8"/>
    <n v="2242.1999999999998"/>
    <s v="Success"/>
  </r>
  <r>
    <s v="TXN62982879"/>
    <x v="1112"/>
    <x v="3"/>
    <x v="1"/>
    <n v="112656"/>
    <x v="0"/>
    <x v="6"/>
    <x v="0"/>
    <n v="5"/>
    <n v="0"/>
    <n v="5"/>
    <s v="Success"/>
  </r>
  <r>
    <s v="TXN10627910"/>
    <x v="1113"/>
    <x v="3"/>
    <x v="4"/>
    <n v="93747"/>
    <x v="0"/>
    <x v="5"/>
    <x v="5"/>
    <n v="937.47"/>
    <n v="0"/>
    <n v="937.47"/>
    <s v="Success"/>
  </r>
  <r>
    <s v="TXN87597493"/>
    <x v="1114"/>
    <x v="0"/>
    <x v="3"/>
    <n v="125563"/>
    <x v="0"/>
    <x v="3"/>
    <x v="0"/>
    <n v="0"/>
    <n v="0"/>
    <n v="0"/>
    <s v="Success"/>
  </r>
  <r>
    <s v="TXN61302160"/>
    <x v="1115"/>
    <x v="1"/>
    <x v="0"/>
    <n v="67500"/>
    <x v="0"/>
    <x v="5"/>
    <x v="0"/>
    <n v="1248.75"/>
    <n v="499.5"/>
    <n v="749.25"/>
    <s v="Success"/>
  </r>
  <r>
    <s v="TXN29619432"/>
    <x v="1116"/>
    <x v="4"/>
    <x v="0"/>
    <n v="18500"/>
    <x v="0"/>
    <x v="2"/>
    <x v="0"/>
    <n v="342.25"/>
    <n v="136.9"/>
    <n v="205.35"/>
    <s v="Success"/>
  </r>
  <r>
    <s v="TXN21516701"/>
    <x v="1117"/>
    <x v="7"/>
    <x v="3"/>
    <n v="119903"/>
    <x v="1"/>
    <x v="4"/>
    <x v="0"/>
    <n v="0"/>
    <n v="0"/>
    <n v="0"/>
    <s v="Success"/>
  </r>
  <r>
    <s v="TXN48123940"/>
    <x v="1118"/>
    <x v="4"/>
    <x v="3"/>
    <n v="5940"/>
    <x v="0"/>
    <x v="4"/>
    <x v="0"/>
    <n v="0"/>
    <n v="0"/>
    <n v="0"/>
    <s v="Success"/>
  </r>
  <r>
    <s v="TXN94055812"/>
    <x v="1119"/>
    <x v="2"/>
    <x v="1"/>
    <n v="10168"/>
    <x v="0"/>
    <x v="0"/>
    <x v="0"/>
    <n v="5"/>
    <n v="0"/>
    <n v="5"/>
    <s v="Success"/>
  </r>
  <r>
    <s v="TXN46889841"/>
    <x v="1120"/>
    <x v="2"/>
    <x v="2"/>
    <n v="3376"/>
    <x v="0"/>
    <x v="1"/>
    <x v="0"/>
    <n v="0"/>
    <n v="0"/>
    <n v="0"/>
    <s v="Success"/>
  </r>
  <r>
    <s v="TXN89040190"/>
    <x v="1121"/>
    <x v="4"/>
    <x v="1"/>
    <n v="116219"/>
    <x v="0"/>
    <x v="5"/>
    <x v="0"/>
    <n v="5"/>
    <n v="0"/>
    <n v="5"/>
    <s v="Success"/>
  </r>
  <r>
    <s v="TXN48339811"/>
    <x v="1122"/>
    <x v="1"/>
    <x v="3"/>
    <n v="67182"/>
    <x v="1"/>
    <x v="8"/>
    <x v="0"/>
    <n v="0"/>
    <n v="0"/>
    <n v="0"/>
    <s v="Success"/>
  </r>
  <r>
    <s v="TXN40766141"/>
    <x v="1123"/>
    <x v="1"/>
    <x v="3"/>
    <n v="66971"/>
    <x v="0"/>
    <x v="5"/>
    <x v="0"/>
    <n v="0"/>
    <n v="0"/>
    <n v="0"/>
    <s v="Success"/>
  </r>
  <r>
    <s v="TXN46986330"/>
    <x v="1124"/>
    <x v="7"/>
    <x v="4"/>
    <n v="61863"/>
    <x v="0"/>
    <x v="8"/>
    <x v="1"/>
    <n v="618.63"/>
    <n v="0"/>
    <n v="618.63"/>
    <s v="Failed"/>
  </r>
  <r>
    <s v="TXN48925815"/>
    <x v="1125"/>
    <x v="7"/>
    <x v="3"/>
    <n v="3027"/>
    <x v="0"/>
    <x v="8"/>
    <x v="0"/>
    <n v="0"/>
    <n v="0"/>
    <n v="0"/>
    <s v="Success"/>
  </r>
  <r>
    <s v="TXN56289137"/>
    <x v="1126"/>
    <x v="2"/>
    <x v="3"/>
    <n v="73787"/>
    <x v="0"/>
    <x v="1"/>
    <x v="0"/>
    <n v="0"/>
    <n v="0"/>
    <n v="0"/>
    <s v="Success"/>
  </r>
  <r>
    <s v="TXN12233961"/>
    <x v="1127"/>
    <x v="6"/>
    <x v="0"/>
    <n v="3500"/>
    <x v="0"/>
    <x v="7"/>
    <x v="0"/>
    <n v="64.75"/>
    <n v="25.9"/>
    <n v="38.85"/>
    <s v="Success"/>
  </r>
  <r>
    <s v="TXN56758615"/>
    <x v="1128"/>
    <x v="5"/>
    <x v="1"/>
    <n v="93179"/>
    <x v="0"/>
    <x v="4"/>
    <x v="0"/>
    <n v="5"/>
    <n v="0"/>
    <n v="5"/>
    <s v="Success"/>
  </r>
  <r>
    <s v="TXN60754313"/>
    <x v="1129"/>
    <x v="4"/>
    <x v="1"/>
    <n v="59172"/>
    <x v="0"/>
    <x v="2"/>
    <x v="0"/>
    <n v="5"/>
    <n v="0"/>
    <n v="5"/>
    <s v="Success"/>
  </r>
  <r>
    <s v="TXN33288684"/>
    <x v="1130"/>
    <x v="3"/>
    <x v="2"/>
    <n v="3826"/>
    <x v="0"/>
    <x v="0"/>
    <x v="0"/>
    <n v="0"/>
    <n v="0"/>
    <n v="0"/>
    <s v="Success"/>
  </r>
  <r>
    <s v="TXN72963310"/>
    <x v="1131"/>
    <x v="1"/>
    <x v="2"/>
    <n v="4535"/>
    <x v="0"/>
    <x v="6"/>
    <x v="0"/>
    <n v="0"/>
    <n v="0"/>
    <n v="0"/>
    <s v="Success"/>
  </r>
  <r>
    <s v="TXN43523050"/>
    <x v="1132"/>
    <x v="6"/>
    <x v="0"/>
    <n v="27500"/>
    <x v="1"/>
    <x v="7"/>
    <x v="0"/>
    <n v="508.75"/>
    <n v="203.5"/>
    <n v="305.25"/>
    <s v="Success"/>
  </r>
  <r>
    <s v="TXN95138576"/>
    <x v="1133"/>
    <x v="4"/>
    <x v="1"/>
    <n v="57641"/>
    <x v="0"/>
    <x v="5"/>
    <x v="0"/>
    <n v="5"/>
    <n v="0"/>
    <n v="5"/>
    <s v="Success"/>
  </r>
  <r>
    <s v="TXN58624947"/>
    <x v="1134"/>
    <x v="3"/>
    <x v="0"/>
    <n v="42000"/>
    <x v="0"/>
    <x v="5"/>
    <x v="0"/>
    <n v="777"/>
    <n v="310.8"/>
    <n v="466.2"/>
    <s v="Success"/>
  </r>
  <r>
    <s v="TXN46942534"/>
    <x v="1135"/>
    <x v="1"/>
    <x v="4"/>
    <n v="127410"/>
    <x v="0"/>
    <x v="2"/>
    <x v="4"/>
    <n v="1274.0999999999999"/>
    <n v="0"/>
    <n v="1274.0999999999999"/>
    <s v="Success"/>
  </r>
  <r>
    <s v="TXN81647320"/>
    <x v="1136"/>
    <x v="5"/>
    <x v="3"/>
    <n v="95898"/>
    <x v="0"/>
    <x v="8"/>
    <x v="0"/>
    <n v="0"/>
    <n v="0"/>
    <n v="0"/>
    <s v="Success"/>
  </r>
  <r>
    <s v="TXN18380126"/>
    <x v="1137"/>
    <x v="3"/>
    <x v="1"/>
    <n v="142456"/>
    <x v="2"/>
    <x v="6"/>
    <x v="0"/>
    <n v="5"/>
    <n v="0"/>
    <n v="5"/>
    <s v="Success"/>
  </r>
  <r>
    <s v="TXN92633703"/>
    <x v="1138"/>
    <x v="0"/>
    <x v="4"/>
    <n v="127585"/>
    <x v="0"/>
    <x v="2"/>
    <x v="5"/>
    <n v="1275.8499999999999"/>
    <n v="0"/>
    <n v="1275.8499999999999"/>
    <s v="Success"/>
  </r>
  <r>
    <s v="TXN77726703"/>
    <x v="1139"/>
    <x v="3"/>
    <x v="0"/>
    <n v="140500"/>
    <x v="0"/>
    <x v="2"/>
    <x v="0"/>
    <n v="2599.25"/>
    <n v="1039.7"/>
    <n v="1559.55"/>
    <s v="Success"/>
  </r>
  <r>
    <s v="TXN60664148"/>
    <x v="1140"/>
    <x v="6"/>
    <x v="2"/>
    <n v="2808"/>
    <x v="0"/>
    <x v="3"/>
    <x v="0"/>
    <n v="0"/>
    <n v="0"/>
    <n v="0"/>
    <s v="Success"/>
  </r>
  <r>
    <s v="TXN68795771"/>
    <x v="1141"/>
    <x v="3"/>
    <x v="0"/>
    <n v="94500"/>
    <x v="0"/>
    <x v="4"/>
    <x v="0"/>
    <n v="1748.25"/>
    <n v="699.3"/>
    <n v="1048.95"/>
    <s v="Success"/>
  </r>
  <r>
    <s v="TXN33699360"/>
    <x v="1142"/>
    <x v="1"/>
    <x v="3"/>
    <n v="25231"/>
    <x v="0"/>
    <x v="2"/>
    <x v="0"/>
    <n v="0"/>
    <n v="0"/>
    <n v="0"/>
    <s v="Success"/>
  </r>
  <r>
    <s v="TXN63472243"/>
    <x v="1143"/>
    <x v="6"/>
    <x v="3"/>
    <n v="2141"/>
    <x v="0"/>
    <x v="3"/>
    <x v="0"/>
    <n v="0"/>
    <n v="0"/>
    <n v="0"/>
    <s v="Success"/>
  </r>
  <r>
    <s v="TXN78622437"/>
    <x v="1144"/>
    <x v="1"/>
    <x v="4"/>
    <n v="67339"/>
    <x v="1"/>
    <x v="8"/>
    <x v="1"/>
    <n v="673.39"/>
    <n v="0"/>
    <n v="673.39"/>
    <s v="Success"/>
  </r>
  <r>
    <s v="TXN16180195"/>
    <x v="1145"/>
    <x v="4"/>
    <x v="0"/>
    <n v="65000"/>
    <x v="0"/>
    <x v="6"/>
    <x v="0"/>
    <n v="1202.5"/>
    <n v="481"/>
    <n v="721.5"/>
    <s v="Success"/>
  </r>
  <r>
    <s v="TXN47386994"/>
    <x v="1146"/>
    <x v="7"/>
    <x v="4"/>
    <n v="115023"/>
    <x v="0"/>
    <x v="5"/>
    <x v="3"/>
    <n v="1150.23"/>
    <n v="0"/>
    <n v="1150.23"/>
    <s v="Success"/>
  </r>
  <r>
    <s v="TXN36791392"/>
    <x v="1147"/>
    <x v="4"/>
    <x v="1"/>
    <n v="110546"/>
    <x v="0"/>
    <x v="6"/>
    <x v="0"/>
    <n v="5"/>
    <n v="0"/>
    <n v="5"/>
    <s v="Success"/>
  </r>
  <r>
    <s v="TXN37857991"/>
    <x v="1148"/>
    <x v="0"/>
    <x v="0"/>
    <n v="214000"/>
    <x v="0"/>
    <x v="0"/>
    <x v="0"/>
    <n v="3959"/>
    <n v="1583.6"/>
    <n v="2375.4"/>
    <s v="Success"/>
  </r>
  <r>
    <s v="TXN28482153"/>
    <x v="1149"/>
    <x v="5"/>
    <x v="0"/>
    <n v="120500"/>
    <x v="0"/>
    <x v="2"/>
    <x v="0"/>
    <n v="2229.25"/>
    <n v="891.7"/>
    <n v="1337.55"/>
    <s v="Success"/>
  </r>
  <r>
    <s v="TXN41266045"/>
    <x v="1150"/>
    <x v="5"/>
    <x v="0"/>
    <n v="165000"/>
    <x v="1"/>
    <x v="5"/>
    <x v="0"/>
    <n v="3052.5"/>
    <n v="1221"/>
    <n v="1831.5"/>
    <s v="Success"/>
  </r>
  <r>
    <s v="TXN30028579"/>
    <x v="1151"/>
    <x v="7"/>
    <x v="3"/>
    <n v="64536"/>
    <x v="0"/>
    <x v="4"/>
    <x v="0"/>
    <n v="0"/>
    <n v="0"/>
    <n v="0"/>
    <s v="Success"/>
  </r>
  <r>
    <s v="TXN69576340"/>
    <x v="1152"/>
    <x v="7"/>
    <x v="1"/>
    <n v="35342"/>
    <x v="0"/>
    <x v="0"/>
    <x v="0"/>
    <n v="5"/>
    <n v="0"/>
    <n v="5"/>
    <s v="Failed"/>
  </r>
  <r>
    <s v="TXN17655725"/>
    <x v="1153"/>
    <x v="7"/>
    <x v="1"/>
    <n v="76126"/>
    <x v="1"/>
    <x v="8"/>
    <x v="0"/>
    <n v="5"/>
    <n v="0"/>
    <n v="5"/>
    <s v="Success"/>
  </r>
  <r>
    <s v="TXN57203415"/>
    <x v="1154"/>
    <x v="3"/>
    <x v="4"/>
    <n v="123850"/>
    <x v="1"/>
    <x v="4"/>
    <x v="2"/>
    <n v="1238.5"/>
    <n v="0"/>
    <n v="1238.5"/>
    <s v="Success"/>
  </r>
  <r>
    <s v="TXN36981924"/>
    <x v="1155"/>
    <x v="4"/>
    <x v="0"/>
    <n v="56000"/>
    <x v="0"/>
    <x v="4"/>
    <x v="0"/>
    <n v="1036"/>
    <n v="414.4"/>
    <n v="621.6"/>
    <s v="Success"/>
  </r>
  <r>
    <s v="TXN81334917"/>
    <x v="1156"/>
    <x v="0"/>
    <x v="0"/>
    <n v="56500"/>
    <x v="0"/>
    <x v="4"/>
    <x v="0"/>
    <n v="1045.25"/>
    <n v="418.1"/>
    <n v="627.15"/>
    <s v="Success"/>
  </r>
  <r>
    <s v="TXN55196871"/>
    <x v="1157"/>
    <x v="0"/>
    <x v="1"/>
    <n v="148353"/>
    <x v="0"/>
    <x v="0"/>
    <x v="0"/>
    <n v="5"/>
    <n v="0"/>
    <n v="5"/>
    <s v="Success"/>
  </r>
  <r>
    <s v="TXN34537772"/>
    <x v="1158"/>
    <x v="6"/>
    <x v="0"/>
    <n v="185000"/>
    <x v="1"/>
    <x v="2"/>
    <x v="0"/>
    <n v="3422.5"/>
    <n v="1369"/>
    <n v="2053.5"/>
    <s v="Success"/>
  </r>
  <r>
    <s v="TXN57379506"/>
    <x v="1159"/>
    <x v="3"/>
    <x v="3"/>
    <n v="1222"/>
    <x v="1"/>
    <x v="6"/>
    <x v="0"/>
    <n v="0"/>
    <n v="0"/>
    <n v="0"/>
    <s v="Success"/>
  </r>
  <r>
    <s v="TXN61659979"/>
    <x v="1160"/>
    <x v="6"/>
    <x v="0"/>
    <n v="42500"/>
    <x v="0"/>
    <x v="1"/>
    <x v="0"/>
    <n v="786.25"/>
    <n v="314.5"/>
    <n v="471.75"/>
    <s v="Success"/>
  </r>
  <r>
    <s v="TXN83443403"/>
    <x v="1161"/>
    <x v="0"/>
    <x v="1"/>
    <n v="126804"/>
    <x v="0"/>
    <x v="1"/>
    <x v="0"/>
    <n v="5"/>
    <n v="0"/>
    <n v="5"/>
    <s v="Success"/>
  </r>
  <r>
    <s v="TXN57354873"/>
    <x v="1162"/>
    <x v="4"/>
    <x v="4"/>
    <n v="142556"/>
    <x v="0"/>
    <x v="0"/>
    <x v="5"/>
    <n v="1425.56"/>
    <n v="0"/>
    <n v="1425.56"/>
    <s v="Success"/>
  </r>
  <r>
    <s v="TXN30429474"/>
    <x v="1163"/>
    <x v="7"/>
    <x v="0"/>
    <n v="249000"/>
    <x v="0"/>
    <x v="0"/>
    <x v="0"/>
    <n v="4606.5"/>
    <n v="1842.6"/>
    <n v="2763.9"/>
    <s v="Success"/>
  </r>
  <r>
    <s v="TXN56888843"/>
    <x v="1164"/>
    <x v="4"/>
    <x v="3"/>
    <n v="34135"/>
    <x v="0"/>
    <x v="8"/>
    <x v="0"/>
    <n v="0"/>
    <n v="0"/>
    <n v="0"/>
    <s v="Success"/>
  </r>
  <r>
    <s v="TXN55193374"/>
    <x v="1165"/>
    <x v="5"/>
    <x v="2"/>
    <n v="3085"/>
    <x v="0"/>
    <x v="7"/>
    <x v="0"/>
    <n v="0"/>
    <n v="0"/>
    <n v="0"/>
    <s v="Success"/>
  </r>
  <r>
    <s v="TXN34243735"/>
    <x v="1166"/>
    <x v="4"/>
    <x v="0"/>
    <n v="203500"/>
    <x v="0"/>
    <x v="1"/>
    <x v="0"/>
    <n v="3764.75"/>
    <n v="1505.9"/>
    <n v="2258.85"/>
    <s v="Success"/>
  </r>
  <r>
    <s v="TXN84202978"/>
    <x v="1167"/>
    <x v="5"/>
    <x v="1"/>
    <n v="122007"/>
    <x v="1"/>
    <x v="3"/>
    <x v="0"/>
    <n v="5"/>
    <n v="0"/>
    <n v="5"/>
    <s v="Success"/>
  </r>
  <r>
    <s v="TXN58259102"/>
    <x v="1168"/>
    <x v="3"/>
    <x v="3"/>
    <n v="79750"/>
    <x v="0"/>
    <x v="0"/>
    <x v="0"/>
    <n v="0"/>
    <n v="0"/>
    <n v="0"/>
    <s v="Success"/>
  </r>
  <r>
    <s v="TXN49757948"/>
    <x v="1169"/>
    <x v="2"/>
    <x v="2"/>
    <n v="3338"/>
    <x v="0"/>
    <x v="5"/>
    <x v="0"/>
    <n v="0"/>
    <n v="0"/>
    <n v="0"/>
    <s v="Success"/>
  </r>
  <r>
    <s v="TXN16816579"/>
    <x v="1170"/>
    <x v="1"/>
    <x v="2"/>
    <n v="3039"/>
    <x v="0"/>
    <x v="5"/>
    <x v="0"/>
    <n v="0"/>
    <n v="0"/>
    <n v="0"/>
    <s v="Success"/>
  </r>
  <r>
    <s v="TXN30199832"/>
    <x v="1171"/>
    <x v="0"/>
    <x v="4"/>
    <n v="115550"/>
    <x v="0"/>
    <x v="4"/>
    <x v="3"/>
    <n v="1155.5"/>
    <n v="0"/>
    <n v="1155.5"/>
    <s v="Success"/>
  </r>
  <r>
    <s v="TXN30272704"/>
    <x v="1172"/>
    <x v="3"/>
    <x v="3"/>
    <n v="30556"/>
    <x v="0"/>
    <x v="3"/>
    <x v="0"/>
    <n v="0"/>
    <n v="0"/>
    <n v="0"/>
    <s v="Success"/>
  </r>
  <r>
    <s v="TXN53362893"/>
    <x v="1173"/>
    <x v="1"/>
    <x v="4"/>
    <n v="91965"/>
    <x v="0"/>
    <x v="0"/>
    <x v="1"/>
    <n v="919.65"/>
    <n v="0"/>
    <n v="919.65"/>
    <s v="Success"/>
  </r>
  <r>
    <s v="TXN90356889"/>
    <x v="1174"/>
    <x v="3"/>
    <x v="0"/>
    <n v="42500"/>
    <x v="0"/>
    <x v="3"/>
    <x v="0"/>
    <n v="786.25"/>
    <n v="314.5"/>
    <n v="471.75"/>
    <s v="Success"/>
  </r>
  <r>
    <s v="TXN96919302"/>
    <x v="1175"/>
    <x v="2"/>
    <x v="3"/>
    <n v="61231"/>
    <x v="2"/>
    <x v="1"/>
    <x v="0"/>
    <n v="0"/>
    <n v="0"/>
    <n v="0"/>
    <s v="Success"/>
  </r>
  <r>
    <s v="TXN27815058"/>
    <x v="1176"/>
    <x v="7"/>
    <x v="3"/>
    <n v="97789"/>
    <x v="1"/>
    <x v="8"/>
    <x v="0"/>
    <n v="0"/>
    <n v="0"/>
    <n v="0"/>
    <s v="Failed"/>
  </r>
  <r>
    <s v="TXN98807189"/>
    <x v="1177"/>
    <x v="5"/>
    <x v="0"/>
    <n v="156000"/>
    <x v="0"/>
    <x v="8"/>
    <x v="0"/>
    <n v="2886"/>
    <n v="1154.4000000000001"/>
    <n v="1731.6"/>
    <s v="Success"/>
  </r>
  <r>
    <s v="TXN89541880"/>
    <x v="1178"/>
    <x v="3"/>
    <x v="4"/>
    <n v="1698"/>
    <x v="0"/>
    <x v="4"/>
    <x v="4"/>
    <n v="16.98"/>
    <n v="0"/>
    <n v="16.98"/>
    <s v="Success"/>
  </r>
  <r>
    <s v="TXN83349801"/>
    <x v="1179"/>
    <x v="1"/>
    <x v="4"/>
    <n v="112023"/>
    <x v="0"/>
    <x v="1"/>
    <x v="2"/>
    <n v="1120.23"/>
    <n v="0"/>
    <n v="1120.23"/>
    <s v="Success"/>
  </r>
  <r>
    <s v="TXN65864033"/>
    <x v="1180"/>
    <x v="1"/>
    <x v="0"/>
    <n v="85000"/>
    <x v="1"/>
    <x v="2"/>
    <x v="0"/>
    <n v="1572.5"/>
    <n v="629"/>
    <n v="943.5"/>
    <s v="Success"/>
  </r>
  <r>
    <s v="TXN67617492"/>
    <x v="1181"/>
    <x v="4"/>
    <x v="3"/>
    <n v="140228"/>
    <x v="0"/>
    <x v="5"/>
    <x v="0"/>
    <n v="0"/>
    <n v="0"/>
    <n v="0"/>
    <s v="Success"/>
  </r>
  <r>
    <s v="TXN86566813"/>
    <x v="1182"/>
    <x v="5"/>
    <x v="3"/>
    <n v="118505"/>
    <x v="0"/>
    <x v="2"/>
    <x v="0"/>
    <n v="0"/>
    <n v="0"/>
    <n v="0"/>
    <s v="Success"/>
  </r>
  <r>
    <s v="TXN48261238"/>
    <x v="1183"/>
    <x v="3"/>
    <x v="2"/>
    <n v="359"/>
    <x v="0"/>
    <x v="5"/>
    <x v="0"/>
    <n v="0"/>
    <n v="0"/>
    <n v="0"/>
    <s v="Success"/>
  </r>
  <r>
    <s v="TXN72050163"/>
    <x v="1184"/>
    <x v="6"/>
    <x v="4"/>
    <n v="112764"/>
    <x v="0"/>
    <x v="5"/>
    <x v="1"/>
    <n v="1127.6400000000001"/>
    <n v="0"/>
    <n v="1127.6400000000001"/>
    <s v="Success"/>
  </r>
  <r>
    <s v="TXN65009544"/>
    <x v="1185"/>
    <x v="5"/>
    <x v="3"/>
    <n v="2169"/>
    <x v="0"/>
    <x v="6"/>
    <x v="0"/>
    <n v="0"/>
    <n v="0"/>
    <n v="0"/>
    <s v="Success"/>
  </r>
  <r>
    <s v="TXN33148921"/>
    <x v="1186"/>
    <x v="5"/>
    <x v="4"/>
    <n v="57935"/>
    <x v="0"/>
    <x v="7"/>
    <x v="5"/>
    <n v="579.35"/>
    <n v="0"/>
    <n v="579.35"/>
    <s v="Success"/>
  </r>
  <r>
    <s v="TXN13027432"/>
    <x v="1187"/>
    <x v="2"/>
    <x v="3"/>
    <n v="129903"/>
    <x v="0"/>
    <x v="7"/>
    <x v="0"/>
    <n v="0"/>
    <n v="0"/>
    <n v="0"/>
    <s v="Failed"/>
  </r>
  <r>
    <s v="TXN88604153"/>
    <x v="1188"/>
    <x v="6"/>
    <x v="3"/>
    <n v="60918"/>
    <x v="0"/>
    <x v="5"/>
    <x v="0"/>
    <n v="0"/>
    <n v="0"/>
    <n v="0"/>
    <s v="Success"/>
  </r>
  <r>
    <s v="TXN23336695"/>
    <x v="1189"/>
    <x v="1"/>
    <x v="3"/>
    <n v="43584"/>
    <x v="0"/>
    <x v="4"/>
    <x v="0"/>
    <n v="0"/>
    <n v="0"/>
    <n v="0"/>
    <s v="Success"/>
  </r>
  <r>
    <s v="TXN20279359"/>
    <x v="1190"/>
    <x v="1"/>
    <x v="4"/>
    <n v="126930"/>
    <x v="0"/>
    <x v="7"/>
    <x v="5"/>
    <n v="1269.3"/>
    <n v="0"/>
    <n v="1269.3"/>
    <s v="Success"/>
  </r>
  <r>
    <s v="TXN66514196"/>
    <x v="1191"/>
    <x v="4"/>
    <x v="3"/>
    <n v="47414"/>
    <x v="1"/>
    <x v="0"/>
    <x v="0"/>
    <n v="0"/>
    <n v="0"/>
    <n v="0"/>
    <s v="Success"/>
  </r>
  <r>
    <s v="TXN17773471"/>
    <x v="1192"/>
    <x v="4"/>
    <x v="4"/>
    <n v="127233"/>
    <x v="0"/>
    <x v="5"/>
    <x v="4"/>
    <n v="1272.33"/>
    <n v="0"/>
    <n v="1272.33"/>
    <s v="Success"/>
  </r>
  <r>
    <s v="TXN72860182"/>
    <x v="1193"/>
    <x v="4"/>
    <x v="3"/>
    <n v="9511"/>
    <x v="1"/>
    <x v="7"/>
    <x v="0"/>
    <n v="0"/>
    <n v="0"/>
    <n v="0"/>
    <s v="Success"/>
  </r>
  <r>
    <s v="TXN58706698"/>
    <x v="1194"/>
    <x v="4"/>
    <x v="4"/>
    <n v="58228"/>
    <x v="0"/>
    <x v="8"/>
    <x v="1"/>
    <n v="582.28"/>
    <n v="0"/>
    <n v="582.28"/>
    <s v="Success"/>
  </r>
  <r>
    <s v="TXN57456036"/>
    <x v="1195"/>
    <x v="6"/>
    <x v="0"/>
    <n v="111000"/>
    <x v="0"/>
    <x v="8"/>
    <x v="0"/>
    <n v="2053.5"/>
    <n v="821.4"/>
    <n v="1232.0999999999999"/>
    <s v="Success"/>
  </r>
  <r>
    <s v="TXN93350920"/>
    <x v="1196"/>
    <x v="2"/>
    <x v="4"/>
    <n v="53736"/>
    <x v="0"/>
    <x v="1"/>
    <x v="3"/>
    <n v="537.36"/>
    <n v="0"/>
    <n v="537.36"/>
    <s v="Success"/>
  </r>
  <r>
    <s v="TXN65891046"/>
    <x v="1197"/>
    <x v="3"/>
    <x v="0"/>
    <n v="134500"/>
    <x v="1"/>
    <x v="0"/>
    <x v="0"/>
    <n v="2488.25"/>
    <n v="995.3"/>
    <n v="1492.95"/>
    <s v="Success"/>
  </r>
  <r>
    <s v="TXN29570364"/>
    <x v="1198"/>
    <x v="2"/>
    <x v="2"/>
    <n v="899"/>
    <x v="1"/>
    <x v="1"/>
    <x v="0"/>
    <n v="0"/>
    <n v="0"/>
    <n v="0"/>
    <s v="Success"/>
  </r>
  <r>
    <s v="TXN62600893"/>
    <x v="1199"/>
    <x v="6"/>
    <x v="1"/>
    <n v="126007"/>
    <x v="1"/>
    <x v="0"/>
    <x v="0"/>
    <n v="5"/>
    <n v="0"/>
    <n v="5"/>
    <s v="Success"/>
  </r>
  <r>
    <s v="TXN65684830"/>
    <x v="1200"/>
    <x v="7"/>
    <x v="3"/>
    <n v="116523"/>
    <x v="0"/>
    <x v="7"/>
    <x v="0"/>
    <n v="0"/>
    <n v="0"/>
    <n v="0"/>
    <s v="Success"/>
  </r>
  <r>
    <s v="TXN30405595"/>
    <x v="1201"/>
    <x v="7"/>
    <x v="2"/>
    <n v="2893"/>
    <x v="0"/>
    <x v="7"/>
    <x v="0"/>
    <n v="0"/>
    <n v="0"/>
    <n v="0"/>
    <s v="Success"/>
  </r>
  <r>
    <s v="TXN58041036"/>
    <x v="1202"/>
    <x v="3"/>
    <x v="2"/>
    <n v="1227"/>
    <x v="0"/>
    <x v="1"/>
    <x v="0"/>
    <n v="0"/>
    <n v="0"/>
    <n v="0"/>
    <s v="Success"/>
  </r>
  <r>
    <s v="TXN27039592"/>
    <x v="1203"/>
    <x v="0"/>
    <x v="3"/>
    <n v="106769"/>
    <x v="0"/>
    <x v="5"/>
    <x v="0"/>
    <n v="0"/>
    <n v="0"/>
    <n v="0"/>
    <s v="Success"/>
  </r>
  <r>
    <s v="TXN31959734"/>
    <x v="1204"/>
    <x v="5"/>
    <x v="0"/>
    <n v="64000"/>
    <x v="0"/>
    <x v="5"/>
    <x v="0"/>
    <n v="1184"/>
    <n v="473.6"/>
    <n v="710.4"/>
    <s v="Success"/>
  </r>
  <r>
    <s v="TXN53911378"/>
    <x v="1205"/>
    <x v="1"/>
    <x v="3"/>
    <n v="34242"/>
    <x v="0"/>
    <x v="0"/>
    <x v="0"/>
    <n v="0"/>
    <n v="0"/>
    <n v="0"/>
    <s v="Failed"/>
  </r>
  <r>
    <s v="TXN22094717"/>
    <x v="1206"/>
    <x v="0"/>
    <x v="1"/>
    <n v="105560"/>
    <x v="0"/>
    <x v="1"/>
    <x v="0"/>
    <n v="5"/>
    <n v="0"/>
    <n v="5"/>
    <s v="Success"/>
  </r>
  <r>
    <s v="TXN90233220"/>
    <x v="1207"/>
    <x v="2"/>
    <x v="3"/>
    <n v="127162"/>
    <x v="0"/>
    <x v="5"/>
    <x v="0"/>
    <n v="0"/>
    <n v="0"/>
    <n v="0"/>
    <s v="Success"/>
  </r>
  <r>
    <s v="TXN46011294"/>
    <x v="1208"/>
    <x v="1"/>
    <x v="4"/>
    <n v="1309"/>
    <x v="0"/>
    <x v="5"/>
    <x v="3"/>
    <n v="13.09"/>
    <n v="0"/>
    <n v="13.09"/>
    <s v="Success"/>
  </r>
  <r>
    <s v="TXN96606295"/>
    <x v="1209"/>
    <x v="2"/>
    <x v="2"/>
    <n v="106"/>
    <x v="0"/>
    <x v="7"/>
    <x v="0"/>
    <n v="0"/>
    <n v="0"/>
    <n v="0"/>
    <s v="Success"/>
  </r>
  <r>
    <s v="TXN91385720"/>
    <x v="1210"/>
    <x v="0"/>
    <x v="4"/>
    <n v="104488"/>
    <x v="0"/>
    <x v="6"/>
    <x v="5"/>
    <n v="1044.8800000000001"/>
    <n v="0"/>
    <n v="1044.8800000000001"/>
    <s v="Success"/>
  </r>
  <r>
    <s v="TXN46306285"/>
    <x v="1211"/>
    <x v="1"/>
    <x v="0"/>
    <n v="45500"/>
    <x v="0"/>
    <x v="2"/>
    <x v="0"/>
    <n v="841.75"/>
    <n v="336.7"/>
    <n v="505.05"/>
    <s v="Success"/>
  </r>
  <r>
    <s v="TXN37379791"/>
    <x v="1212"/>
    <x v="7"/>
    <x v="0"/>
    <n v="43000"/>
    <x v="1"/>
    <x v="5"/>
    <x v="0"/>
    <n v="795.5"/>
    <n v="318.2"/>
    <n v="477.3"/>
    <s v="Failed"/>
  </r>
  <r>
    <s v="TXN25295023"/>
    <x v="1213"/>
    <x v="0"/>
    <x v="4"/>
    <n v="119502"/>
    <x v="0"/>
    <x v="4"/>
    <x v="4"/>
    <n v="1195.02"/>
    <n v="0"/>
    <n v="1195.02"/>
    <s v="Success"/>
  </r>
  <r>
    <s v="TXN49857440"/>
    <x v="1214"/>
    <x v="0"/>
    <x v="4"/>
    <n v="39875"/>
    <x v="0"/>
    <x v="2"/>
    <x v="5"/>
    <n v="398.75"/>
    <n v="0"/>
    <n v="398.75"/>
    <s v="Success"/>
  </r>
  <r>
    <s v="TXN61523802"/>
    <x v="1215"/>
    <x v="4"/>
    <x v="1"/>
    <n v="65093"/>
    <x v="0"/>
    <x v="7"/>
    <x v="0"/>
    <n v="5"/>
    <n v="0"/>
    <n v="5"/>
    <s v="Success"/>
  </r>
  <r>
    <s v="TXN43728574"/>
    <x v="1216"/>
    <x v="6"/>
    <x v="2"/>
    <n v="4281"/>
    <x v="1"/>
    <x v="7"/>
    <x v="0"/>
    <n v="0"/>
    <n v="0"/>
    <n v="0"/>
    <s v="Success"/>
  </r>
  <r>
    <s v="TXN76267798"/>
    <x v="1217"/>
    <x v="1"/>
    <x v="4"/>
    <n v="117109"/>
    <x v="0"/>
    <x v="5"/>
    <x v="2"/>
    <n v="1171.0899999999999"/>
    <n v="0"/>
    <n v="1171.0899999999999"/>
    <s v="Success"/>
  </r>
  <r>
    <s v="TXN87046635"/>
    <x v="1218"/>
    <x v="3"/>
    <x v="4"/>
    <n v="67515"/>
    <x v="0"/>
    <x v="0"/>
    <x v="3"/>
    <n v="675.15"/>
    <n v="0"/>
    <n v="675.15"/>
    <s v="Success"/>
  </r>
  <r>
    <s v="TXN54505825"/>
    <x v="1219"/>
    <x v="6"/>
    <x v="3"/>
    <n v="125166"/>
    <x v="0"/>
    <x v="0"/>
    <x v="0"/>
    <n v="0"/>
    <n v="0"/>
    <n v="0"/>
    <s v="Success"/>
  </r>
  <r>
    <s v="TXN69301704"/>
    <x v="1220"/>
    <x v="7"/>
    <x v="2"/>
    <n v="3008"/>
    <x v="0"/>
    <x v="1"/>
    <x v="0"/>
    <n v="0"/>
    <n v="0"/>
    <n v="0"/>
    <s v="Success"/>
  </r>
  <r>
    <s v="TXN80597473"/>
    <x v="1221"/>
    <x v="3"/>
    <x v="2"/>
    <n v="4429"/>
    <x v="0"/>
    <x v="7"/>
    <x v="0"/>
    <n v="0"/>
    <n v="0"/>
    <n v="0"/>
    <s v="Success"/>
  </r>
  <r>
    <s v="TXN31484062"/>
    <x v="1222"/>
    <x v="6"/>
    <x v="1"/>
    <n v="3028"/>
    <x v="0"/>
    <x v="3"/>
    <x v="0"/>
    <n v="5"/>
    <n v="0"/>
    <n v="5"/>
    <s v="Failed"/>
  </r>
  <r>
    <s v="TXN88878790"/>
    <x v="1223"/>
    <x v="1"/>
    <x v="3"/>
    <n v="101259"/>
    <x v="2"/>
    <x v="3"/>
    <x v="0"/>
    <n v="0"/>
    <n v="0"/>
    <n v="0"/>
    <s v="Success"/>
  </r>
  <r>
    <s v="TXN38861554"/>
    <x v="1224"/>
    <x v="2"/>
    <x v="4"/>
    <n v="35748"/>
    <x v="1"/>
    <x v="3"/>
    <x v="4"/>
    <n v="357.48"/>
    <n v="0"/>
    <n v="357.48"/>
    <s v="Success"/>
  </r>
  <r>
    <s v="TXN84053599"/>
    <x v="1225"/>
    <x v="3"/>
    <x v="4"/>
    <n v="95883"/>
    <x v="0"/>
    <x v="3"/>
    <x v="3"/>
    <n v="958.83"/>
    <n v="0"/>
    <n v="958.83"/>
    <s v="Success"/>
  </r>
  <r>
    <s v="TXN58512421"/>
    <x v="1226"/>
    <x v="2"/>
    <x v="4"/>
    <n v="41841"/>
    <x v="1"/>
    <x v="5"/>
    <x v="3"/>
    <n v="418.41"/>
    <n v="0"/>
    <n v="418.41"/>
    <s v="Success"/>
  </r>
  <r>
    <s v="TXN53068997"/>
    <x v="1227"/>
    <x v="7"/>
    <x v="1"/>
    <n v="129087"/>
    <x v="0"/>
    <x v="5"/>
    <x v="0"/>
    <n v="5"/>
    <n v="0"/>
    <n v="5"/>
    <s v="Success"/>
  </r>
  <r>
    <s v="TXN53717807"/>
    <x v="1228"/>
    <x v="0"/>
    <x v="0"/>
    <n v="39000"/>
    <x v="0"/>
    <x v="5"/>
    <x v="0"/>
    <n v="721.5"/>
    <n v="288.60000000000002"/>
    <n v="432.9"/>
    <s v="Success"/>
  </r>
  <r>
    <s v="TXN79007044"/>
    <x v="1229"/>
    <x v="3"/>
    <x v="0"/>
    <n v="159000"/>
    <x v="0"/>
    <x v="5"/>
    <x v="0"/>
    <n v="2941.5"/>
    <n v="1176.5999999999999"/>
    <n v="1764.9"/>
    <s v="Success"/>
  </r>
  <r>
    <s v="TXN76929751"/>
    <x v="1230"/>
    <x v="3"/>
    <x v="4"/>
    <n v="39392"/>
    <x v="0"/>
    <x v="2"/>
    <x v="2"/>
    <n v="393.92"/>
    <n v="0"/>
    <n v="393.92"/>
    <s v="Success"/>
  </r>
  <r>
    <s v="TXN31493668"/>
    <x v="1231"/>
    <x v="3"/>
    <x v="1"/>
    <n v="93327"/>
    <x v="0"/>
    <x v="4"/>
    <x v="0"/>
    <n v="5"/>
    <n v="0"/>
    <n v="5"/>
    <s v="Success"/>
  </r>
  <r>
    <s v="TXN66190590"/>
    <x v="1232"/>
    <x v="4"/>
    <x v="2"/>
    <n v="4025"/>
    <x v="0"/>
    <x v="5"/>
    <x v="0"/>
    <n v="0"/>
    <n v="0"/>
    <n v="0"/>
    <s v="Success"/>
  </r>
  <r>
    <s v="TXN88205531"/>
    <x v="1233"/>
    <x v="4"/>
    <x v="3"/>
    <n v="3041"/>
    <x v="0"/>
    <x v="5"/>
    <x v="0"/>
    <n v="0"/>
    <n v="0"/>
    <n v="0"/>
    <s v="Success"/>
  </r>
  <r>
    <s v="TXN63650904"/>
    <x v="1234"/>
    <x v="5"/>
    <x v="3"/>
    <n v="122932"/>
    <x v="0"/>
    <x v="2"/>
    <x v="0"/>
    <n v="0"/>
    <n v="0"/>
    <n v="0"/>
    <s v="Success"/>
  </r>
  <r>
    <s v="TXN56256364"/>
    <x v="1235"/>
    <x v="1"/>
    <x v="1"/>
    <n v="127347"/>
    <x v="1"/>
    <x v="2"/>
    <x v="0"/>
    <n v="5"/>
    <n v="0"/>
    <n v="5"/>
    <s v="Success"/>
  </r>
  <r>
    <s v="TXN70910951"/>
    <x v="1236"/>
    <x v="6"/>
    <x v="1"/>
    <n v="131273"/>
    <x v="1"/>
    <x v="2"/>
    <x v="0"/>
    <n v="5"/>
    <n v="0"/>
    <n v="5"/>
    <s v="Success"/>
  </r>
  <r>
    <s v="TXN76598000"/>
    <x v="1237"/>
    <x v="2"/>
    <x v="3"/>
    <n v="68944"/>
    <x v="0"/>
    <x v="6"/>
    <x v="0"/>
    <n v="0"/>
    <n v="0"/>
    <n v="0"/>
    <s v="Success"/>
  </r>
  <r>
    <s v="TXN44616557"/>
    <x v="1238"/>
    <x v="7"/>
    <x v="1"/>
    <n v="27290"/>
    <x v="1"/>
    <x v="5"/>
    <x v="0"/>
    <n v="5"/>
    <n v="0"/>
    <n v="5"/>
    <s v="Success"/>
  </r>
  <r>
    <s v="TXN63577360"/>
    <x v="1239"/>
    <x v="6"/>
    <x v="0"/>
    <n v="89500"/>
    <x v="0"/>
    <x v="5"/>
    <x v="0"/>
    <n v="1655.75"/>
    <n v="662.3"/>
    <n v="993.45"/>
    <s v="Success"/>
  </r>
  <r>
    <s v="TXN76148827"/>
    <x v="1240"/>
    <x v="3"/>
    <x v="2"/>
    <n v="3623"/>
    <x v="0"/>
    <x v="6"/>
    <x v="0"/>
    <n v="0"/>
    <n v="0"/>
    <n v="0"/>
    <s v="Success"/>
  </r>
  <r>
    <s v="TXN42124980"/>
    <x v="1241"/>
    <x v="6"/>
    <x v="3"/>
    <n v="88055"/>
    <x v="1"/>
    <x v="5"/>
    <x v="0"/>
    <n v="0"/>
    <n v="0"/>
    <n v="0"/>
    <s v="Failed"/>
  </r>
  <r>
    <s v="TXN69012094"/>
    <x v="1242"/>
    <x v="3"/>
    <x v="1"/>
    <n v="118659"/>
    <x v="0"/>
    <x v="5"/>
    <x v="0"/>
    <n v="5"/>
    <n v="0"/>
    <n v="5"/>
    <s v="Success"/>
  </r>
  <r>
    <s v="TXN79411601"/>
    <x v="1243"/>
    <x v="0"/>
    <x v="0"/>
    <n v="216000"/>
    <x v="0"/>
    <x v="1"/>
    <x v="0"/>
    <n v="3996"/>
    <n v="1598.4"/>
    <n v="2397.6"/>
    <s v="Success"/>
  </r>
  <r>
    <s v="TXN56949104"/>
    <x v="1244"/>
    <x v="5"/>
    <x v="4"/>
    <n v="78730"/>
    <x v="0"/>
    <x v="6"/>
    <x v="1"/>
    <n v="787.3"/>
    <n v="0"/>
    <n v="787.3"/>
    <s v="Success"/>
  </r>
  <r>
    <s v="TXN69037508"/>
    <x v="1245"/>
    <x v="1"/>
    <x v="1"/>
    <n v="26655"/>
    <x v="0"/>
    <x v="5"/>
    <x v="0"/>
    <n v="5"/>
    <n v="0"/>
    <n v="5"/>
    <s v="Success"/>
  </r>
  <r>
    <s v="TXN16852566"/>
    <x v="1246"/>
    <x v="3"/>
    <x v="0"/>
    <n v="130500"/>
    <x v="0"/>
    <x v="3"/>
    <x v="0"/>
    <n v="2414.25"/>
    <n v="965.7"/>
    <n v="1448.55"/>
    <s v="Failed"/>
  </r>
  <r>
    <s v="TXN68465861"/>
    <x v="1247"/>
    <x v="0"/>
    <x v="4"/>
    <n v="82241"/>
    <x v="0"/>
    <x v="4"/>
    <x v="5"/>
    <n v="822.41"/>
    <n v="0"/>
    <n v="822.41"/>
    <s v="Success"/>
  </r>
  <r>
    <s v="TXN20323330"/>
    <x v="1248"/>
    <x v="7"/>
    <x v="1"/>
    <n v="81828"/>
    <x v="0"/>
    <x v="1"/>
    <x v="0"/>
    <n v="5"/>
    <n v="0"/>
    <n v="5"/>
    <s v="Success"/>
  </r>
  <r>
    <s v="TXN97447418"/>
    <x v="1249"/>
    <x v="4"/>
    <x v="3"/>
    <n v="130797"/>
    <x v="0"/>
    <x v="6"/>
    <x v="0"/>
    <n v="0"/>
    <n v="0"/>
    <n v="0"/>
    <s v="Success"/>
  </r>
  <r>
    <s v="TXN46819146"/>
    <x v="1250"/>
    <x v="2"/>
    <x v="3"/>
    <n v="7910"/>
    <x v="0"/>
    <x v="2"/>
    <x v="0"/>
    <n v="0"/>
    <n v="0"/>
    <n v="0"/>
    <s v="Success"/>
  </r>
  <r>
    <s v="TXN62859744"/>
    <x v="1251"/>
    <x v="3"/>
    <x v="1"/>
    <n v="95113"/>
    <x v="0"/>
    <x v="5"/>
    <x v="0"/>
    <n v="5"/>
    <n v="0"/>
    <n v="5"/>
    <s v="Success"/>
  </r>
  <r>
    <s v="TXN95026382"/>
    <x v="1252"/>
    <x v="1"/>
    <x v="0"/>
    <n v="243500"/>
    <x v="0"/>
    <x v="7"/>
    <x v="0"/>
    <n v="4504.75"/>
    <n v="1801.9"/>
    <n v="2702.85"/>
    <s v="Success"/>
  </r>
  <r>
    <s v="TXN89108204"/>
    <x v="1253"/>
    <x v="7"/>
    <x v="1"/>
    <n v="33121"/>
    <x v="0"/>
    <x v="5"/>
    <x v="0"/>
    <n v="5"/>
    <n v="0"/>
    <n v="5"/>
    <s v="Success"/>
  </r>
  <r>
    <s v="TXN61987224"/>
    <x v="1254"/>
    <x v="5"/>
    <x v="3"/>
    <n v="148588"/>
    <x v="1"/>
    <x v="4"/>
    <x v="0"/>
    <n v="0"/>
    <n v="0"/>
    <n v="0"/>
    <s v="Success"/>
  </r>
  <r>
    <s v="TXN41909939"/>
    <x v="1255"/>
    <x v="6"/>
    <x v="0"/>
    <n v="51500"/>
    <x v="1"/>
    <x v="1"/>
    <x v="0"/>
    <n v="952.75"/>
    <n v="381.1"/>
    <n v="571.65"/>
    <s v="Success"/>
  </r>
  <r>
    <s v="TXN58076427"/>
    <x v="1256"/>
    <x v="0"/>
    <x v="2"/>
    <n v="1879"/>
    <x v="0"/>
    <x v="6"/>
    <x v="0"/>
    <n v="0"/>
    <n v="0"/>
    <n v="0"/>
    <s v="Success"/>
  </r>
  <r>
    <s v="TXN86070495"/>
    <x v="1257"/>
    <x v="1"/>
    <x v="1"/>
    <n v="29009"/>
    <x v="0"/>
    <x v="4"/>
    <x v="0"/>
    <n v="5"/>
    <n v="0"/>
    <n v="5"/>
    <s v="Success"/>
  </r>
  <r>
    <s v="TXN39838332"/>
    <x v="1258"/>
    <x v="1"/>
    <x v="3"/>
    <n v="112346"/>
    <x v="0"/>
    <x v="3"/>
    <x v="0"/>
    <n v="0"/>
    <n v="0"/>
    <n v="0"/>
    <s v="Success"/>
  </r>
  <r>
    <s v="TXN74027726"/>
    <x v="1259"/>
    <x v="4"/>
    <x v="3"/>
    <n v="15865"/>
    <x v="0"/>
    <x v="5"/>
    <x v="0"/>
    <n v="0"/>
    <n v="0"/>
    <n v="0"/>
    <s v="Success"/>
  </r>
  <r>
    <s v="TXN83141171"/>
    <x v="1260"/>
    <x v="2"/>
    <x v="0"/>
    <n v="13000"/>
    <x v="0"/>
    <x v="6"/>
    <x v="0"/>
    <n v="240.5"/>
    <n v="96.2"/>
    <n v="144.30000000000001"/>
    <s v="Success"/>
  </r>
  <r>
    <s v="TXN38695657"/>
    <x v="1261"/>
    <x v="0"/>
    <x v="2"/>
    <n v="2114"/>
    <x v="0"/>
    <x v="4"/>
    <x v="0"/>
    <n v="0"/>
    <n v="0"/>
    <n v="0"/>
    <s v="Success"/>
  </r>
  <r>
    <s v="TXN31093772"/>
    <x v="1262"/>
    <x v="6"/>
    <x v="3"/>
    <n v="35916"/>
    <x v="0"/>
    <x v="5"/>
    <x v="0"/>
    <n v="0"/>
    <n v="0"/>
    <n v="0"/>
    <s v="Success"/>
  </r>
  <r>
    <s v="TXN72603007"/>
    <x v="1263"/>
    <x v="3"/>
    <x v="2"/>
    <n v="485"/>
    <x v="1"/>
    <x v="5"/>
    <x v="0"/>
    <n v="0"/>
    <n v="0"/>
    <n v="0"/>
    <s v="Success"/>
  </r>
  <r>
    <s v="TXN20185008"/>
    <x v="1264"/>
    <x v="3"/>
    <x v="1"/>
    <n v="117506"/>
    <x v="0"/>
    <x v="5"/>
    <x v="0"/>
    <n v="5"/>
    <n v="0"/>
    <n v="5"/>
    <s v="Success"/>
  </r>
  <r>
    <s v="TXN26683659"/>
    <x v="1265"/>
    <x v="2"/>
    <x v="1"/>
    <n v="33364"/>
    <x v="0"/>
    <x v="1"/>
    <x v="0"/>
    <n v="5"/>
    <n v="0"/>
    <n v="5"/>
    <s v="Success"/>
  </r>
  <r>
    <s v="TXN82402276"/>
    <x v="1266"/>
    <x v="2"/>
    <x v="4"/>
    <n v="135390"/>
    <x v="0"/>
    <x v="1"/>
    <x v="2"/>
    <n v="1353.9"/>
    <n v="0"/>
    <n v="1353.9"/>
    <s v="Success"/>
  </r>
  <r>
    <s v="TXN90372646"/>
    <x v="1267"/>
    <x v="5"/>
    <x v="3"/>
    <n v="103592"/>
    <x v="0"/>
    <x v="6"/>
    <x v="0"/>
    <n v="0"/>
    <n v="0"/>
    <n v="0"/>
    <s v="Success"/>
  </r>
  <r>
    <s v="TXN28729201"/>
    <x v="1268"/>
    <x v="6"/>
    <x v="3"/>
    <n v="37159"/>
    <x v="2"/>
    <x v="2"/>
    <x v="0"/>
    <n v="0"/>
    <n v="0"/>
    <n v="0"/>
    <s v="Success"/>
  </r>
  <r>
    <s v="TXN60297319"/>
    <x v="1269"/>
    <x v="2"/>
    <x v="1"/>
    <n v="97971"/>
    <x v="0"/>
    <x v="0"/>
    <x v="0"/>
    <n v="5"/>
    <n v="0"/>
    <n v="5"/>
    <s v="Success"/>
  </r>
  <r>
    <s v="TXN34041753"/>
    <x v="1270"/>
    <x v="2"/>
    <x v="3"/>
    <n v="109155"/>
    <x v="0"/>
    <x v="5"/>
    <x v="0"/>
    <n v="0"/>
    <n v="0"/>
    <n v="0"/>
    <s v="Success"/>
  </r>
  <r>
    <s v="TXN52036116"/>
    <x v="1271"/>
    <x v="6"/>
    <x v="0"/>
    <n v="210000"/>
    <x v="0"/>
    <x v="8"/>
    <x v="0"/>
    <n v="3885"/>
    <n v="1554"/>
    <n v="2331"/>
    <s v="Success"/>
  </r>
  <r>
    <s v="TXN49053982"/>
    <x v="1272"/>
    <x v="6"/>
    <x v="0"/>
    <n v="95500"/>
    <x v="0"/>
    <x v="3"/>
    <x v="0"/>
    <n v="1766.75"/>
    <n v="706.7"/>
    <n v="1060.05"/>
    <s v="Success"/>
  </r>
  <r>
    <s v="TXN11790551"/>
    <x v="1273"/>
    <x v="0"/>
    <x v="0"/>
    <n v="159500"/>
    <x v="0"/>
    <x v="0"/>
    <x v="0"/>
    <n v="2950.75"/>
    <n v="1180.3"/>
    <n v="1770.45"/>
    <s v="Success"/>
  </r>
  <r>
    <s v="TXN79398220"/>
    <x v="1274"/>
    <x v="3"/>
    <x v="2"/>
    <n v="3002"/>
    <x v="0"/>
    <x v="5"/>
    <x v="0"/>
    <n v="0"/>
    <n v="0"/>
    <n v="0"/>
    <s v="Success"/>
  </r>
  <r>
    <s v="TXN57444305"/>
    <x v="1275"/>
    <x v="0"/>
    <x v="0"/>
    <n v="67000"/>
    <x v="0"/>
    <x v="2"/>
    <x v="0"/>
    <n v="1239.5"/>
    <n v="495.8"/>
    <n v="743.7"/>
    <s v="Success"/>
  </r>
  <r>
    <s v="TXN79326019"/>
    <x v="1276"/>
    <x v="2"/>
    <x v="2"/>
    <n v="215"/>
    <x v="0"/>
    <x v="2"/>
    <x v="0"/>
    <n v="0"/>
    <n v="0"/>
    <n v="0"/>
    <s v="Success"/>
  </r>
  <r>
    <s v="TXN68106740"/>
    <x v="1277"/>
    <x v="6"/>
    <x v="1"/>
    <n v="98819"/>
    <x v="1"/>
    <x v="4"/>
    <x v="0"/>
    <n v="5"/>
    <n v="0"/>
    <n v="5"/>
    <s v="Success"/>
  </r>
  <r>
    <s v="TXN24202531"/>
    <x v="1278"/>
    <x v="7"/>
    <x v="3"/>
    <n v="67482"/>
    <x v="0"/>
    <x v="8"/>
    <x v="0"/>
    <n v="0"/>
    <n v="0"/>
    <n v="0"/>
    <s v="Success"/>
  </r>
  <r>
    <s v="TXN88619362"/>
    <x v="1279"/>
    <x v="2"/>
    <x v="3"/>
    <n v="2687"/>
    <x v="0"/>
    <x v="2"/>
    <x v="0"/>
    <n v="0"/>
    <n v="0"/>
    <n v="0"/>
    <s v="Success"/>
  </r>
  <r>
    <s v="TXN38910988"/>
    <x v="1280"/>
    <x v="2"/>
    <x v="4"/>
    <n v="35777"/>
    <x v="1"/>
    <x v="5"/>
    <x v="4"/>
    <n v="357.77"/>
    <n v="0"/>
    <n v="357.77"/>
    <s v="Success"/>
  </r>
  <r>
    <s v="TXN45050534"/>
    <x v="1281"/>
    <x v="4"/>
    <x v="4"/>
    <n v="100239"/>
    <x v="0"/>
    <x v="4"/>
    <x v="3"/>
    <n v="1002.39"/>
    <n v="0"/>
    <n v="1002.39"/>
    <s v="Success"/>
  </r>
  <r>
    <s v="TXN67017281"/>
    <x v="1282"/>
    <x v="5"/>
    <x v="1"/>
    <n v="54707"/>
    <x v="0"/>
    <x v="4"/>
    <x v="0"/>
    <n v="5"/>
    <n v="0"/>
    <n v="5"/>
    <s v="Success"/>
  </r>
  <r>
    <s v="TXN26433897"/>
    <x v="1283"/>
    <x v="3"/>
    <x v="0"/>
    <n v="227500"/>
    <x v="0"/>
    <x v="0"/>
    <x v="0"/>
    <n v="4208.75"/>
    <n v="1683.5"/>
    <n v="2525.25"/>
    <s v="Success"/>
  </r>
  <r>
    <s v="TXN12693699"/>
    <x v="1284"/>
    <x v="3"/>
    <x v="3"/>
    <n v="23992"/>
    <x v="0"/>
    <x v="7"/>
    <x v="0"/>
    <n v="0"/>
    <n v="0"/>
    <n v="0"/>
    <s v="Success"/>
  </r>
  <r>
    <s v="TXN90140665"/>
    <x v="1285"/>
    <x v="6"/>
    <x v="2"/>
    <n v="139"/>
    <x v="1"/>
    <x v="5"/>
    <x v="0"/>
    <n v="0"/>
    <n v="0"/>
    <n v="0"/>
    <s v="Success"/>
  </r>
  <r>
    <s v="TXN39550240"/>
    <x v="1286"/>
    <x v="1"/>
    <x v="4"/>
    <n v="70996"/>
    <x v="0"/>
    <x v="8"/>
    <x v="1"/>
    <n v="709.96"/>
    <n v="0"/>
    <n v="709.96"/>
    <s v="Failed"/>
  </r>
  <r>
    <s v="TXN42353268"/>
    <x v="1287"/>
    <x v="1"/>
    <x v="3"/>
    <n v="37646"/>
    <x v="0"/>
    <x v="5"/>
    <x v="0"/>
    <n v="0"/>
    <n v="0"/>
    <n v="0"/>
    <s v="Success"/>
  </r>
  <r>
    <s v="TXN16817204"/>
    <x v="1288"/>
    <x v="2"/>
    <x v="0"/>
    <n v="141500"/>
    <x v="0"/>
    <x v="7"/>
    <x v="0"/>
    <n v="2617.75"/>
    <n v="1047.0999999999999"/>
    <n v="1570.65"/>
    <s v="Success"/>
  </r>
  <r>
    <s v="TXN87693862"/>
    <x v="1289"/>
    <x v="2"/>
    <x v="1"/>
    <n v="20204"/>
    <x v="0"/>
    <x v="5"/>
    <x v="0"/>
    <n v="5"/>
    <n v="0"/>
    <n v="5"/>
    <s v="Success"/>
  </r>
  <r>
    <s v="TXN47250749"/>
    <x v="1290"/>
    <x v="3"/>
    <x v="4"/>
    <n v="69884"/>
    <x v="0"/>
    <x v="2"/>
    <x v="3"/>
    <n v="698.84"/>
    <n v="0"/>
    <n v="698.84"/>
    <s v="Success"/>
  </r>
  <r>
    <s v="TXN92546700"/>
    <x v="1291"/>
    <x v="2"/>
    <x v="4"/>
    <n v="42666"/>
    <x v="2"/>
    <x v="4"/>
    <x v="2"/>
    <n v="426.66"/>
    <n v="0"/>
    <n v="426.66"/>
    <s v="Success"/>
  </r>
  <r>
    <s v="TXN69516421"/>
    <x v="1292"/>
    <x v="7"/>
    <x v="0"/>
    <n v="30000"/>
    <x v="0"/>
    <x v="1"/>
    <x v="0"/>
    <n v="555"/>
    <n v="222"/>
    <n v="333"/>
    <s v="Success"/>
  </r>
  <r>
    <s v="TXN87564946"/>
    <x v="1293"/>
    <x v="6"/>
    <x v="1"/>
    <n v="14080"/>
    <x v="0"/>
    <x v="4"/>
    <x v="0"/>
    <n v="5"/>
    <n v="0"/>
    <n v="5"/>
    <s v="Success"/>
  </r>
  <r>
    <s v="TXN90342736"/>
    <x v="1294"/>
    <x v="4"/>
    <x v="0"/>
    <n v="85500"/>
    <x v="0"/>
    <x v="7"/>
    <x v="0"/>
    <n v="1581.75"/>
    <n v="632.70000000000005"/>
    <n v="949.05"/>
    <s v="Success"/>
  </r>
  <r>
    <s v="TXN32585078"/>
    <x v="1295"/>
    <x v="7"/>
    <x v="4"/>
    <n v="67937"/>
    <x v="0"/>
    <x v="5"/>
    <x v="3"/>
    <n v="679.37"/>
    <n v="0"/>
    <n v="679.37"/>
    <s v="Success"/>
  </r>
  <r>
    <s v="TXN81506648"/>
    <x v="1296"/>
    <x v="5"/>
    <x v="1"/>
    <n v="64865"/>
    <x v="0"/>
    <x v="0"/>
    <x v="0"/>
    <n v="5"/>
    <n v="0"/>
    <n v="5"/>
    <s v="Success"/>
  </r>
  <r>
    <s v="TXN76154856"/>
    <x v="1297"/>
    <x v="0"/>
    <x v="2"/>
    <n v="260"/>
    <x v="0"/>
    <x v="6"/>
    <x v="0"/>
    <n v="0"/>
    <n v="0"/>
    <n v="0"/>
    <s v="Success"/>
  </r>
  <r>
    <s v="TXN72185051"/>
    <x v="1298"/>
    <x v="6"/>
    <x v="2"/>
    <n v="108"/>
    <x v="0"/>
    <x v="5"/>
    <x v="0"/>
    <n v="0"/>
    <n v="0"/>
    <n v="0"/>
    <s v="Success"/>
  </r>
  <r>
    <s v="TXN18359783"/>
    <x v="1299"/>
    <x v="5"/>
    <x v="1"/>
    <n v="88764"/>
    <x v="0"/>
    <x v="1"/>
    <x v="0"/>
    <n v="5"/>
    <n v="0"/>
    <n v="5"/>
    <s v="Success"/>
  </r>
  <r>
    <s v="TXN48083609"/>
    <x v="1300"/>
    <x v="7"/>
    <x v="3"/>
    <n v="138691"/>
    <x v="0"/>
    <x v="8"/>
    <x v="0"/>
    <n v="0"/>
    <n v="0"/>
    <n v="0"/>
    <s v="Success"/>
  </r>
  <r>
    <s v="TXN44383325"/>
    <x v="1301"/>
    <x v="5"/>
    <x v="4"/>
    <n v="12510"/>
    <x v="2"/>
    <x v="0"/>
    <x v="2"/>
    <n v="125.1"/>
    <n v="0"/>
    <n v="125.1"/>
    <s v="Success"/>
  </r>
  <r>
    <s v="TXN34298718"/>
    <x v="1302"/>
    <x v="1"/>
    <x v="0"/>
    <n v="185000"/>
    <x v="0"/>
    <x v="0"/>
    <x v="0"/>
    <n v="3422.5"/>
    <n v="1369"/>
    <n v="2053.5"/>
    <s v="Success"/>
  </r>
  <r>
    <s v="TXN80928320"/>
    <x v="1303"/>
    <x v="1"/>
    <x v="1"/>
    <n v="96385"/>
    <x v="0"/>
    <x v="5"/>
    <x v="0"/>
    <n v="5"/>
    <n v="0"/>
    <n v="5"/>
    <s v="Success"/>
  </r>
  <r>
    <s v="TXN46384281"/>
    <x v="1304"/>
    <x v="5"/>
    <x v="0"/>
    <n v="169000"/>
    <x v="0"/>
    <x v="5"/>
    <x v="0"/>
    <n v="3126.5"/>
    <n v="1250.5999999999999"/>
    <n v="1875.9"/>
    <s v="Success"/>
  </r>
  <r>
    <s v="TXN34815695"/>
    <x v="1305"/>
    <x v="2"/>
    <x v="3"/>
    <n v="32601"/>
    <x v="0"/>
    <x v="2"/>
    <x v="0"/>
    <n v="0"/>
    <n v="0"/>
    <n v="0"/>
    <s v="Success"/>
  </r>
  <r>
    <s v="TXN40223281"/>
    <x v="1306"/>
    <x v="7"/>
    <x v="0"/>
    <n v="242000"/>
    <x v="0"/>
    <x v="1"/>
    <x v="0"/>
    <n v="4477"/>
    <n v="1790.8"/>
    <n v="2686.2"/>
    <s v="Success"/>
  </r>
  <r>
    <s v="TXN77997547"/>
    <x v="1307"/>
    <x v="1"/>
    <x v="4"/>
    <n v="69851"/>
    <x v="1"/>
    <x v="5"/>
    <x v="5"/>
    <n v="698.51"/>
    <n v="0"/>
    <n v="698.51"/>
    <s v="Success"/>
  </r>
  <r>
    <s v="TXN22705949"/>
    <x v="1308"/>
    <x v="3"/>
    <x v="4"/>
    <n v="126336"/>
    <x v="0"/>
    <x v="4"/>
    <x v="1"/>
    <n v="1263.3599999999999"/>
    <n v="0"/>
    <n v="1263.3599999999999"/>
    <s v="Success"/>
  </r>
  <r>
    <s v="TXN31968547"/>
    <x v="1309"/>
    <x v="0"/>
    <x v="0"/>
    <n v="236500"/>
    <x v="0"/>
    <x v="0"/>
    <x v="0"/>
    <n v="4375.25"/>
    <n v="1750.1"/>
    <n v="2625.15"/>
    <s v="Success"/>
  </r>
  <r>
    <s v="TXN80455236"/>
    <x v="1310"/>
    <x v="4"/>
    <x v="2"/>
    <n v="1051"/>
    <x v="0"/>
    <x v="4"/>
    <x v="0"/>
    <n v="0"/>
    <n v="0"/>
    <n v="0"/>
    <s v="Success"/>
  </r>
  <r>
    <s v="TXN37464744"/>
    <x v="1311"/>
    <x v="1"/>
    <x v="2"/>
    <n v="1929"/>
    <x v="0"/>
    <x v="2"/>
    <x v="0"/>
    <n v="0"/>
    <n v="0"/>
    <n v="0"/>
    <s v="Success"/>
  </r>
  <r>
    <s v="TXN28401335"/>
    <x v="1312"/>
    <x v="0"/>
    <x v="4"/>
    <n v="85474"/>
    <x v="0"/>
    <x v="0"/>
    <x v="3"/>
    <n v="854.74"/>
    <n v="0"/>
    <n v="854.74"/>
    <s v="Success"/>
  </r>
  <r>
    <s v="TXN26064789"/>
    <x v="1313"/>
    <x v="7"/>
    <x v="0"/>
    <n v="211000"/>
    <x v="0"/>
    <x v="5"/>
    <x v="0"/>
    <n v="3903.5"/>
    <n v="1561.4"/>
    <n v="2342.1"/>
    <s v="Success"/>
  </r>
  <r>
    <s v="TXN33611957"/>
    <x v="1314"/>
    <x v="3"/>
    <x v="0"/>
    <n v="37500"/>
    <x v="0"/>
    <x v="5"/>
    <x v="0"/>
    <n v="693.75"/>
    <n v="277.5"/>
    <n v="416.25"/>
    <s v="Success"/>
  </r>
  <r>
    <s v="TXN88935377"/>
    <x v="1315"/>
    <x v="5"/>
    <x v="0"/>
    <n v="208000"/>
    <x v="0"/>
    <x v="6"/>
    <x v="0"/>
    <n v="3848"/>
    <n v="1539.2"/>
    <n v="2308.8000000000002"/>
    <s v="Success"/>
  </r>
  <r>
    <s v="TXN31348879"/>
    <x v="1316"/>
    <x v="1"/>
    <x v="2"/>
    <n v="2556"/>
    <x v="1"/>
    <x v="3"/>
    <x v="0"/>
    <n v="0"/>
    <n v="0"/>
    <n v="0"/>
    <s v="Success"/>
  </r>
  <r>
    <s v="TXN66478544"/>
    <x v="1317"/>
    <x v="4"/>
    <x v="1"/>
    <n v="100095"/>
    <x v="2"/>
    <x v="7"/>
    <x v="0"/>
    <n v="5"/>
    <n v="0"/>
    <n v="5"/>
    <s v="Success"/>
  </r>
  <r>
    <s v="TXN97364798"/>
    <x v="1318"/>
    <x v="3"/>
    <x v="0"/>
    <n v="189000"/>
    <x v="0"/>
    <x v="5"/>
    <x v="0"/>
    <n v="3496.5"/>
    <n v="1398.6"/>
    <n v="2097.9"/>
    <s v="Success"/>
  </r>
  <r>
    <s v="TXN95932135"/>
    <x v="1319"/>
    <x v="5"/>
    <x v="1"/>
    <n v="50362"/>
    <x v="0"/>
    <x v="5"/>
    <x v="0"/>
    <n v="5"/>
    <n v="0"/>
    <n v="5"/>
    <s v="Success"/>
  </r>
  <r>
    <s v="TXN42488869"/>
    <x v="1320"/>
    <x v="6"/>
    <x v="1"/>
    <n v="117383"/>
    <x v="0"/>
    <x v="2"/>
    <x v="0"/>
    <n v="5"/>
    <n v="0"/>
    <n v="5"/>
    <s v="Success"/>
  </r>
  <r>
    <s v="TXN78858821"/>
    <x v="1321"/>
    <x v="5"/>
    <x v="1"/>
    <n v="89633"/>
    <x v="0"/>
    <x v="1"/>
    <x v="0"/>
    <n v="5"/>
    <n v="0"/>
    <n v="5"/>
    <s v="Success"/>
  </r>
  <r>
    <s v="TXN16186147"/>
    <x v="1322"/>
    <x v="4"/>
    <x v="4"/>
    <n v="67418"/>
    <x v="2"/>
    <x v="5"/>
    <x v="2"/>
    <n v="674.18"/>
    <n v="0"/>
    <n v="674.18"/>
    <s v="Success"/>
  </r>
  <r>
    <s v="TXN68302898"/>
    <x v="1323"/>
    <x v="1"/>
    <x v="0"/>
    <n v="123000"/>
    <x v="0"/>
    <x v="0"/>
    <x v="0"/>
    <n v="2275.5"/>
    <n v="910.2"/>
    <n v="1365.3"/>
    <s v="Success"/>
  </r>
  <r>
    <s v="TXN28308671"/>
    <x v="1324"/>
    <x v="7"/>
    <x v="1"/>
    <n v="47102"/>
    <x v="0"/>
    <x v="5"/>
    <x v="0"/>
    <n v="5"/>
    <n v="0"/>
    <n v="5"/>
    <s v="Success"/>
  </r>
  <r>
    <s v="TXN60188838"/>
    <x v="1325"/>
    <x v="5"/>
    <x v="1"/>
    <n v="18200"/>
    <x v="1"/>
    <x v="1"/>
    <x v="0"/>
    <n v="5"/>
    <n v="0"/>
    <n v="5"/>
    <s v="Success"/>
  </r>
  <r>
    <s v="TXN48493585"/>
    <x v="1326"/>
    <x v="7"/>
    <x v="3"/>
    <n v="88666"/>
    <x v="0"/>
    <x v="5"/>
    <x v="0"/>
    <n v="0"/>
    <n v="0"/>
    <n v="0"/>
    <s v="Success"/>
  </r>
  <r>
    <s v="TXN78829933"/>
    <x v="1327"/>
    <x v="6"/>
    <x v="1"/>
    <n v="7741"/>
    <x v="0"/>
    <x v="7"/>
    <x v="0"/>
    <n v="5"/>
    <n v="0"/>
    <n v="5"/>
    <s v="Success"/>
  </r>
  <r>
    <s v="TXN15769194"/>
    <x v="1328"/>
    <x v="4"/>
    <x v="3"/>
    <n v="65749"/>
    <x v="0"/>
    <x v="5"/>
    <x v="0"/>
    <n v="0"/>
    <n v="0"/>
    <n v="0"/>
    <s v="Success"/>
  </r>
  <r>
    <s v="TXN14898320"/>
    <x v="1329"/>
    <x v="0"/>
    <x v="2"/>
    <n v="2325"/>
    <x v="2"/>
    <x v="5"/>
    <x v="0"/>
    <n v="0"/>
    <n v="0"/>
    <n v="0"/>
    <s v="Success"/>
  </r>
  <r>
    <s v="TXN40257063"/>
    <x v="1330"/>
    <x v="4"/>
    <x v="3"/>
    <n v="63733"/>
    <x v="0"/>
    <x v="1"/>
    <x v="0"/>
    <n v="0"/>
    <n v="0"/>
    <n v="0"/>
    <s v="Success"/>
  </r>
  <r>
    <s v="TXN95470296"/>
    <x v="1331"/>
    <x v="1"/>
    <x v="2"/>
    <n v="628"/>
    <x v="0"/>
    <x v="6"/>
    <x v="0"/>
    <n v="0"/>
    <n v="0"/>
    <n v="0"/>
    <s v="Success"/>
  </r>
  <r>
    <s v="TXN42384919"/>
    <x v="1332"/>
    <x v="3"/>
    <x v="3"/>
    <n v="64536"/>
    <x v="2"/>
    <x v="3"/>
    <x v="0"/>
    <n v="0"/>
    <n v="0"/>
    <n v="0"/>
    <s v="Success"/>
  </r>
  <r>
    <s v="TXN33604308"/>
    <x v="1333"/>
    <x v="2"/>
    <x v="3"/>
    <n v="30813"/>
    <x v="0"/>
    <x v="7"/>
    <x v="0"/>
    <n v="0"/>
    <n v="0"/>
    <n v="0"/>
    <s v="Success"/>
  </r>
  <r>
    <s v="TXN36624936"/>
    <x v="1334"/>
    <x v="3"/>
    <x v="1"/>
    <n v="111062"/>
    <x v="0"/>
    <x v="4"/>
    <x v="0"/>
    <n v="5"/>
    <n v="0"/>
    <n v="5"/>
    <s v="Success"/>
  </r>
  <r>
    <s v="TXN11852375"/>
    <x v="1335"/>
    <x v="1"/>
    <x v="0"/>
    <n v="187500"/>
    <x v="0"/>
    <x v="7"/>
    <x v="0"/>
    <n v="3468.75"/>
    <n v="1387.5"/>
    <n v="2081.25"/>
    <s v="Success"/>
  </r>
  <r>
    <s v="TXN94841262"/>
    <x v="1336"/>
    <x v="1"/>
    <x v="4"/>
    <n v="49712"/>
    <x v="0"/>
    <x v="5"/>
    <x v="2"/>
    <n v="497.12"/>
    <n v="0"/>
    <n v="497.12"/>
    <s v="Success"/>
  </r>
  <r>
    <s v="TXN36014742"/>
    <x v="1337"/>
    <x v="4"/>
    <x v="1"/>
    <n v="72917"/>
    <x v="0"/>
    <x v="5"/>
    <x v="0"/>
    <n v="5"/>
    <n v="0"/>
    <n v="5"/>
    <s v="Success"/>
  </r>
  <r>
    <s v="TXN46751914"/>
    <x v="1338"/>
    <x v="5"/>
    <x v="1"/>
    <n v="135609"/>
    <x v="2"/>
    <x v="5"/>
    <x v="0"/>
    <n v="5"/>
    <n v="0"/>
    <n v="5"/>
    <s v="Success"/>
  </r>
  <r>
    <s v="TXN77832313"/>
    <x v="1339"/>
    <x v="0"/>
    <x v="1"/>
    <n v="110110"/>
    <x v="1"/>
    <x v="6"/>
    <x v="0"/>
    <n v="5"/>
    <n v="0"/>
    <n v="5"/>
    <s v="Success"/>
  </r>
  <r>
    <s v="TXN32266527"/>
    <x v="1340"/>
    <x v="1"/>
    <x v="1"/>
    <n v="48585"/>
    <x v="0"/>
    <x v="1"/>
    <x v="0"/>
    <n v="5"/>
    <n v="0"/>
    <n v="5"/>
    <s v="Success"/>
  </r>
  <r>
    <s v="TXN64892408"/>
    <x v="1341"/>
    <x v="5"/>
    <x v="1"/>
    <n v="17369"/>
    <x v="0"/>
    <x v="3"/>
    <x v="0"/>
    <n v="5"/>
    <n v="0"/>
    <n v="5"/>
    <s v="Success"/>
  </r>
  <r>
    <s v="TXN83189170"/>
    <x v="1342"/>
    <x v="6"/>
    <x v="1"/>
    <n v="100074"/>
    <x v="0"/>
    <x v="7"/>
    <x v="0"/>
    <n v="5"/>
    <n v="0"/>
    <n v="5"/>
    <s v="Success"/>
  </r>
  <r>
    <s v="TXN85423704"/>
    <x v="1343"/>
    <x v="6"/>
    <x v="1"/>
    <n v="94136"/>
    <x v="1"/>
    <x v="6"/>
    <x v="0"/>
    <n v="5"/>
    <n v="0"/>
    <n v="5"/>
    <s v="Success"/>
  </r>
  <r>
    <s v="TXN49012956"/>
    <x v="1344"/>
    <x v="2"/>
    <x v="1"/>
    <n v="20362"/>
    <x v="0"/>
    <x v="3"/>
    <x v="0"/>
    <n v="5"/>
    <n v="0"/>
    <n v="5"/>
    <s v="Success"/>
  </r>
  <r>
    <s v="TXN16028441"/>
    <x v="1345"/>
    <x v="0"/>
    <x v="4"/>
    <n v="56517"/>
    <x v="0"/>
    <x v="8"/>
    <x v="1"/>
    <n v="565.16999999999996"/>
    <n v="0"/>
    <n v="565.16999999999996"/>
    <s v="Success"/>
  </r>
  <r>
    <s v="TXN25977757"/>
    <x v="1346"/>
    <x v="7"/>
    <x v="1"/>
    <n v="125070"/>
    <x v="1"/>
    <x v="1"/>
    <x v="0"/>
    <n v="5"/>
    <n v="0"/>
    <n v="5"/>
    <s v="Success"/>
  </r>
  <r>
    <s v="TXN55711076"/>
    <x v="1347"/>
    <x v="3"/>
    <x v="1"/>
    <n v="80944"/>
    <x v="0"/>
    <x v="2"/>
    <x v="0"/>
    <n v="5"/>
    <n v="0"/>
    <n v="5"/>
    <s v="Success"/>
  </r>
  <r>
    <s v="TXN38708164"/>
    <x v="1348"/>
    <x v="5"/>
    <x v="3"/>
    <n v="13032"/>
    <x v="0"/>
    <x v="5"/>
    <x v="0"/>
    <n v="0"/>
    <n v="0"/>
    <n v="0"/>
    <s v="Success"/>
  </r>
  <r>
    <s v="TXN32261407"/>
    <x v="1349"/>
    <x v="7"/>
    <x v="4"/>
    <n v="97865"/>
    <x v="0"/>
    <x v="4"/>
    <x v="3"/>
    <n v="978.65"/>
    <n v="0"/>
    <n v="978.65"/>
    <s v="Success"/>
  </r>
  <r>
    <s v="TXN68631981"/>
    <x v="1350"/>
    <x v="7"/>
    <x v="0"/>
    <n v="220000"/>
    <x v="0"/>
    <x v="8"/>
    <x v="0"/>
    <n v="4070"/>
    <n v="1628"/>
    <n v="2442"/>
    <s v="Success"/>
  </r>
  <r>
    <s v="TXN45705177"/>
    <x v="1351"/>
    <x v="0"/>
    <x v="4"/>
    <n v="134113"/>
    <x v="0"/>
    <x v="5"/>
    <x v="4"/>
    <n v="1341.13"/>
    <n v="0"/>
    <n v="1341.13"/>
    <s v="Success"/>
  </r>
  <r>
    <s v="TXN51944958"/>
    <x v="1352"/>
    <x v="1"/>
    <x v="3"/>
    <n v="111351"/>
    <x v="0"/>
    <x v="7"/>
    <x v="0"/>
    <n v="0"/>
    <n v="0"/>
    <n v="0"/>
    <s v="Success"/>
  </r>
  <r>
    <s v="TXN34152370"/>
    <x v="1353"/>
    <x v="2"/>
    <x v="0"/>
    <n v="114000"/>
    <x v="0"/>
    <x v="2"/>
    <x v="0"/>
    <n v="2109"/>
    <n v="843.6"/>
    <n v="1265.4000000000001"/>
    <s v="Success"/>
  </r>
  <r>
    <s v="TXN38567145"/>
    <x v="1354"/>
    <x v="5"/>
    <x v="2"/>
    <n v="937"/>
    <x v="0"/>
    <x v="3"/>
    <x v="0"/>
    <n v="0"/>
    <n v="0"/>
    <n v="0"/>
    <s v="Success"/>
  </r>
  <r>
    <s v="TXN33156862"/>
    <x v="1355"/>
    <x v="0"/>
    <x v="4"/>
    <n v="36836"/>
    <x v="0"/>
    <x v="0"/>
    <x v="5"/>
    <n v="368.36"/>
    <n v="0"/>
    <n v="368.36"/>
    <s v="Success"/>
  </r>
  <r>
    <s v="TXN17649558"/>
    <x v="1356"/>
    <x v="7"/>
    <x v="3"/>
    <n v="110545"/>
    <x v="0"/>
    <x v="4"/>
    <x v="0"/>
    <n v="0"/>
    <n v="0"/>
    <n v="0"/>
    <s v="Success"/>
  </r>
  <r>
    <s v="TXN16350671"/>
    <x v="1357"/>
    <x v="0"/>
    <x v="4"/>
    <n v="107715"/>
    <x v="0"/>
    <x v="6"/>
    <x v="4"/>
    <n v="1077.1500000000001"/>
    <n v="0"/>
    <n v="1077.1500000000001"/>
    <s v="Success"/>
  </r>
  <r>
    <s v="TXN55310939"/>
    <x v="1358"/>
    <x v="5"/>
    <x v="4"/>
    <n v="117297"/>
    <x v="1"/>
    <x v="4"/>
    <x v="5"/>
    <n v="1172.97"/>
    <n v="0"/>
    <n v="1172.97"/>
    <s v="Success"/>
  </r>
  <r>
    <s v="TXN48420060"/>
    <x v="1359"/>
    <x v="3"/>
    <x v="4"/>
    <n v="101359"/>
    <x v="0"/>
    <x v="7"/>
    <x v="5"/>
    <n v="1013.59"/>
    <n v="0"/>
    <n v="1013.59"/>
    <s v="Success"/>
  </r>
  <r>
    <s v="TXN60701680"/>
    <x v="1360"/>
    <x v="4"/>
    <x v="4"/>
    <n v="92809"/>
    <x v="0"/>
    <x v="3"/>
    <x v="2"/>
    <n v="928.09"/>
    <n v="0"/>
    <n v="928.09"/>
    <s v="Success"/>
  </r>
  <r>
    <s v="TXN78333732"/>
    <x v="1361"/>
    <x v="5"/>
    <x v="4"/>
    <n v="69829"/>
    <x v="0"/>
    <x v="4"/>
    <x v="1"/>
    <n v="698.29"/>
    <n v="0"/>
    <n v="698.29"/>
    <s v="Success"/>
  </r>
  <r>
    <s v="TXN81338920"/>
    <x v="1362"/>
    <x v="7"/>
    <x v="4"/>
    <n v="118614"/>
    <x v="0"/>
    <x v="3"/>
    <x v="4"/>
    <n v="1186.1400000000001"/>
    <n v="0"/>
    <n v="1186.1400000000001"/>
    <s v="Failed"/>
  </r>
  <r>
    <s v="TXN35306915"/>
    <x v="1363"/>
    <x v="3"/>
    <x v="3"/>
    <n v="31854"/>
    <x v="1"/>
    <x v="4"/>
    <x v="0"/>
    <n v="0"/>
    <n v="0"/>
    <n v="0"/>
    <s v="Success"/>
  </r>
  <r>
    <s v="TXN70955737"/>
    <x v="1364"/>
    <x v="4"/>
    <x v="1"/>
    <n v="63444"/>
    <x v="0"/>
    <x v="8"/>
    <x v="0"/>
    <n v="5"/>
    <n v="0"/>
    <n v="5"/>
    <s v="Success"/>
  </r>
  <r>
    <s v="TXN89213829"/>
    <x v="1365"/>
    <x v="2"/>
    <x v="1"/>
    <n v="83924"/>
    <x v="0"/>
    <x v="7"/>
    <x v="0"/>
    <n v="5"/>
    <n v="0"/>
    <n v="5"/>
    <s v="Success"/>
  </r>
  <r>
    <s v="TXN79153932"/>
    <x v="1366"/>
    <x v="4"/>
    <x v="2"/>
    <n v="2930"/>
    <x v="0"/>
    <x v="8"/>
    <x v="0"/>
    <n v="0"/>
    <n v="0"/>
    <n v="0"/>
    <s v="Success"/>
  </r>
  <r>
    <s v="TXN28964786"/>
    <x v="1367"/>
    <x v="2"/>
    <x v="4"/>
    <n v="50585"/>
    <x v="0"/>
    <x v="5"/>
    <x v="5"/>
    <n v="505.85"/>
    <n v="0"/>
    <n v="505.85"/>
    <s v="Failed"/>
  </r>
  <r>
    <s v="TXN88711590"/>
    <x v="1368"/>
    <x v="5"/>
    <x v="2"/>
    <n v="4818"/>
    <x v="1"/>
    <x v="8"/>
    <x v="0"/>
    <n v="0"/>
    <n v="0"/>
    <n v="0"/>
    <s v="Success"/>
  </r>
  <r>
    <s v="TXN71576323"/>
    <x v="1369"/>
    <x v="2"/>
    <x v="2"/>
    <n v="1612"/>
    <x v="0"/>
    <x v="2"/>
    <x v="0"/>
    <n v="0"/>
    <n v="0"/>
    <n v="0"/>
    <s v="Success"/>
  </r>
  <r>
    <s v="TXN92127983"/>
    <x v="1370"/>
    <x v="1"/>
    <x v="3"/>
    <n v="148227"/>
    <x v="0"/>
    <x v="8"/>
    <x v="0"/>
    <n v="0"/>
    <n v="0"/>
    <n v="0"/>
    <s v="Success"/>
  </r>
  <r>
    <s v="TXN91711796"/>
    <x v="1371"/>
    <x v="4"/>
    <x v="2"/>
    <n v="4004"/>
    <x v="2"/>
    <x v="7"/>
    <x v="0"/>
    <n v="0"/>
    <n v="0"/>
    <n v="0"/>
    <s v="Success"/>
  </r>
  <r>
    <s v="TXN77012231"/>
    <x v="1372"/>
    <x v="5"/>
    <x v="4"/>
    <n v="63281"/>
    <x v="0"/>
    <x v="5"/>
    <x v="1"/>
    <n v="632.80999999999995"/>
    <n v="0"/>
    <n v="632.80999999999995"/>
    <s v="Success"/>
  </r>
  <r>
    <s v="TXN16301703"/>
    <x v="1373"/>
    <x v="0"/>
    <x v="2"/>
    <n v="4949"/>
    <x v="1"/>
    <x v="0"/>
    <x v="0"/>
    <n v="0"/>
    <n v="0"/>
    <n v="0"/>
    <s v="Success"/>
  </r>
  <r>
    <s v="TXN25845884"/>
    <x v="1374"/>
    <x v="6"/>
    <x v="3"/>
    <n v="40690"/>
    <x v="1"/>
    <x v="7"/>
    <x v="0"/>
    <n v="0"/>
    <n v="0"/>
    <n v="0"/>
    <s v="Failed"/>
  </r>
  <r>
    <s v="TXN76201999"/>
    <x v="1375"/>
    <x v="3"/>
    <x v="4"/>
    <n v="98971"/>
    <x v="0"/>
    <x v="7"/>
    <x v="1"/>
    <n v="989.71"/>
    <n v="0"/>
    <n v="989.71"/>
    <s v="Success"/>
  </r>
  <r>
    <s v="TXN21720053"/>
    <x v="1376"/>
    <x v="2"/>
    <x v="0"/>
    <n v="10500"/>
    <x v="0"/>
    <x v="2"/>
    <x v="0"/>
    <n v="194.25"/>
    <n v="77.7"/>
    <n v="116.55"/>
    <s v="Success"/>
  </r>
  <r>
    <s v="TXN30722781"/>
    <x v="1377"/>
    <x v="0"/>
    <x v="1"/>
    <n v="70281"/>
    <x v="0"/>
    <x v="2"/>
    <x v="0"/>
    <n v="5"/>
    <n v="0"/>
    <n v="5"/>
    <s v="Success"/>
  </r>
  <r>
    <s v="TXN43866092"/>
    <x v="1378"/>
    <x v="2"/>
    <x v="3"/>
    <n v="65000"/>
    <x v="1"/>
    <x v="5"/>
    <x v="0"/>
    <n v="0"/>
    <n v="0"/>
    <n v="0"/>
    <s v="Success"/>
  </r>
  <r>
    <s v="TXN31266624"/>
    <x v="1379"/>
    <x v="1"/>
    <x v="1"/>
    <n v="138883"/>
    <x v="0"/>
    <x v="4"/>
    <x v="0"/>
    <n v="5"/>
    <n v="0"/>
    <n v="5"/>
    <s v="Success"/>
  </r>
  <r>
    <s v="TXN35030103"/>
    <x v="1380"/>
    <x v="4"/>
    <x v="4"/>
    <n v="122870"/>
    <x v="0"/>
    <x v="1"/>
    <x v="2"/>
    <n v="1228.7"/>
    <n v="0"/>
    <n v="1228.7"/>
    <s v="Success"/>
  </r>
  <r>
    <s v="TXN24949312"/>
    <x v="1381"/>
    <x v="4"/>
    <x v="3"/>
    <n v="88010"/>
    <x v="0"/>
    <x v="8"/>
    <x v="0"/>
    <n v="0"/>
    <n v="0"/>
    <n v="0"/>
    <s v="Success"/>
  </r>
  <r>
    <s v="TXN49744431"/>
    <x v="1382"/>
    <x v="3"/>
    <x v="2"/>
    <n v="3711"/>
    <x v="0"/>
    <x v="3"/>
    <x v="0"/>
    <n v="0"/>
    <n v="0"/>
    <n v="0"/>
    <s v="Success"/>
  </r>
  <r>
    <s v="TXN94286052"/>
    <x v="1383"/>
    <x v="4"/>
    <x v="0"/>
    <n v="238500"/>
    <x v="0"/>
    <x v="5"/>
    <x v="0"/>
    <n v="4412.25"/>
    <n v="1764.9"/>
    <n v="2647.35"/>
    <s v="Success"/>
  </r>
  <r>
    <s v="TXN34777038"/>
    <x v="1384"/>
    <x v="0"/>
    <x v="0"/>
    <n v="187000"/>
    <x v="0"/>
    <x v="5"/>
    <x v="0"/>
    <n v="3459.5"/>
    <n v="1383.8"/>
    <n v="2075.6999999999998"/>
    <s v="Success"/>
  </r>
  <r>
    <s v="TXN79920890"/>
    <x v="1385"/>
    <x v="2"/>
    <x v="3"/>
    <n v="29418"/>
    <x v="2"/>
    <x v="5"/>
    <x v="0"/>
    <n v="0"/>
    <n v="0"/>
    <n v="0"/>
    <s v="Failed"/>
  </r>
  <r>
    <s v="TXN80718577"/>
    <x v="1386"/>
    <x v="4"/>
    <x v="0"/>
    <n v="229500"/>
    <x v="0"/>
    <x v="2"/>
    <x v="0"/>
    <n v="4245.75"/>
    <n v="1698.3"/>
    <n v="2547.4499999999998"/>
    <s v="Success"/>
  </r>
  <r>
    <s v="TXN66186806"/>
    <x v="1387"/>
    <x v="2"/>
    <x v="0"/>
    <n v="247500"/>
    <x v="0"/>
    <x v="1"/>
    <x v="0"/>
    <n v="4578.75"/>
    <n v="1831.5"/>
    <n v="2747.25"/>
    <s v="Success"/>
  </r>
  <r>
    <s v="TXN50708085"/>
    <x v="1388"/>
    <x v="5"/>
    <x v="3"/>
    <n v="99647"/>
    <x v="1"/>
    <x v="6"/>
    <x v="0"/>
    <n v="0"/>
    <n v="0"/>
    <n v="0"/>
    <s v="Success"/>
  </r>
  <r>
    <s v="TXN76212219"/>
    <x v="1389"/>
    <x v="1"/>
    <x v="3"/>
    <n v="88730"/>
    <x v="0"/>
    <x v="7"/>
    <x v="0"/>
    <n v="0"/>
    <n v="0"/>
    <n v="0"/>
    <s v="Success"/>
  </r>
  <r>
    <s v="TXN36189903"/>
    <x v="1390"/>
    <x v="2"/>
    <x v="2"/>
    <n v="2578"/>
    <x v="0"/>
    <x v="4"/>
    <x v="0"/>
    <n v="0"/>
    <n v="0"/>
    <n v="0"/>
    <s v="Success"/>
  </r>
  <r>
    <s v="TXN91637825"/>
    <x v="1391"/>
    <x v="2"/>
    <x v="1"/>
    <n v="65962"/>
    <x v="1"/>
    <x v="5"/>
    <x v="0"/>
    <n v="5"/>
    <n v="0"/>
    <n v="5"/>
    <s v="Success"/>
  </r>
  <r>
    <s v="TXN12604920"/>
    <x v="1392"/>
    <x v="3"/>
    <x v="1"/>
    <n v="51275"/>
    <x v="1"/>
    <x v="7"/>
    <x v="0"/>
    <n v="5"/>
    <n v="0"/>
    <n v="5"/>
    <s v="Success"/>
  </r>
  <r>
    <s v="TXN22530755"/>
    <x v="1393"/>
    <x v="2"/>
    <x v="0"/>
    <n v="154500"/>
    <x v="0"/>
    <x v="3"/>
    <x v="0"/>
    <n v="2858.25"/>
    <n v="1143.3"/>
    <n v="1714.95"/>
    <s v="Success"/>
  </r>
  <r>
    <s v="TXN68679654"/>
    <x v="1394"/>
    <x v="6"/>
    <x v="0"/>
    <n v="74000"/>
    <x v="1"/>
    <x v="0"/>
    <x v="0"/>
    <n v="1369"/>
    <n v="547.6"/>
    <n v="821.4"/>
    <s v="Success"/>
  </r>
  <r>
    <s v="TXN57713157"/>
    <x v="1395"/>
    <x v="6"/>
    <x v="0"/>
    <n v="62500"/>
    <x v="0"/>
    <x v="8"/>
    <x v="0"/>
    <n v="1156.25"/>
    <n v="462.5"/>
    <n v="693.75"/>
    <s v="Success"/>
  </r>
  <r>
    <s v="TXN24781131"/>
    <x v="1396"/>
    <x v="1"/>
    <x v="2"/>
    <n v="2968"/>
    <x v="1"/>
    <x v="6"/>
    <x v="0"/>
    <n v="0"/>
    <n v="0"/>
    <n v="0"/>
    <s v="Success"/>
  </r>
  <r>
    <s v="TXN11563276"/>
    <x v="1397"/>
    <x v="0"/>
    <x v="1"/>
    <n v="149229"/>
    <x v="0"/>
    <x v="7"/>
    <x v="0"/>
    <n v="5"/>
    <n v="0"/>
    <n v="5"/>
    <s v="Failed"/>
  </r>
  <r>
    <s v="TXN96816644"/>
    <x v="1398"/>
    <x v="7"/>
    <x v="0"/>
    <n v="135500"/>
    <x v="1"/>
    <x v="3"/>
    <x v="0"/>
    <n v="2506.75"/>
    <n v="1002.7"/>
    <n v="1504.05"/>
    <s v="Success"/>
  </r>
  <r>
    <s v="TXN84223132"/>
    <x v="1399"/>
    <x v="3"/>
    <x v="3"/>
    <n v="83668"/>
    <x v="0"/>
    <x v="5"/>
    <x v="0"/>
    <n v="0"/>
    <n v="0"/>
    <n v="0"/>
    <s v="Success"/>
  </r>
  <r>
    <s v="TXN76201726"/>
    <x v="1400"/>
    <x v="3"/>
    <x v="4"/>
    <n v="3294"/>
    <x v="0"/>
    <x v="2"/>
    <x v="5"/>
    <n v="32.94"/>
    <n v="0"/>
    <n v="32.94"/>
    <s v="Success"/>
  </r>
  <r>
    <s v="TXN61791517"/>
    <x v="1401"/>
    <x v="0"/>
    <x v="1"/>
    <n v="77117"/>
    <x v="0"/>
    <x v="6"/>
    <x v="0"/>
    <n v="5"/>
    <n v="0"/>
    <n v="5"/>
    <s v="Success"/>
  </r>
  <r>
    <s v="TXN73989600"/>
    <x v="1402"/>
    <x v="1"/>
    <x v="2"/>
    <n v="3046"/>
    <x v="0"/>
    <x v="1"/>
    <x v="0"/>
    <n v="0"/>
    <n v="0"/>
    <n v="0"/>
    <s v="Success"/>
  </r>
  <r>
    <s v="TXN95595129"/>
    <x v="1403"/>
    <x v="4"/>
    <x v="0"/>
    <n v="170500"/>
    <x v="0"/>
    <x v="7"/>
    <x v="0"/>
    <n v="3154.25"/>
    <n v="1261.7"/>
    <n v="1892.55"/>
    <s v="Success"/>
  </r>
  <r>
    <s v="TXN57720648"/>
    <x v="1404"/>
    <x v="5"/>
    <x v="3"/>
    <n v="74333"/>
    <x v="0"/>
    <x v="1"/>
    <x v="0"/>
    <n v="0"/>
    <n v="0"/>
    <n v="0"/>
    <s v="Success"/>
  </r>
  <r>
    <s v="TXN40757321"/>
    <x v="1405"/>
    <x v="1"/>
    <x v="0"/>
    <n v="162500"/>
    <x v="0"/>
    <x v="6"/>
    <x v="0"/>
    <n v="3006.25"/>
    <n v="1202.5"/>
    <n v="1803.75"/>
    <s v="Success"/>
  </r>
  <r>
    <s v="TXN94725372"/>
    <x v="1406"/>
    <x v="3"/>
    <x v="0"/>
    <n v="17000"/>
    <x v="0"/>
    <x v="5"/>
    <x v="0"/>
    <n v="314.5"/>
    <n v="125.8"/>
    <n v="188.7"/>
    <s v="Success"/>
  </r>
  <r>
    <s v="TXN33885319"/>
    <x v="1407"/>
    <x v="3"/>
    <x v="2"/>
    <n v="4433"/>
    <x v="0"/>
    <x v="6"/>
    <x v="0"/>
    <n v="0"/>
    <n v="0"/>
    <n v="0"/>
    <s v="Success"/>
  </r>
  <r>
    <s v="TXN21547932"/>
    <x v="1408"/>
    <x v="2"/>
    <x v="1"/>
    <n v="95129"/>
    <x v="0"/>
    <x v="2"/>
    <x v="0"/>
    <n v="5"/>
    <n v="0"/>
    <n v="5"/>
    <s v="Success"/>
  </r>
  <r>
    <s v="TXN30622371"/>
    <x v="1409"/>
    <x v="7"/>
    <x v="3"/>
    <n v="100909"/>
    <x v="0"/>
    <x v="3"/>
    <x v="0"/>
    <n v="0"/>
    <n v="0"/>
    <n v="0"/>
    <s v="Success"/>
  </r>
  <r>
    <s v="TXN61377504"/>
    <x v="1410"/>
    <x v="5"/>
    <x v="2"/>
    <n v="4473"/>
    <x v="0"/>
    <x v="4"/>
    <x v="0"/>
    <n v="0"/>
    <n v="0"/>
    <n v="0"/>
    <s v="Success"/>
  </r>
  <r>
    <s v="TXN59314300"/>
    <x v="1411"/>
    <x v="2"/>
    <x v="1"/>
    <n v="139375"/>
    <x v="0"/>
    <x v="2"/>
    <x v="0"/>
    <n v="5"/>
    <n v="0"/>
    <n v="5"/>
    <s v="Success"/>
  </r>
  <r>
    <s v="TXN74470038"/>
    <x v="1412"/>
    <x v="5"/>
    <x v="3"/>
    <n v="46935"/>
    <x v="0"/>
    <x v="7"/>
    <x v="0"/>
    <n v="0"/>
    <n v="0"/>
    <n v="0"/>
    <s v="Success"/>
  </r>
  <r>
    <s v="TXN17474770"/>
    <x v="1413"/>
    <x v="4"/>
    <x v="2"/>
    <n v="2316"/>
    <x v="0"/>
    <x v="8"/>
    <x v="0"/>
    <n v="0"/>
    <n v="0"/>
    <n v="0"/>
    <s v="Success"/>
  </r>
  <r>
    <s v="TXN31085754"/>
    <x v="1414"/>
    <x v="2"/>
    <x v="1"/>
    <n v="48438"/>
    <x v="0"/>
    <x v="4"/>
    <x v="0"/>
    <n v="5"/>
    <n v="0"/>
    <n v="5"/>
    <s v="Failed"/>
  </r>
  <r>
    <s v="TXN37214844"/>
    <x v="1415"/>
    <x v="4"/>
    <x v="3"/>
    <n v="111541"/>
    <x v="0"/>
    <x v="2"/>
    <x v="0"/>
    <n v="0"/>
    <n v="0"/>
    <n v="0"/>
    <s v="Success"/>
  </r>
  <r>
    <s v="TXN73834817"/>
    <x v="1416"/>
    <x v="1"/>
    <x v="1"/>
    <n v="124217"/>
    <x v="0"/>
    <x v="8"/>
    <x v="0"/>
    <n v="5"/>
    <n v="0"/>
    <n v="5"/>
    <s v="Success"/>
  </r>
  <r>
    <s v="TXN92484623"/>
    <x v="1417"/>
    <x v="6"/>
    <x v="4"/>
    <n v="45824"/>
    <x v="0"/>
    <x v="3"/>
    <x v="5"/>
    <n v="458.24"/>
    <n v="0"/>
    <n v="458.24"/>
    <s v="Success"/>
  </r>
  <r>
    <s v="TXN73661466"/>
    <x v="1418"/>
    <x v="3"/>
    <x v="4"/>
    <n v="106427"/>
    <x v="0"/>
    <x v="5"/>
    <x v="4"/>
    <n v="1064.27"/>
    <n v="0"/>
    <n v="1064.27"/>
    <s v="Success"/>
  </r>
  <r>
    <s v="TXN70834932"/>
    <x v="1419"/>
    <x v="3"/>
    <x v="0"/>
    <n v="166500"/>
    <x v="1"/>
    <x v="5"/>
    <x v="0"/>
    <n v="3080.25"/>
    <n v="1232.0999999999999"/>
    <n v="1848.15"/>
    <s v="Success"/>
  </r>
  <r>
    <s v="TXN97276004"/>
    <x v="1420"/>
    <x v="2"/>
    <x v="3"/>
    <n v="47226"/>
    <x v="0"/>
    <x v="5"/>
    <x v="0"/>
    <n v="0"/>
    <n v="0"/>
    <n v="0"/>
    <s v="Success"/>
  </r>
  <r>
    <s v="TXN90090841"/>
    <x v="1421"/>
    <x v="4"/>
    <x v="2"/>
    <n v="4921"/>
    <x v="0"/>
    <x v="8"/>
    <x v="0"/>
    <n v="0"/>
    <n v="0"/>
    <n v="0"/>
    <s v="Success"/>
  </r>
  <r>
    <s v="TXN79504760"/>
    <x v="1422"/>
    <x v="5"/>
    <x v="4"/>
    <n v="104479"/>
    <x v="0"/>
    <x v="1"/>
    <x v="5"/>
    <n v="1044.79"/>
    <n v="0"/>
    <n v="1044.79"/>
    <s v="Success"/>
  </r>
  <r>
    <s v="TXN33615989"/>
    <x v="1423"/>
    <x v="1"/>
    <x v="4"/>
    <n v="98308"/>
    <x v="0"/>
    <x v="5"/>
    <x v="5"/>
    <n v="983.08"/>
    <n v="0"/>
    <n v="983.08"/>
    <s v="Success"/>
  </r>
  <r>
    <s v="TXN34294280"/>
    <x v="1424"/>
    <x v="3"/>
    <x v="2"/>
    <n v="1131"/>
    <x v="0"/>
    <x v="8"/>
    <x v="0"/>
    <n v="0"/>
    <n v="0"/>
    <n v="0"/>
    <s v="Success"/>
  </r>
  <r>
    <s v="TXN11311471"/>
    <x v="1425"/>
    <x v="5"/>
    <x v="2"/>
    <n v="2428"/>
    <x v="0"/>
    <x v="1"/>
    <x v="0"/>
    <n v="0"/>
    <n v="0"/>
    <n v="0"/>
    <s v="Success"/>
  </r>
  <r>
    <s v="TXN60710534"/>
    <x v="1426"/>
    <x v="5"/>
    <x v="3"/>
    <n v="44462"/>
    <x v="0"/>
    <x v="1"/>
    <x v="0"/>
    <n v="0"/>
    <n v="0"/>
    <n v="0"/>
    <s v="Success"/>
  </r>
  <r>
    <s v="TXN23106397"/>
    <x v="1427"/>
    <x v="5"/>
    <x v="1"/>
    <n v="100591"/>
    <x v="0"/>
    <x v="3"/>
    <x v="0"/>
    <n v="5"/>
    <n v="0"/>
    <n v="5"/>
    <s v="Success"/>
  </r>
  <r>
    <s v="TXN46380658"/>
    <x v="1428"/>
    <x v="5"/>
    <x v="3"/>
    <n v="62288"/>
    <x v="0"/>
    <x v="4"/>
    <x v="0"/>
    <n v="0"/>
    <n v="0"/>
    <n v="0"/>
    <s v="Success"/>
  </r>
  <r>
    <s v="TXN56282675"/>
    <x v="1429"/>
    <x v="4"/>
    <x v="4"/>
    <n v="106635"/>
    <x v="0"/>
    <x v="2"/>
    <x v="2"/>
    <n v="1066.3499999999999"/>
    <n v="0"/>
    <n v="1066.3499999999999"/>
    <s v="Success"/>
  </r>
  <r>
    <s v="TXN86178607"/>
    <x v="1430"/>
    <x v="5"/>
    <x v="1"/>
    <n v="71844"/>
    <x v="0"/>
    <x v="2"/>
    <x v="0"/>
    <n v="5"/>
    <n v="0"/>
    <n v="5"/>
    <s v="Success"/>
  </r>
  <r>
    <s v="TXN19227806"/>
    <x v="1431"/>
    <x v="7"/>
    <x v="1"/>
    <n v="115309"/>
    <x v="0"/>
    <x v="6"/>
    <x v="0"/>
    <n v="5"/>
    <n v="0"/>
    <n v="5"/>
    <s v="Success"/>
  </r>
  <r>
    <s v="TXN99296606"/>
    <x v="1432"/>
    <x v="3"/>
    <x v="2"/>
    <n v="1474"/>
    <x v="2"/>
    <x v="7"/>
    <x v="0"/>
    <n v="0"/>
    <n v="0"/>
    <n v="0"/>
    <s v="Success"/>
  </r>
  <r>
    <s v="TXN28989810"/>
    <x v="1433"/>
    <x v="1"/>
    <x v="1"/>
    <n v="39903"/>
    <x v="1"/>
    <x v="5"/>
    <x v="0"/>
    <n v="5"/>
    <n v="0"/>
    <n v="5"/>
    <s v="Success"/>
  </r>
  <r>
    <s v="TXN46194052"/>
    <x v="1434"/>
    <x v="3"/>
    <x v="4"/>
    <n v="126765"/>
    <x v="2"/>
    <x v="7"/>
    <x v="1"/>
    <n v="1267.6500000000001"/>
    <n v="0"/>
    <n v="1267.6500000000001"/>
    <s v="Success"/>
  </r>
  <r>
    <s v="TXN85997841"/>
    <x v="1435"/>
    <x v="2"/>
    <x v="3"/>
    <n v="84527"/>
    <x v="1"/>
    <x v="0"/>
    <x v="0"/>
    <n v="0"/>
    <n v="0"/>
    <n v="0"/>
    <s v="Success"/>
  </r>
  <r>
    <s v="TXN67664348"/>
    <x v="1436"/>
    <x v="2"/>
    <x v="1"/>
    <n v="80162"/>
    <x v="0"/>
    <x v="5"/>
    <x v="0"/>
    <n v="5"/>
    <n v="0"/>
    <n v="5"/>
    <s v="Success"/>
  </r>
  <r>
    <s v="TXN88583744"/>
    <x v="1437"/>
    <x v="5"/>
    <x v="0"/>
    <n v="85000"/>
    <x v="0"/>
    <x v="7"/>
    <x v="0"/>
    <n v="1572.5"/>
    <n v="629"/>
    <n v="943.5"/>
    <s v="Success"/>
  </r>
  <r>
    <s v="TXN77193339"/>
    <x v="1438"/>
    <x v="2"/>
    <x v="3"/>
    <n v="100071"/>
    <x v="0"/>
    <x v="8"/>
    <x v="0"/>
    <n v="0"/>
    <n v="0"/>
    <n v="0"/>
    <s v="Success"/>
  </r>
  <r>
    <s v="TXN37356150"/>
    <x v="1439"/>
    <x v="4"/>
    <x v="2"/>
    <n v="1989"/>
    <x v="1"/>
    <x v="4"/>
    <x v="0"/>
    <n v="0"/>
    <n v="0"/>
    <n v="0"/>
    <s v="Success"/>
  </r>
  <r>
    <s v="TXN46775113"/>
    <x v="1440"/>
    <x v="1"/>
    <x v="0"/>
    <n v="123500"/>
    <x v="0"/>
    <x v="3"/>
    <x v="0"/>
    <n v="2284.75"/>
    <n v="913.9"/>
    <n v="1370.85"/>
    <s v="Success"/>
  </r>
  <r>
    <s v="TXN59077600"/>
    <x v="1441"/>
    <x v="5"/>
    <x v="4"/>
    <n v="107648"/>
    <x v="0"/>
    <x v="1"/>
    <x v="2"/>
    <n v="1076.48"/>
    <n v="0"/>
    <n v="1076.48"/>
    <s v="Success"/>
  </r>
  <r>
    <s v="TXN60077828"/>
    <x v="1442"/>
    <x v="1"/>
    <x v="4"/>
    <n v="123137"/>
    <x v="0"/>
    <x v="3"/>
    <x v="4"/>
    <n v="1231.3699999999999"/>
    <n v="0"/>
    <n v="1231.3699999999999"/>
    <s v="Success"/>
  </r>
  <r>
    <s v="TXN68087351"/>
    <x v="1443"/>
    <x v="2"/>
    <x v="2"/>
    <n v="1990"/>
    <x v="0"/>
    <x v="8"/>
    <x v="0"/>
    <n v="0"/>
    <n v="0"/>
    <n v="0"/>
    <s v="Success"/>
  </r>
  <r>
    <s v="TXN53898116"/>
    <x v="1444"/>
    <x v="2"/>
    <x v="0"/>
    <n v="63500"/>
    <x v="1"/>
    <x v="4"/>
    <x v="0"/>
    <n v="1174.75"/>
    <n v="469.9"/>
    <n v="704.85"/>
    <s v="Success"/>
  </r>
  <r>
    <s v="TXN87432458"/>
    <x v="1445"/>
    <x v="7"/>
    <x v="2"/>
    <n v="1664"/>
    <x v="1"/>
    <x v="0"/>
    <x v="0"/>
    <n v="0"/>
    <n v="0"/>
    <n v="0"/>
    <s v="Success"/>
  </r>
  <r>
    <s v="TXN40965369"/>
    <x v="1446"/>
    <x v="5"/>
    <x v="3"/>
    <n v="135200"/>
    <x v="0"/>
    <x v="7"/>
    <x v="0"/>
    <n v="0"/>
    <n v="0"/>
    <n v="0"/>
    <s v="Success"/>
  </r>
  <r>
    <s v="TXN42897927"/>
    <x v="1447"/>
    <x v="1"/>
    <x v="4"/>
    <n v="45264"/>
    <x v="0"/>
    <x v="4"/>
    <x v="4"/>
    <n v="452.64"/>
    <n v="0"/>
    <n v="452.64"/>
    <s v="Success"/>
  </r>
  <r>
    <s v="TXN55826869"/>
    <x v="1448"/>
    <x v="3"/>
    <x v="2"/>
    <n v="2695"/>
    <x v="0"/>
    <x v="1"/>
    <x v="0"/>
    <n v="0"/>
    <n v="0"/>
    <n v="0"/>
    <s v="Success"/>
  </r>
  <r>
    <s v="TXN27936436"/>
    <x v="1449"/>
    <x v="0"/>
    <x v="0"/>
    <n v="30500"/>
    <x v="0"/>
    <x v="1"/>
    <x v="0"/>
    <n v="564.25"/>
    <n v="225.7"/>
    <n v="338.55"/>
    <s v="Success"/>
  </r>
  <r>
    <s v="TXN94027892"/>
    <x v="1450"/>
    <x v="1"/>
    <x v="0"/>
    <n v="40500"/>
    <x v="2"/>
    <x v="1"/>
    <x v="0"/>
    <n v="749.25"/>
    <n v="299.7"/>
    <n v="449.55"/>
    <s v="Success"/>
  </r>
  <r>
    <s v="TXN75954110"/>
    <x v="1451"/>
    <x v="7"/>
    <x v="0"/>
    <n v="179000"/>
    <x v="0"/>
    <x v="3"/>
    <x v="0"/>
    <n v="3311.5"/>
    <n v="1324.6"/>
    <n v="1986.9"/>
    <s v="Success"/>
  </r>
  <r>
    <s v="TXN18896188"/>
    <x v="1452"/>
    <x v="5"/>
    <x v="4"/>
    <n v="103986"/>
    <x v="1"/>
    <x v="1"/>
    <x v="4"/>
    <n v="1039.8599999999999"/>
    <n v="0"/>
    <n v="1039.8599999999999"/>
    <s v="Failed"/>
  </r>
  <r>
    <s v="TXN55929073"/>
    <x v="1453"/>
    <x v="5"/>
    <x v="3"/>
    <n v="145885"/>
    <x v="0"/>
    <x v="8"/>
    <x v="0"/>
    <n v="0"/>
    <n v="0"/>
    <n v="0"/>
    <s v="Success"/>
  </r>
  <r>
    <s v="TXN77572591"/>
    <x v="1454"/>
    <x v="6"/>
    <x v="0"/>
    <n v="81500"/>
    <x v="0"/>
    <x v="0"/>
    <x v="0"/>
    <n v="1507.75"/>
    <n v="603.1"/>
    <n v="904.65"/>
    <s v="Success"/>
  </r>
  <r>
    <s v="TXN40033083"/>
    <x v="1455"/>
    <x v="4"/>
    <x v="4"/>
    <n v="29981"/>
    <x v="0"/>
    <x v="6"/>
    <x v="2"/>
    <n v="299.81"/>
    <n v="0"/>
    <n v="299.81"/>
    <s v="Success"/>
  </r>
  <r>
    <s v="TXN94794771"/>
    <x v="1456"/>
    <x v="5"/>
    <x v="4"/>
    <n v="94144"/>
    <x v="0"/>
    <x v="6"/>
    <x v="3"/>
    <n v="941.44"/>
    <n v="0"/>
    <n v="941.44"/>
    <s v="Success"/>
  </r>
  <r>
    <s v="TXN40100030"/>
    <x v="1457"/>
    <x v="6"/>
    <x v="1"/>
    <n v="98106"/>
    <x v="1"/>
    <x v="6"/>
    <x v="0"/>
    <n v="5"/>
    <n v="0"/>
    <n v="5"/>
    <s v="Success"/>
  </r>
  <r>
    <s v="TXN58713096"/>
    <x v="1458"/>
    <x v="7"/>
    <x v="0"/>
    <n v="15000"/>
    <x v="1"/>
    <x v="0"/>
    <x v="0"/>
    <n v="277.5"/>
    <n v="111"/>
    <n v="166.5"/>
    <s v="Success"/>
  </r>
  <r>
    <s v="TXN40402322"/>
    <x v="1459"/>
    <x v="5"/>
    <x v="2"/>
    <n v="1221"/>
    <x v="0"/>
    <x v="7"/>
    <x v="0"/>
    <n v="0"/>
    <n v="0"/>
    <n v="0"/>
    <s v="Success"/>
  </r>
  <r>
    <s v="TXN62251805"/>
    <x v="1460"/>
    <x v="4"/>
    <x v="2"/>
    <n v="3187"/>
    <x v="0"/>
    <x v="7"/>
    <x v="0"/>
    <n v="0"/>
    <n v="0"/>
    <n v="0"/>
    <s v="Success"/>
  </r>
  <r>
    <s v="TXN19426705"/>
    <x v="1461"/>
    <x v="5"/>
    <x v="3"/>
    <n v="66839"/>
    <x v="0"/>
    <x v="1"/>
    <x v="0"/>
    <n v="0"/>
    <n v="0"/>
    <n v="0"/>
    <s v="Success"/>
  </r>
  <r>
    <s v="TXN79392826"/>
    <x v="1462"/>
    <x v="1"/>
    <x v="3"/>
    <n v="102052"/>
    <x v="1"/>
    <x v="5"/>
    <x v="0"/>
    <n v="0"/>
    <n v="0"/>
    <n v="0"/>
    <s v="Success"/>
  </r>
  <r>
    <s v="TXN51251108"/>
    <x v="1463"/>
    <x v="2"/>
    <x v="1"/>
    <n v="116918"/>
    <x v="0"/>
    <x v="8"/>
    <x v="0"/>
    <n v="5"/>
    <n v="0"/>
    <n v="5"/>
    <s v="Success"/>
  </r>
  <r>
    <s v="TXN90364103"/>
    <x v="1464"/>
    <x v="3"/>
    <x v="4"/>
    <n v="52700"/>
    <x v="0"/>
    <x v="2"/>
    <x v="1"/>
    <n v="527"/>
    <n v="0"/>
    <n v="527"/>
    <s v="Success"/>
  </r>
  <r>
    <s v="TXN64518603"/>
    <x v="1465"/>
    <x v="5"/>
    <x v="4"/>
    <n v="67457"/>
    <x v="0"/>
    <x v="2"/>
    <x v="4"/>
    <n v="674.57"/>
    <n v="0"/>
    <n v="674.57"/>
    <s v="Success"/>
  </r>
  <r>
    <s v="TXN73597754"/>
    <x v="1466"/>
    <x v="4"/>
    <x v="0"/>
    <n v="204500"/>
    <x v="0"/>
    <x v="4"/>
    <x v="0"/>
    <n v="3783.25"/>
    <n v="1513.3"/>
    <n v="2269.9499999999998"/>
    <s v="Success"/>
  </r>
  <r>
    <s v="TXN82093828"/>
    <x v="1467"/>
    <x v="5"/>
    <x v="1"/>
    <n v="75057"/>
    <x v="0"/>
    <x v="5"/>
    <x v="0"/>
    <n v="5"/>
    <n v="0"/>
    <n v="5"/>
    <s v="Success"/>
  </r>
  <r>
    <s v="TXN72040760"/>
    <x v="1468"/>
    <x v="4"/>
    <x v="4"/>
    <n v="50150"/>
    <x v="0"/>
    <x v="5"/>
    <x v="1"/>
    <n v="501.5"/>
    <n v="0"/>
    <n v="501.5"/>
    <s v="Failed"/>
  </r>
  <r>
    <s v="TXN43058625"/>
    <x v="1469"/>
    <x v="3"/>
    <x v="1"/>
    <n v="60995"/>
    <x v="0"/>
    <x v="2"/>
    <x v="0"/>
    <n v="5"/>
    <n v="0"/>
    <n v="5"/>
    <s v="Success"/>
  </r>
  <r>
    <s v="TXN32681853"/>
    <x v="1470"/>
    <x v="4"/>
    <x v="4"/>
    <n v="39512"/>
    <x v="0"/>
    <x v="2"/>
    <x v="5"/>
    <n v="395.12"/>
    <n v="0"/>
    <n v="395.12"/>
    <s v="Success"/>
  </r>
  <r>
    <s v="TXN18957739"/>
    <x v="1471"/>
    <x v="1"/>
    <x v="4"/>
    <n v="41893"/>
    <x v="0"/>
    <x v="0"/>
    <x v="1"/>
    <n v="418.93"/>
    <n v="0"/>
    <n v="418.93"/>
    <s v="Failed"/>
  </r>
  <r>
    <s v="TXN92618543"/>
    <x v="1472"/>
    <x v="4"/>
    <x v="0"/>
    <n v="87500"/>
    <x v="0"/>
    <x v="8"/>
    <x v="0"/>
    <n v="1618.75"/>
    <n v="647.5"/>
    <n v="971.25"/>
    <s v="Success"/>
  </r>
  <r>
    <s v="TXN54105559"/>
    <x v="1473"/>
    <x v="4"/>
    <x v="3"/>
    <n v="89595"/>
    <x v="0"/>
    <x v="2"/>
    <x v="0"/>
    <n v="0"/>
    <n v="0"/>
    <n v="0"/>
    <s v="Success"/>
  </r>
  <r>
    <s v="TXN45173666"/>
    <x v="1474"/>
    <x v="4"/>
    <x v="4"/>
    <n v="106259"/>
    <x v="1"/>
    <x v="0"/>
    <x v="1"/>
    <n v="1062.5899999999999"/>
    <n v="0"/>
    <n v="1062.5899999999999"/>
    <s v="Success"/>
  </r>
  <r>
    <s v="TXN49659272"/>
    <x v="1475"/>
    <x v="5"/>
    <x v="1"/>
    <n v="124962"/>
    <x v="0"/>
    <x v="6"/>
    <x v="0"/>
    <n v="5"/>
    <n v="0"/>
    <n v="5"/>
    <s v="Success"/>
  </r>
  <r>
    <s v="TXN36726768"/>
    <x v="1476"/>
    <x v="2"/>
    <x v="3"/>
    <n v="92378"/>
    <x v="0"/>
    <x v="5"/>
    <x v="0"/>
    <n v="0"/>
    <n v="0"/>
    <n v="0"/>
    <s v="Success"/>
  </r>
  <r>
    <s v="TXN58465459"/>
    <x v="1477"/>
    <x v="3"/>
    <x v="3"/>
    <n v="71046"/>
    <x v="0"/>
    <x v="4"/>
    <x v="0"/>
    <n v="0"/>
    <n v="0"/>
    <n v="0"/>
    <s v="Success"/>
  </r>
  <r>
    <s v="TXN54724541"/>
    <x v="1478"/>
    <x v="5"/>
    <x v="0"/>
    <n v="70500"/>
    <x v="2"/>
    <x v="5"/>
    <x v="0"/>
    <n v="1304.25"/>
    <n v="521.70000000000005"/>
    <n v="782.55"/>
    <s v="Success"/>
  </r>
  <r>
    <s v="TXN98938256"/>
    <x v="1479"/>
    <x v="2"/>
    <x v="1"/>
    <n v="136516"/>
    <x v="2"/>
    <x v="7"/>
    <x v="0"/>
    <n v="5"/>
    <n v="0"/>
    <n v="5"/>
    <s v="Success"/>
  </r>
  <r>
    <s v="TXN81336422"/>
    <x v="1480"/>
    <x v="6"/>
    <x v="2"/>
    <n v="3414"/>
    <x v="0"/>
    <x v="8"/>
    <x v="0"/>
    <n v="0"/>
    <n v="0"/>
    <n v="0"/>
    <s v="Success"/>
  </r>
  <r>
    <s v="TXN51150453"/>
    <x v="1481"/>
    <x v="3"/>
    <x v="4"/>
    <n v="139333"/>
    <x v="1"/>
    <x v="8"/>
    <x v="2"/>
    <n v="1393.33"/>
    <n v="0"/>
    <n v="1393.33"/>
    <s v="Success"/>
  </r>
  <r>
    <s v="TXN71355527"/>
    <x v="1482"/>
    <x v="3"/>
    <x v="3"/>
    <n v="93078"/>
    <x v="0"/>
    <x v="3"/>
    <x v="0"/>
    <n v="0"/>
    <n v="0"/>
    <n v="0"/>
    <s v="Success"/>
  </r>
  <r>
    <s v="TXN91808287"/>
    <x v="1483"/>
    <x v="6"/>
    <x v="0"/>
    <n v="46500"/>
    <x v="0"/>
    <x v="2"/>
    <x v="0"/>
    <n v="860.25"/>
    <n v="344.1"/>
    <n v="516.15"/>
    <s v="Failed"/>
  </r>
  <r>
    <s v="TXN64383725"/>
    <x v="1484"/>
    <x v="2"/>
    <x v="3"/>
    <n v="108365"/>
    <x v="0"/>
    <x v="0"/>
    <x v="0"/>
    <n v="0"/>
    <n v="0"/>
    <n v="0"/>
    <s v="Success"/>
  </r>
  <r>
    <s v="TXN35372349"/>
    <x v="1485"/>
    <x v="6"/>
    <x v="1"/>
    <n v="130356"/>
    <x v="0"/>
    <x v="0"/>
    <x v="0"/>
    <n v="5"/>
    <n v="0"/>
    <n v="5"/>
    <s v="Success"/>
  </r>
  <r>
    <s v="TXN28151800"/>
    <x v="1486"/>
    <x v="6"/>
    <x v="1"/>
    <n v="147347"/>
    <x v="1"/>
    <x v="1"/>
    <x v="0"/>
    <n v="5"/>
    <n v="0"/>
    <n v="5"/>
    <s v="Success"/>
  </r>
  <r>
    <s v="TXN95364951"/>
    <x v="1487"/>
    <x v="0"/>
    <x v="0"/>
    <n v="161000"/>
    <x v="0"/>
    <x v="6"/>
    <x v="0"/>
    <n v="2978.5"/>
    <n v="1191.4000000000001"/>
    <n v="1787.1"/>
    <s v="Failed"/>
  </r>
  <r>
    <s v="TXN58611972"/>
    <x v="1488"/>
    <x v="6"/>
    <x v="1"/>
    <n v="30610"/>
    <x v="0"/>
    <x v="8"/>
    <x v="0"/>
    <n v="5"/>
    <n v="0"/>
    <n v="5"/>
    <s v="Success"/>
  </r>
  <r>
    <s v="TXN60117509"/>
    <x v="1489"/>
    <x v="2"/>
    <x v="3"/>
    <n v="46690"/>
    <x v="0"/>
    <x v="2"/>
    <x v="0"/>
    <n v="0"/>
    <n v="0"/>
    <n v="0"/>
    <s v="Success"/>
  </r>
  <r>
    <s v="TXN77010446"/>
    <x v="1490"/>
    <x v="7"/>
    <x v="0"/>
    <n v="117500"/>
    <x v="0"/>
    <x v="1"/>
    <x v="0"/>
    <n v="2173.75"/>
    <n v="869.5"/>
    <n v="1304.25"/>
    <s v="Success"/>
  </r>
  <r>
    <s v="TXN95516392"/>
    <x v="1491"/>
    <x v="0"/>
    <x v="1"/>
    <n v="102101"/>
    <x v="0"/>
    <x v="1"/>
    <x v="0"/>
    <n v="5"/>
    <n v="0"/>
    <n v="5"/>
    <s v="Success"/>
  </r>
  <r>
    <s v="TXN28595974"/>
    <x v="1492"/>
    <x v="7"/>
    <x v="0"/>
    <n v="231500"/>
    <x v="1"/>
    <x v="4"/>
    <x v="0"/>
    <n v="4282.75"/>
    <n v="1713.1"/>
    <n v="2569.65"/>
    <s v="Success"/>
  </r>
  <r>
    <s v="TXN35878073"/>
    <x v="1493"/>
    <x v="0"/>
    <x v="4"/>
    <n v="113004"/>
    <x v="0"/>
    <x v="7"/>
    <x v="5"/>
    <n v="1130.04"/>
    <n v="0"/>
    <n v="1130.04"/>
    <s v="Success"/>
  </r>
  <r>
    <s v="TXN73407925"/>
    <x v="1494"/>
    <x v="4"/>
    <x v="2"/>
    <n v="2970"/>
    <x v="0"/>
    <x v="6"/>
    <x v="0"/>
    <n v="0"/>
    <n v="0"/>
    <n v="0"/>
    <s v="Success"/>
  </r>
  <r>
    <s v="TXN20746645"/>
    <x v="1495"/>
    <x v="3"/>
    <x v="0"/>
    <n v="73500"/>
    <x v="0"/>
    <x v="5"/>
    <x v="0"/>
    <n v="1359.75"/>
    <n v="543.9"/>
    <n v="815.85"/>
    <s v="Success"/>
  </r>
  <r>
    <s v="TXN98964772"/>
    <x v="1496"/>
    <x v="1"/>
    <x v="3"/>
    <n v="59643"/>
    <x v="1"/>
    <x v="6"/>
    <x v="0"/>
    <n v="0"/>
    <n v="0"/>
    <n v="0"/>
    <s v="Success"/>
  </r>
  <r>
    <s v="TXN98123448"/>
    <x v="1497"/>
    <x v="2"/>
    <x v="1"/>
    <n v="40793"/>
    <x v="0"/>
    <x v="1"/>
    <x v="0"/>
    <n v="5"/>
    <n v="0"/>
    <n v="5"/>
    <s v="Success"/>
  </r>
  <r>
    <s v="TXN27125944"/>
    <x v="1498"/>
    <x v="4"/>
    <x v="1"/>
    <n v="7332"/>
    <x v="0"/>
    <x v="3"/>
    <x v="0"/>
    <n v="5"/>
    <n v="0"/>
    <n v="5"/>
    <s v="Success"/>
  </r>
  <r>
    <s v="TXN48809952"/>
    <x v="1499"/>
    <x v="5"/>
    <x v="1"/>
    <n v="30547"/>
    <x v="0"/>
    <x v="6"/>
    <x v="0"/>
    <n v="5"/>
    <n v="0"/>
    <n v="5"/>
    <s v="Success"/>
  </r>
  <r>
    <s v="TXN28036063"/>
    <x v="1500"/>
    <x v="2"/>
    <x v="2"/>
    <n v="4021"/>
    <x v="0"/>
    <x v="4"/>
    <x v="0"/>
    <n v="0"/>
    <n v="0"/>
    <n v="0"/>
    <s v="Success"/>
  </r>
  <r>
    <s v="TXN59387069"/>
    <x v="1501"/>
    <x v="2"/>
    <x v="3"/>
    <n v="88062"/>
    <x v="2"/>
    <x v="4"/>
    <x v="0"/>
    <n v="0"/>
    <n v="0"/>
    <n v="0"/>
    <s v="Success"/>
  </r>
  <r>
    <s v="TXN91954083"/>
    <x v="1502"/>
    <x v="1"/>
    <x v="3"/>
    <n v="25353"/>
    <x v="0"/>
    <x v="7"/>
    <x v="0"/>
    <n v="0"/>
    <n v="0"/>
    <n v="0"/>
    <s v="Success"/>
  </r>
  <r>
    <s v="TXN98393050"/>
    <x v="1503"/>
    <x v="0"/>
    <x v="4"/>
    <n v="52706"/>
    <x v="0"/>
    <x v="5"/>
    <x v="1"/>
    <n v="527.05999999999995"/>
    <n v="0"/>
    <n v="527.05999999999995"/>
    <s v="Success"/>
  </r>
  <r>
    <s v="TXN88603255"/>
    <x v="1504"/>
    <x v="1"/>
    <x v="0"/>
    <n v="8500"/>
    <x v="0"/>
    <x v="5"/>
    <x v="0"/>
    <n v="157.25"/>
    <n v="62.9"/>
    <n v="94.35"/>
    <s v="Success"/>
  </r>
  <r>
    <s v="TXN59929078"/>
    <x v="1505"/>
    <x v="5"/>
    <x v="3"/>
    <n v="123969"/>
    <x v="0"/>
    <x v="2"/>
    <x v="0"/>
    <n v="0"/>
    <n v="0"/>
    <n v="0"/>
    <s v="Success"/>
  </r>
  <r>
    <s v="TXN78335435"/>
    <x v="1506"/>
    <x v="7"/>
    <x v="1"/>
    <n v="15270"/>
    <x v="0"/>
    <x v="2"/>
    <x v="0"/>
    <n v="5"/>
    <n v="0"/>
    <n v="5"/>
    <s v="Success"/>
  </r>
  <r>
    <s v="TXN38999952"/>
    <x v="1507"/>
    <x v="0"/>
    <x v="2"/>
    <n v="3259"/>
    <x v="0"/>
    <x v="8"/>
    <x v="0"/>
    <n v="0"/>
    <n v="0"/>
    <n v="0"/>
    <s v="Success"/>
  </r>
  <r>
    <s v="TXN68790792"/>
    <x v="1508"/>
    <x v="2"/>
    <x v="1"/>
    <n v="47517"/>
    <x v="0"/>
    <x v="8"/>
    <x v="0"/>
    <n v="5"/>
    <n v="0"/>
    <n v="5"/>
    <s v="Success"/>
  </r>
  <r>
    <s v="TXN62982598"/>
    <x v="1509"/>
    <x v="0"/>
    <x v="2"/>
    <n v="1252"/>
    <x v="1"/>
    <x v="5"/>
    <x v="0"/>
    <n v="0"/>
    <n v="0"/>
    <n v="0"/>
    <s v="Success"/>
  </r>
  <r>
    <s v="TXN81024315"/>
    <x v="1510"/>
    <x v="2"/>
    <x v="2"/>
    <n v="2321"/>
    <x v="0"/>
    <x v="1"/>
    <x v="0"/>
    <n v="0"/>
    <n v="0"/>
    <n v="0"/>
    <s v="Success"/>
  </r>
  <r>
    <s v="TXN94883456"/>
    <x v="1511"/>
    <x v="3"/>
    <x v="2"/>
    <n v="2007"/>
    <x v="0"/>
    <x v="1"/>
    <x v="0"/>
    <n v="0"/>
    <n v="0"/>
    <n v="0"/>
    <s v="Success"/>
  </r>
  <r>
    <s v="TXN91747319"/>
    <x v="1512"/>
    <x v="5"/>
    <x v="2"/>
    <n v="563"/>
    <x v="1"/>
    <x v="0"/>
    <x v="0"/>
    <n v="0"/>
    <n v="0"/>
    <n v="0"/>
    <s v="Success"/>
  </r>
  <r>
    <s v="TXN94011092"/>
    <x v="1513"/>
    <x v="1"/>
    <x v="3"/>
    <n v="10917"/>
    <x v="0"/>
    <x v="8"/>
    <x v="0"/>
    <n v="0"/>
    <n v="0"/>
    <n v="0"/>
    <s v="Success"/>
  </r>
  <r>
    <s v="TXN89884748"/>
    <x v="1514"/>
    <x v="7"/>
    <x v="1"/>
    <n v="107574"/>
    <x v="0"/>
    <x v="5"/>
    <x v="0"/>
    <n v="5"/>
    <n v="0"/>
    <n v="5"/>
    <s v="Success"/>
  </r>
  <r>
    <s v="TXN61285974"/>
    <x v="1515"/>
    <x v="3"/>
    <x v="0"/>
    <n v="199500"/>
    <x v="0"/>
    <x v="0"/>
    <x v="0"/>
    <n v="3690.75"/>
    <n v="1476.3"/>
    <n v="2214.4499999999998"/>
    <s v="Success"/>
  </r>
  <r>
    <s v="TXN85136178"/>
    <x v="1516"/>
    <x v="0"/>
    <x v="1"/>
    <n v="19307"/>
    <x v="0"/>
    <x v="2"/>
    <x v="0"/>
    <n v="5"/>
    <n v="0"/>
    <n v="5"/>
    <s v="Success"/>
  </r>
  <r>
    <s v="TXN75908170"/>
    <x v="1517"/>
    <x v="4"/>
    <x v="2"/>
    <n v="1163"/>
    <x v="0"/>
    <x v="4"/>
    <x v="0"/>
    <n v="0"/>
    <n v="0"/>
    <n v="0"/>
    <s v="Success"/>
  </r>
  <r>
    <s v="TXN98168204"/>
    <x v="1518"/>
    <x v="1"/>
    <x v="0"/>
    <n v="200000"/>
    <x v="0"/>
    <x v="4"/>
    <x v="0"/>
    <n v="3700"/>
    <n v="1480"/>
    <n v="2220"/>
    <s v="Success"/>
  </r>
  <r>
    <s v="TXN57564201"/>
    <x v="1519"/>
    <x v="0"/>
    <x v="4"/>
    <n v="42921"/>
    <x v="0"/>
    <x v="2"/>
    <x v="5"/>
    <n v="429.21"/>
    <n v="0"/>
    <n v="429.21"/>
    <s v="Success"/>
  </r>
  <r>
    <s v="TXN44664615"/>
    <x v="1520"/>
    <x v="2"/>
    <x v="3"/>
    <n v="51479"/>
    <x v="0"/>
    <x v="2"/>
    <x v="0"/>
    <n v="0"/>
    <n v="0"/>
    <n v="0"/>
    <s v="Success"/>
  </r>
  <r>
    <s v="TXN45533205"/>
    <x v="1521"/>
    <x v="5"/>
    <x v="3"/>
    <n v="48512"/>
    <x v="0"/>
    <x v="2"/>
    <x v="0"/>
    <n v="0"/>
    <n v="0"/>
    <n v="0"/>
    <s v="Success"/>
  </r>
  <r>
    <s v="TXN43004263"/>
    <x v="1522"/>
    <x v="6"/>
    <x v="4"/>
    <n v="26114"/>
    <x v="0"/>
    <x v="0"/>
    <x v="2"/>
    <n v="261.14"/>
    <n v="0"/>
    <n v="261.14"/>
    <s v="Success"/>
  </r>
  <r>
    <s v="TXN15163265"/>
    <x v="1523"/>
    <x v="2"/>
    <x v="3"/>
    <n v="30489"/>
    <x v="0"/>
    <x v="8"/>
    <x v="0"/>
    <n v="0"/>
    <n v="0"/>
    <n v="0"/>
    <s v="Success"/>
  </r>
  <r>
    <s v="TXN36397205"/>
    <x v="1524"/>
    <x v="1"/>
    <x v="1"/>
    <n v="50779"/>
    <x v="0"/>
    <x v="4"/>
    <x v="0"/>
    <n v="5"/>
    <n v="0"/>
    <n v="5"/>
    <s v="Success"/>
  </r>
  <r>
    <s v="TXN82663910"/>
    <x v="1525"/>
    <x v="0"/>
    <x v="3"/>
    <n v="74142"/>
    <x v="1"/>
    <x v="4"/>
    <x v="0"/>
    <n v="0"/>
    <n v="0"/>
    <n v="0"/>
    <s v="Success"/>
  </r>
  <r>
    <s v="TXN22029373"/>
    <x v="1526"/>
    <x v="3"/>
    <x v="2"/>
    <n v="1658"/>
    <x v="0"/>
    <x v="1"/>
    <x v="0"/>
    <n v="0"/>
    <n v="0"/>
    <n v="0"/>
    <s v="Success"/>
  </r>
  <r>
    <s v="TXN93498104"/>
    <x v="1527"/>
    <x v="4"/>
    <x v="0"/>
    <n v="217500"/>
    <x v="0"/>
    <x v="5"/>
    <x v="0"/>
    <n v="4023.75"/>
    <n v="1609.5"/>
    <n v="2414.25"/>
    <s v="Success"/>
  </r>
  <r>
    <s v="TXN36915453"/>
    <x v="1528"/>
    <x v="3"/>
    <x v="0"/>
    <n v="65500"/>
    <x v="0"/>
    <x v="5"/>
    <x v="0"/>
    <n v="1211.75"/>
    <n v="484.7"/>
    <n v="727.05"/>
    <s v="Success"/>
  </r>
  <r>
    <s v="TXN96981769"/>
    <x v="1529"/>
    <x v="5"/>
    <x v="1"/>
    <n v="78932"/>
    <x v="1"/>
    <x v="7"/>
    <x v="0"/>
    <n v="5"/>
    <n v="0"/>
    <n v="5"/>
    <s v="Success"/>
  </r>
  <r>
    <s v="TXN11808920"/>
    <x v="1530"/>
    <x v="5"/>
    <x v="4"/>
    <n v="2553"/>
    <x v="0"/>
    <x v="2"/>
    <x v="1"/>
    <n v="25.53"/>
    <n v="0"/>
    <n v="25.53"/>
    <s v="Success"/>
  </r>
  <r>
    <s v="TXN89778627"/>
    <x v="1531"/>
    <x v="3"/>
    <x v="4"/>
    <n v="141559"/>
    <x v="0"/>
    <x v="5"/>
    <x v="1"/>
    <n v="1415.59"/>
    <n v="0"/>
    <n v="1415.59"/>
    <s v="Success"/>
  </r>
  <r>
    <s v="TXN93551602"/>
    <x v="1532"/>
    <x v="1"/>
    <x v="1"/>
    <n v="10302"/>
    <x v="0"/>
    <x v="6"/>
    <x v="0"/>
    <n v="5"/>
    <n v="0"/>
    <n v="5"/>
    <s v="Success"/>
  </r>
  <r>
    <s v="TXN20307241"/>
    <x v="1533"/>
    <x v="7"/>
    <x v="3"/>
    <n v="106691"/>
    <x v="0"/>
    <x v="7"/>
    <x v="0"/>
    <n v="0"/>
    <n v="0"/>
    <n v="0"/>
    <s v="Success"/>
  </r>
  <r>
    <s v="TXN18205395"/>
    <x v="1534"/>
    <x v="1"/>
    <x v="4"/>
    <n v="108405"/>
    <x v="2"/>
    <x v="0"/>
    <x v="3"/>
    <n v="1084.05"/>
    <n v="0"/>
    <n v="1084.05"/>
    <s v="Success"/>
  </r>
  <r>
    <s v="TXN33775749"/>
    <x v="1535"/>
    <x v="6"/>
    <x v="1"/>
    <n v="44942"/>
    <x v="0"/>
    <x v="3"/>
    <x v="0"/>
    <n v="5"/>
    <n v="0"/>
    <n v="5"/>
    <s v="Success"/>
  </r>
  <r>
    <s v="TXN90821063"/>
    <x v="1536"/>
    <x v="2"/>
    <x v="0"/>
    <n v="220000"/>
    <x v="0"/>
    <x v="6"/>
    <x v="0"/>
    <n v="4070"/>
    <n v="1628"/>
    <n v="2442"/>
    <s v="Success"/>
  </r>
  <r>
    <s v="TXN36847430"/>
    <x v="1537"/>
    <x v="4"/>
    <x v="0"/>
    <n v="193000"/>
    <x v="0"/>
    <x v="3"/>
    <x v="0"/>
    <n v="3570.5"/>
    <n v="1428.2"/>
    <n v="2142.3000000000002"/>
    <s v="Success"/>
  </r>
  <r>
    <s v="TXN35443760"/>
    <x v="1538"/>
    <x v="2"/>
    <x v="0"/>
    <n v="35500"/>
    <x v="1"/>
    <x v="2"/>
    <x v="0"/>
    <n v="656.75"/>
    <n v="262.7"/>
    <n v="394.05"/>
    <s v="Success"/>
  </r>
  <r>
    <s v="TXN30323264"/>
    <x v="1539"/>
    <x v="2"/>
    <x v="0"/>
    <n v="218000"/>
    <x v="0"/>
    <x v="7"/>
    <x v="0"/>
    <n v="4033"/>
    <n v="1613.2"/>
    <n v="2419.8000000000002"/>
    <s v="Success"/>
  </r>
  <r>
    <s v="TXN13296141"/>
    <x v="1540"/>
    <x v="2"/>
    <x v="2"/>
    <n v="2570"/>
    <x v="0"/>
    <x v="2"/>
    <x v="0"/>
    <n v="0"/>
    <n v="0"/>
    <n v="0"/>
    <s v="Success"/>
  </r>
  <r>
    <s v="TXN11975562"/>
    <x v="1541"/>
    <x v="7"/>
    <x v="2"/>
    <n v="3070"/>
    <x v="0"/>
    <x v="8"/>
    <x v="0"/>
    <n v="0"/>
    <n v="0"/>
    <n v="0"/>
    <s v="Success"/>
  </r>
  <r>
    <s v="TXN53175932"/>
    <x v="1542"/>
    <x v="2"/>
    <x v="1"/>
    <n v="66978"/>
    <x v="0"/>
    <x v="5"/>
    <x v="0"/>
    <n v="5"/>
    <n v="0"/>
    <n v="5"/>
    <s v="Success"/>
  </r>
  <r>
    <s v="TXN65305187"/>
    <x v="1543"/>
    <x v="6"/>
    <x v="3"/>
    <n v="121194"/>
    <x v="0"/>
    <x v="8"/>
    <x v="0"/>
    <n v="0"/>
    <n v="0"/>
    <n v="0"/>
    <s v="Success"/>
  </r>
  <r>
    <s v="TXN47561064"/>
    <x v="1544"/>
    <x v="4"/>
    <x v="3"/>
    <n v="136327"/>
    <x v="0"/>
    <x v="7"/>
    <x v="0"/>
    <n v="0"/>
    <n v="0"/>
    <n v="0"/>
    <s v="Success"/>
  </r>
  <r>
    <s v="TXN20873480"/>
    <x v="1545"/>
    <x v="3"/>
    <x v="0"/>
    <n v="98500"/>
    <x v="0"/>
    <x v="6"/>
    <x v="0"/>
    <n v="1822.25"/>
    <n v="728.9"/>
    <n v="1093.3499999999999"/>
    <s v="Success"/>
  </r>
  <r>
    <s v="TXN77659564"/>
    <x v="1546"/>
    <x v="2"/>
    <x v="2"/>
    <n v="4657"/>
    <x v="0"/>
    <x v="3"/>
    <x v="0"/>
    <n v="0"/>
    <n v="0"/>
    <n v="0"/>
    <s v="Success"/>
  </r>
  <r>
    <s v="TXN95427284"/>
    <x v="1547"/>
    <x v="4"/>
    <x v="4"/>
    <n v="63413"/>
    <x v="0"/>
    <x v="7"/>
    <x v="2"/>
    <n v="634.13"/>
    <n v="0"/>
    <n v="634.13"/>
    <s v="Success"/>
  </r>
  <r>
    <s v="TXN22677648"/>
    <x v="1548"/>
    <x v="1"/>
    <x v="1"/>
    <n v="73104"/>
    <x v="0"/>
    <x v="7"/>
    <x v="0"/>
    <n v="5"/>
    <n v="0"/>
    <n v="5"/>
    <s v="Success"/>
  </r>
  <r>
    <s v="TXN23268106"/>
    <x v="1549"/>
    <x v="7"/>
    <x v="2"/>
    <n v="4285"/>
    <x v="0"/>
    <x v="5"/>
    <x v="0"/>
    <n v="0"/>
    <n v="0"/>
    <n v="0"/>
    <s v="Success"/>
  </r>
  <r>
    <s v="TXN40845888"/>
    <x v="1550"/>
    <x v="2"/>
    <x v="3"/>
    <n v="69822"/>
    <x v="0"/>
    <x v="0"/>
    <x v="0"/>
    <n v="0"/>
    <n v="0"/>
    <n v="0"/>
    <s v="Success"/>
  </r>
  <r>
    <s v="TXN24396685"/>
    <x v="1551"/>
    <x v="3"/>
    <x v="1"/>
    <n v="13226"/>
    <x v="1"/>
    <x v="6"/>
    <x v="0"/>
    <n v="5"/>
    <n v="0"/>
    <n v="5"/>
    <s v="Success"/>
  </r>
  <r>
    <s v="TXN35706829"/>
    <x v="1552"/>
    <x v="7"/>
    <x v="4"/>
    <n v="119717"/>
    <x v="0"/>
    <x v="0"/>
    <x v="4"/>
    <n v="1197.17"/>
    <n v="0"/>
    <n v="1197.17"/>
    <s v="Success"/>
  </r>
  <r>
    <s v="TXN98332236"/>
    <x v="1553"/>
    <x v="0"/>
    <x v="4"/>
    <n v="78914"/>
    <x v="0"/>
    <x v="4"/>
    <x v="5"/>
    <n v="789.14"/>
    <n v="0"/>
    <n v="789.14"/>
    <s v="Success"/>
  </r>
  <r>
    <s v="TXN30746121"/>
    <x v="1554"/>
    <x v="7"/>
    <x v="4"/>
    <n v="3693"/>
    <x v="0"/>
    <x v="5"/>
    <x v="1"/>
    <n v="36.93"/>
    <n v="0"/>
    <n v="36.93"/>
    <s v="Success"/>
  </r>
  <r>
    <s v="TXN59074816"/>
    <x v="1555"/>
    <x v="5"/>
    <x v="2"/>
    <n v="3621"/>
    <x v="0"/>
    <x v="1"/>
    <x v="0"/>
    <n v="0"/>
    <n v="0"/>
    <n v="0"/>
    <s v="Success"/>
  </r>
  <r>
    <s v="TXN48821197"/>
    <x v="1556"/>
    <x v="0"/>
    <x v="2"/>
    <n v="4224"/>
    <x v="1"/>
    <x v="2"/>
    <x v="0"/>
    <n v="0"/>
    <n v="0"/>
    <n v="0"/>
    <s v="Success"/>
  </r>
  <r>
    <s v="TXN34233233"/>
    <x v="1557"/>
    <x v="4"/>
    <x v="1"/>
    <n v="77032"/>
    <x v="0"/>
    <x v="8"/>
    <x v="0"/>
    <n v="5"/>
    <n v="0"/>
    <n v="5"/>
    <s v="Success"/>
  </r>
  <r>
    <s v="TXN35758790"/>
    <x v="1558"/>
    <x v="0"/>
    <x v="0"/>
    <n v="228000"/>
    <x v="0"/>
    <x v="5"/>
    <x v="0"/>
    <n v="4218"/>
    <n v="1687.2"/>
    <n v="2530.8000000000002"/>
    <s v="Success"/>
  </r>
  <r>
    <s v="TXN90808173"/>
    <x v="1559"/>
    <x v="4"/>
    <x v="1"/>
    <n v="121978"/>
    <x v="1"/>
    <x v="2"/>
    <x v="0"/>
    <n v="5"/>
    <n v="0"/>
    <n v="5"/>
    <s v="Success"/>
  </r>
  <r>
    <s v="TXN56958257"/>
    <x v="1560"/>
    <x v="3"/>
    <x v="4"/>
    <n v="121851"/>
    <x v="2"/>
    <x v="4"/>
    <x v="2"/>
    <n v="1218.51"/>
    <n v="0"/>
    <n v="1218.51"/>
    <s v="Success"/>
  </r>
  <r>
    <s v="TXN91401865"/>
    <x v="1561"/>
    <x v="4"/>
    <x v="2"/>
    <n v="4648"/>
    <x v="0"/>
    <x v="1"/>
    <x v="0"/>
    <n v="0"/>
    <n v="0"/>
    <n v="0"/>
    <s v="Success"/>
  </r>
  <r>
    <s v="TXN78627682"/>
    <x v="1562"/>
    <x v="5"/>
    <x v="1"/>
    <n v="144033"/>
    <x v="0"/>
    <x v="3"/>
    <x v="0"/>
    <n v="5"/>
    <n v="0"/>
    <n v="5"/>
    <s v="Success"/>
  </r>
  <r>
    <s v="TXN34612562"/>
    <x v="1563"/>
    <x v="6"/>
    <x v="4"/>
    <n v="56129"/>
    <x v="0"/>
    <x v="7"/>
    <x v="3"/>
    <n v="561.29"/>
    <n v="0"/>
    <n v="561.29"/>
    <s v="Success"/>
  </r>
  <r>
    <s v="TXN53856972"/>
    <x v="1564"/>
    <x v="2"/>
    <x v="2"/>
    <n v="3387"/>
    <x v="0"/>
    <x v="2"/>
    <x v="0"/>
    <n v="0"/>
    <n v="0"/>
    <n v="0"/>
    <s v="Success"/>
  </r>
  <r>
    <s v="TXN31086399"/>
    <x v="1565"/>
    <x v="3"/>
    <x v="2"/>
    <n v="3256"/>
    <x v="0"/>
    <x v="5"/>
    <x v="0"/>
    <n v="0"/>
    <n v="0"/>
    <n v="0"/>
    <s v="Success"/>
  </r>
  <r>
    <s v="TXN60852100"/>
    <x v="1566"/>
    <x v="1"/>
    <x v="0"/>
    <n v="217500"/>
    <x v="0"/>
    <x v="2"/>
    <x v="0"/>
    <n v="4023.75"/>
    <n v="1609.5"/>
    <n v="2414.25"/>
    <s v="Success"/>
  </r>
  <r>
    <s v="TXN87006272"/>
    <x v="1567"/>
    <x v="5"/>
    <x v="0"/>
    <n v="243000"/>
    <x v="1"/>
    <x v="1"/>
    <x v="0"/>
    <n v="4495.5"/>
    <n v="1798.2"/>
    <n v="2697.3"/>
    <s v="Success"/>
  </r>
  <r>
    <s v="TXN38530793"/>
    <x v="1568"/>
    <x v="4"/>
    <x v="0"/>
    <n v="97500"/>
    <x v="0"/>
    <x v="3"/>
    <x v="0"/>
    <n v="1803.75"/>
    <n v="721.5"/>
    <n v="1082.25"/>
    <s v="Success"/>
  </r>
  <r>
    <s v="TXN97202713"/>
    <x v="1569"/>
    <x v="4"/>
    <x v="0"/>
    <n v="65500"/>
    <x v="1"/>
    <x v="0"/>
    <x v="0"/>
    <n v="1211.75"/>
    <n v="484.7"/>
    <n v="727.05"/>
    <s v="Success"/>
  </r>
  <r>
    <s v="TXN49220519"/>
    <x v="1570"/>
    <x v="7"/>
    <x v="4"/>
    <n v="112543"/>
    <x v="1"/>
    <x v="6"/>
    <x v="3"/>
    <n v="1125.43"/>
    <n v="0"/>
    <n v="1125.43"/>
    <s v="Success"/>
  </r>
  <r>
    <s v="TXN50308607"/>
    <x v="1571"/>
    <x v="3"/>
    <x v="1"/>
    <n v="111205"/>
    <x v="1"/>
    <x v="6"/>
    <x v="0"/>
    <n v="5"/>
    <n v="0"/>
    <n v="5"/>
    <s v="Success"/>
  </r>
  <r>
    <s v="TXN61435144"/>
    <x v="1572"/>
    <x v="0"/>
    <x v="4"/>
    <n v="5589"/>
    <x v="0"/>
    <x v="5"/>
    <x v="2"/>
    <n v="55.89"/>
    <n v="0"/>
    <n v="55.89"/>
    <s v="Success"/>
  </r>
  <r>
    <s v="TXN55733557"/>
    <x v="1573"/>
    <x v="5"/>
    <x v="2"/>
    <n v="3918"/>
    <x v="1"/>
    <x v="1"/>
    <x v="0"/>
    <n v="0"/>
    <n v="0"/>
    <n v="0"/>
    <s v="Success"/>
  </r>
  <r>
    <s v="TXN81905358"/>
    <x v="1574"/>
    <x v="0"/>
    <x v="3"/>
    <n v="148743"/>
    <x v="2"/>
    <x v="6"/>
    <x v="0"/>
    <n v="0"/>
    <n v="0"/>
    <n v="0"/>
    <s v="Success"/>
  </r>
  <r>
    <s v="TXN32466181"/>
    <x v="1575"/>
    <x v="3"/>
    <x v="3"/>
    <n v="45844"/>
    <x v="0"/>
    <x v="3"/>
    <x v="0"/>
    <n v="0"/>
    <n v="0"/>
    <n v="0"/>
    <s v="Success"/>
  </r>
  <r>
    <s v="TXN91315291"/>
    <x v="1576"/>
    <x v="1"/>
    <x v="1"/>
    <n v="89760"/>
    <x v="0"/>
    <x v="8"/>
    <x v="0"/>
    <n v="5"/>
    <n v="0"/>
    <n v="5"/>
    <s v="Success"/>
  </r>
  <r>
    <s v="TXN38374077"/>
    <x v="1577"/>
    <x v="6"/>
    <x v="3"/>
    <n v="67221"/>
    <x v="0"/>
    <x v="4"/>
    <x v="0"/>
    <n v="0"/>
    <n v="0"/>
    <n v="0"/>
    <s v="Success"/>
  </r>
  <r>
    <s v="TXN38094077"/>
    <x v="1578"/>
    <x v="0"/>
    <x v="1"/>
    <n v="100690"/>
    <x v="2"/>
    <x v="5"/>
    <x v="0"/>
    <n v="5"/>
    <n v="0"/>
    <n v="5"/>
    <s v="Success"/>
  </r>
  <r>
    <s v="TXN47289987"/>
    <x v="1579"/>
    <x v="6"/>
    <x v="3"/>
    <n v="70080"/>
    <x v="1"/>
    <x v="6"/>
    <x v="0"/>
    <n v="0"/>
    <n v="0"/>
    <n v="0"/>
    <s v="Success"/>
  </r>
  <r>
    <s v="TXN44270066"/>
    <x v="1580"/>
    <x v="6"/>
    <x v="1"/>
    <n v="109722"/>
    <x v="0"/>
    <x v="1"/>
    <x v="0"/>
    <n v="5"/>
    <n v="0"/>
    <n v="5"/>
    <s v="Success"/>
  </r>
  <r>
    <s v="TXN71667133"/>
    <x v="1581"/>
    <x v="5"/>
    <x v="3"/>
    <n v="81192"/>
    <x v="0"/>
    <x v="0"/>
    <x v="0"/>
    <n v="0"/>
    <n v="0"/>
    <n v="0"/>
    <s v="Success"/>
  </r>
  <r>
    <s v="TXN53557357"/>
    <x v="1582"/>
    <x v="7"/>
    <x v="0"/>
    <n v="98000"/>
    <x v="0"/>
    <x v="6"/>
    <x v="0"/>
    <n v="1813"/>
    <n v="725.2"/>
    <n v="1087.8"/>
    <s v="Success"/>
  </r>
  <r>
    <s v="TXN39428565"/>
    <x v="1583"/>
    <x v="1"/>
    <x v="4"/>
    <n v="12734"/>
    <x v="1"/>
    <x v="1"/>
    <x v="4"/>
    <n v="127.34"/>
    <n v="0"/>
    <n v="127.34"/>
    <s v="Success"/>
  </r>
  <r>
    <s v="TXN84288369"/>
    <x v="1584"/>
    <x v="7"/>
    <x v="4"/>
    <n v="4483"/>
    <x v="1"/>
    <x v="5"/>
    <x v="4"/>
    <n v="44.83"/>
    <n v="0"/>
    <n v="44.83"/>
    <s v="Success"/>
  </r>
  <r>
    <s v="TXN99660554"/>
    <x v="1585"/>
    <x v="4"/>
    <x v="4"/>
    <n v="138501"/>
    <x v="1"/>
    <x v="5"/>
    <x v="4"/>
    <n v="1385.01"/>
    <n v="0"/>
    <n v="1385.01"/>
    <s v="Success"/>
  </r>
  <r>
    <s v="TXN27838108"/>
    <x v="1586"/>
    <x v="5"/>
    <x v="0"/>
    <n v="62000"/>
    <x v="0"/>
    <x v="7"/>
    <x v="0"/>
    <n v="1147"/>
    <n v="458.8"/>
    <n v="688.2"/>
    <s v="Success"/>
  </r>
  <r>
    <s v="TXN11820141"/>
    <x v="1587"/>
    <x v="4"/>
    <x v="0"/>
    <n v="174500"/>
    <x v="0"/>
    <x v="2"/>
    <x v="0"/>
    <n v="3228.25"/>
    <n v="1291.3"/>
    <n v="1936.95"/>
    <s v="Success"/>
  </r>
  <r>
    <s v="TXN43019517"/>
    <x v="1588"/>
    <x v="0"/>
    <x v="0"/>
    <n v="38500"/>
    <x v="0"/>
    <x v="5"/>
    <x v="0"/>
    <n v="712.25"/>
    <n v="284.89999999999998"/>
    <n v="427.35"/>
    <s v="Success"/>
  </r>
  <r>
    <s v="TXN89695934"/>
    <x v="1589"/>
    <x v="3"/>
    <x v="1"/>
    <n v="99988"/>
    <x v="2"/>
    <x v="4"/>
    <x v="0"/>
    <n v="5"/>
    <n v="0"/>
    <n v="5"/>
    <s v="Success"/>
  </r>
  <r>
    <s v="TXN75992601"/>
    <x v="1590"/>
    <x v="4"/>
    <x v="3"/>
    <n v="120254"/>
    <x v="0"/>
    <x v="3"/>
    <x v="0"/>
    <n v="0"/>
    <n v="0"/>
    <n v="0"/>
    <s v="Success"/>
  </r>
  <r>
    <s v="TXN52705135"/>
    <x v="1591"/>
    <x v="4"/>
    <x v="2"/>
    <n v="4510"/>
    <x v="0"/>
    <x v="2"/>
    <x v="0"/>
    <n v="0"/>
    <n v="0"/>
    <n v="0"/>
    <s v="Success"/>
  </r>
  <r>
    <s v="TXN68073491"/>
    <x v="1592"/>
    <x v="2"/>
    <x v="0"/>
    <n v="40000"/>
    <x v="2"/>
    <x v="2"/>
    <x v="0"/>
    <n v="740"/>
    <n v="296"/>
    <n v="444"/>
    <s v="Success"/>
  </r>
  <r>
    <s v="TXN82271622"/>
    <x v="1593"/>
    <x v="6"/>
    <x v="4"/>
    <n v="55717"/>
    <x v="0"/>
    <x v="2"/>
    <x v="2"/>
    <n v="557.16999999999996"/>
    <n v="0"/>
    <n v="557.16999999999996"/>
    <s v="Success"/>
  </r>
  <r>
    <s v="TXN30171133"/>
    <x v="1594"/>
    <x v="3"/>
    <x v="2"/>
    <n v="752"/>
    <x v="0"/>
    <x v="2"/>
    <x v="0"/>
    <n v="0"/>
    <n v="0"/>
    <n v="0"/>
    <s v="Success"/>
  </r>
  <r>
    <s v="TXN43834637"/>
    <x v="1595"/>
    <x v="2"/>
    <x v="4"/>
    <n v="38290"/>
    <x v="0"/>
    <x v="8"/>
    <x v="3"/>
    <n v="382.9"/>
    <n v="0"/>
    <n v="382.9"/>
    <s v="Success"/>
  </r>
  <r>
    <s v="TXN87726995"/>
    <x v="1596"/>
    <x v="7"/>
    <x v="2"/>
    <n v="2303"/>
    <x v="0"/>
    <x v="2"/>
    <x v="0"/>
    <n v="0"/>
    <n v="0"/>
    <n v="0"/>
    <s v="Success"/>
  </r>
  <r>
    <s v="TXN97927196"/>
    <x v="1597"/>
    <x v="0"/>
    <x v="4"/>
    <n v="53040"/>
    <x v="2"/>
    <x v="0"/>
    <x v="1"/>
    <n v="530.4"/>
    <n v="0"/>
    <n v="530.4"/>
    <s v="Success"/>
  </r>
  <r>
    <s v="TXN85255701"/>
    <x v="1598"/>
    <x v="7"/>
    <x v="3"/>
    <n v="140990"/>
    <x v="0"/>
    <x v="2"/>
    <x v="0"/>
    <n v="0"/>
    <n v="0"/>
    <n v="0"/>
    <s v="Success"/>
  </r>
  <r>
    <s v="TXN23280037"/>
    <x v="1599"/>
    <x v="1"/>
    <x v="4"/>
    <n v="142745"/>
    <x v="0"/>
    <x v="5"/>
    <x v="1"/>
    <n v="1427.45"/>
    <n v="0"/>
    <n v="1427.45"/>
    <s v="Success"/>
  </r>
  <r>
    <s v="TXN52320182"/>
    <x v="1600"/>
    <x v="3"/>
    <x v="4"/>
    <n v="84925"/>
    <x v="1"/>
    <x v="5"/>
    <x v="5"/>
    <n v="849.25"/>
    <n v="0"/>
    <n v="849.25"/>
    <s v="Success"/>
  </r>
  <r>
    <s v="TXN65211273"/>
    <x v="1601"/>
    <x v="2"/>
    <x v="4"/>
    <n v="106123"/>
    <x v="0"/>
    <x v="5"/>
    <x v="5"/>
    <n v="1061.23"/>
    <n v="0"/>
    <n v="1061.23"/>
    <s v="Success"/>
  </r>
  <r>
    <s v="TXN48173189"/>
    <x v="1602"/>
    <x v="6"/>
    <x v="0"/>
    <n v="168500"/>
    <x v="2"/>
    <x v="4"/>
    <x v="0"/>
    <n v="3117.25"/>
    <n v="1246.9000000000001"/>
    <n v="1870.35"/>
    <s v="Success"/>
  </r>
  <r>
    <s v="TXN76302991"/>
    <x v="1603"/>
    <x v="3"/>
    <x v="3"/>
    <n v="148635"/>
    <x v="0"/>
    <x v="0"/>
    <x v="0"/>
    <n v="0"/>
    <n v="0"/>
    <n v="0"/>
    <s v="Success"/>
  </r>
  <r>
    <s v="TXN24378540"/>
    <x v="1604"/>
    <x v="7"/>
    <x v="1"/>
    <n v="144458"/>
    <x v="0"/>
    <x v="5"/>
    <x v="0"/>
    <n v="5"/>
    <n v="0"/>
    <n v="5"/>
    <s v="Success"/>
  </r>
  <r>
    <s v="TXN75220098"/>
    <x v="1605"/>
    <x v="3"/>
    <x v="3"/>
    <n v="144227"/>
    <x v="2"/>
    <x v="2"/>
    <x v="0"/>
    <n v="0"/>
    <n v="0"/>
    <n v="0"/>
    <s v="Success"/>
  </r>
  <r>
    <s v="TXN64441663"/>
    <x v="1606"/>
    <x v="0"/>
    <x v="3"/>
    <n v="34165"/>
    <x v="0"/>
    <x v="3"/>
    <x v="0"/>
    <n v="0"/>
    <n v="0"/>
    <n v="0"/>
    <s v="Success"/>
  </r>
  <r>
    <s v="TXN96432074"/>
    <x v="1607"/>
    <x v="7"/>
    <x v="3"/>
    <n v="61893"/>
    <x v="0"/>
    <x v="1"/>
    <x v="0"/>
    <n v="0"/>
    <n v="0"/>
    <n v="0"/>
    <s v="Success"/>
  </r>
  <r>
    <s v="TXN17550054"/>
    <x v="1608"/>
    <x v="1"/>
    <x v="4"/>
    <n v="108814"/>
    <x v="0"/>
    <x v="5"/>
    <x v="3"/>
    <n v="1088.1400000000001"/>
    <n v="0"/>
    <n v="1088.1400000000001"/>
    <s v="Success"/>
  </r>
  <r>
    <s v="TXN61325941"/>
    <x v="1609"/>
    <x v="7"/>
    <x v="1"/>
    <n v="18600"/>
    <x v="0"/>
    <x v="6"/>
    <x v="0"/>
    <n v="5"/>
    <n v="0"/>
    <n v="5"/>
    <s v="Success"/>
  </r>
  <r>
    <s v="TXN34524142"/>
    <x v="1610"/>
    <x v="0"/>
    <x v="0"/>
    <n v="171500"/>
    <x v="1"/>
    <x v="4"/>
    <x v="0"/>
    <n v="3172.75"/>
    <n v="1269.0999999999999"/>
    <n v="1903.65"/>
    <s v="Success"/>
  </r>
  <r>
    <s v="TXN21213828"/>
    <x v="1611"/>
    <x v="4"/>
    <x v="3"/>
    <n v="141525"/>
    <x v="0"/>
    <x v="6"/>
    <x v="0"/>
    <n v="0"/>
    <n v="0"/>
    <n v="0"/>
    <s v="Success"/>
  </r>
  <r>
    <s v="TXN52504187"/>
    <x v="1612"/>
    <x v="5"/>
    <x v="3"/>
    <n v="65965"/>
    <x v="0"/>
    <x v="6"/>
    <x v="0"/>
    <n v="0"/>
    <n v="0"/>
    <n v="0"/>
    <s v="Failed"/>
  </r>
  <r>
    <s v="TXN40388372"/>
    <x v="1613"/>
    <x v="0"/>
    <x v="2"/>
    <n v="2949"/>
    <x v="0"/>
    <x v="5"/>
    <x v="0"/>
    <n v="0"/>
    <n v="0"/>
    <n v="0"/>
    <s v="Success"/>
  </r>
  <r>
    <s v="TXN82425068"/>
    <x v="1614"/>
    <x v="0"/>
    <x v="4"/>
    <n v="111881"/>
    <x v="0"/>
    <x v="3"/>
    <x v="5"/>
    <n v="1118.81"/>
    <n v="0"/>
    <n v="1118.81"/>
    <s v="Success"/>
  </r>
  <r>
    <s v="TXN79600164"/>
    <x v="1615"/>
    <x v="5"/>
    <x v="1"/>
    <n v="25678"/>
    <x v="0"/>
    <x v="1"/>
    <x v="0"/>
    <n v="5"/>
    <n v="0"/>
    <n v="5"/>
    <s v="Success"/>
  </r>
  <r>
    <s v="TXN64981587"/>
    <x v="1616"/>
    <x v="2"/>
    <x v="2"/>
    <n v="3270"/>
    <x v="0"/>
    <x v="4"/>
    <x v="0"/>
    <n v="0"/>
    <n v="0"/>
    <n v="0"/>
    <s v="Success"/>
  </r>
  <r>
    <s v="TXN44977369"/>
    <x v="1617"/>
    <x v="1"/>
    <x v="2"/>
    <n v="3748"/>
    <x v="2"/>
    <x v="1"/>
    <x v="0"/>
    <n v="0"/>
    <n v="0"/>
    <n v="0"/>
    <s v="Success"/>
  </r>
  <r>
    <s v="TXN86388956"/>
    <x v="1618"/>
    <x v="0"/>
    <x v="2"/>
    <n v="4704"/>
    <x v="0"/>
    <x v="5"/>
    <x v="0"/>
    <n v="0"/>
    <n v="0"/>
    <n v="0"/>
    <s v="Success"/>
  </r>
  <r>
    <s v="TXN78321807"/>
    <x v="1619"/>
    <x v="1"/>
    <x v="3"/>
    <n v="131343"/>
    <x v="1"/>
    <x v="0"/>
    <x v="0"/>
    <n v="0"/>
    <n v="0"/>
    <n v="0"/>
    <s v="Success"/>
  </r>
  <r>
    <s v="TXN74625294"/>
    <x v="1620"/>
    <x v="1"/>
    <x v="4"/>
    <n v="109285"/>
    <x v="0"/>
    <x v="8"/>
    <x v="5"/>
    <n v="1092.8499999999999"/>
    <n v="0"/>
    <n v="1092.8499999999999"/>
    <s v="Success"/>
  </r>
  <r>
    <s v="TXN50020070"/>
    <x v="1621"/>
    <x v="4"/>
    <x v="4"/>
    <n v="96329"/>
    <x v="0"/>
    <x v="0"/>
    <x v="5"/>
    <n v="963.29"/>
    <n v="0"/>
    <n v="963.29"/>
    <s v="Success"/>
  </r>
  <r>
    <s v="TXN26182376"/>
    <x v="1622"/>
    <x v="3"/>
    <x v="0"/>
    <n v="64500"/>
    <x v="0"/>
    <x v="8"/>
    <x v="0"/>
    <n v="1193.25"/>
    <n v="477.3"/>
    <n v="715.95"/>
    <s v="Success"/>
  </r>
  <r>
    <s v="TXN10009931"/>
    <x v="1623"/>
    <x v="2"/>
    <x v="4"/>
    <n v="88427"/>
    <x v="1"/>
    <x v="5"/>
    <x v="3"/>
    <n v="884.27"/>
    <n v="0"/>
    <n v="884.27"/>
    <s v="Success"/>
  </r>
  <r>
    <s v="TXN75352597"/>
    <x v="1624"/>
    <x v="6"/>
    <x v="1"/>
    <n v="51233"/>
    <x v="0"/>
    <x v="1"/>
    <x v="0"/>
    <n v="5"/>
    <n v="0"/>
    <n v="5"/>
    <s v="Success"/>
  </r>
  <r>
    <s v="TXN89588662"/>
    <x v="1625"/>
    <x v="2"/>
    <x v="0"/>
    <n v="71500"/>
    <x v="0"/>
    <x v="5"/>
    <x v="0"/>
    <n v="1322.75"/>
    <n v="529.1"/>
    <n v="793.65"/>
    <s v="Success"/>
  </r>
  <r>
    <s v="TXN64595836"/>
    <x v="1626"/>
    <x v="7"/>
    <x v="3"/>
    <n v="133461"/>
    <x v="0"/>
    <x v="5"/>
    <x v="0"/>
    <n v="0"/>
    <n v="0"/>
    <n v="0"/>
    <s v="Success"/>
  </r>
  <r>
    <s v="TXN10039445"/>
    <x v="1627"/>
    <x v="6"/>
    <x v="1"/>
    <n v="22359"/>
    <x v="0"/>
    <x v="1"/>
    <x v="0"/>
    <n v="5"/>
    <n v="0"/>
    <n v="5"/>
    <s v="Success"/>
  </r>
  <r>
    <s v="TXN73890305"/>
    <x v="1628"/>
    <x v="4"/>
    <x v="4"/>
    <n v="64894"/>
    <x v="0"/>
    <x v="1"/>
    <x v="4"/>
    <n v="648.94000000000005"/>
    <n v="0"/>
    <n v="648.94000000000005"/>
    <s v="Failed"/>
  </r>
  <r>
    <s v="TXN67308454"/>
    <x v="1629"/>
    <x v="7"/>
    <x v="4"/>
    <n v="148699"/>
    <x v="0"/>
    <x v="2"/>
    <x v="3"/>
    <n v="1486.99"/>
    <n v="0"/>
    <n v="1486.99"/>
    <s v="Success"/>
  </r>
  <r>
    <s v="TXN90246599"/>
    <x v="1630"/>
    <x v="0"/>
    <x v="0"/>
    <n v="111500"/>
    <x v="0"/>
    <x v="3"/>
    <x v="0"/>
    <n v="2062.75"/>
    <n v="825.1"/>
    <n v="1237.6500000000001"/>
    <s v="Success"/>
  </r>
  <r>
    <s v="TXN64108189"/>
    <x v="1631"/>
    <x v="1"/>
    <x v="4"/>
    <n v="52774"/>
    <x v="0"/>
    <x v="7"/>
    <x v="3"/>
    <n v="527.74"/>
    <n v="0"/>
    <n v="527.74"/>
    <s v="Success"/>
  </r>
  <r>
    <s v="TXN13927469"/>
    <x v="1632"/>
    <x v="3"/>
    <x v="3"/>
    <n v="40299"/>
    <x v="0"/>
    <x v="4"/>
    <x v="0"/>
    <n v="0"/>
    <n v="0"/>
    <n v="0"/>
    <s v="Success"/>
  </r>
  <r>
    <s v="TXN61499730"/>
    <x v="1633"/>
    <x v="5"/>
    <x v="4"/>
    <n v="47465"/>
    <x v="0"/>
    <x v="5"/>
    <x v="2"/>
    <n v="474.65"/>
    <n v="0"/>
    <n v="474.65"/>
    <s v="Success"/>
  </r>
  <r>
    <s v="TXN24365768"/>
    <x v="1634"/>
    <x v="5"/>
    <x v="2"/>
    <n v="4612"/>
    <x v="0"/>
    <x v="5"/>
    <x v="0"/>
    <n v="0"/>
    <n v="0"/>
    <n v="0"/>
    <s v="Success"/>
  </r>
  <r>
    <s v="TXN11749584"/>
    <x v="1635"/>
    <x v="6"/>
    <x v="3"/>
    <n v="35966"/>
    <x v="0"/>
    <x v="1"/>
    <x v="0"/>
    <n v="0"/>
    <n v="0"/>
    <n v="0"/>
    <s v="Success"/>
  </r>
  <r>
    <s v="TXN22972432"/>
    <x v="1636"/>
    <x v="6"/>
    <x v="0"/>
    <n v="166500"/>
    <x v="0"/>
    <x v="2"/>
    <x v="0"/>
    <n v="3080.25"/>
    <n v="1232.0999999999999"/>
    <n v="1848.15"/>
    <s v="Success"/>
  </r>
  <r>
    <s v="TXN56310302"/>
    <x v="1637"/>
    <x v="4"/>
    <x v="3"/>
    <n v="87255"/>
    <x v="0"/>
    <x v="5"/>
    <x v="0"/>
    <n v="0"/>
    <n v="0"/>
    <n v="0"/>
    <s v="Success"/>
  </r>
  <r>
    <s v="TXN48452012"/>
    <x v="1638"/>
    <x v="2"/>
    <x v="1"/>
    <n v="123528"/>
    <x v="0"/>
    <x v="2"/>
    <x v="0"/>
    <n v="5"/>
    <n v="0"/>
    <n v="5"/>
    <s v="Success"/>
  </r>
  <r>
    <s v="TXN52768124"/>
    <x v="1639"/>
    <x v="5"/>
    <x v="4"/>
    <n v="1097"/>
    <x v="0"/>
    <x v="3"/>
    <x v="4"/>
    <n v="10.97"/>
    <n v="0"/>
    <n v="10.97"/>
    <s v="Success"/>
  </r>
  <r>
    <s v="TXN56257566"/>
    <x v="1640"/>
    <x v="7"/>
    <x v="0"/>
    <n v="81000"/>
    <x v="1"/>
    <x v="8"/>
    <x v="0"/>
    <n v="1498.5"/>
    <n v="599.4"/>
    <n v="899.1"/>
    <s v="Success"/>
  </r>
  <r>
    <s v="TXN24724937"/>
    <x v="1641"/>
    <x v="1"/>
    <x v="3"/>
    <n v="70946"/>
    <x v="0"/>
    <x v="4"/>
    <x v="0"/>
    <n v="0"/>
    <n v="0"/>
    <n v="0"/>
    <s v="Success"/>
  </r>
  <r>
    <s v="TXN93388859"/>
    <x v="1642"/>
    <x v="2"/>
    <x v="0"/>
    <n v="78000"/>
    <x v="0"/>
    <x v="8"/>
    <x v="0"/>
    <n v="1443"/>
    <n v="577.20000000000005"/>
    <n v="865.8"/>
    <s v="Success"/>
  </r>
  <r>
    <s v="TXN42739686"/>
    <x v="1643"/>
    <x v="6"/>
    <x v="4"/>
    <n v="110545"/>
    <x v="1"/>
    <x v="4"/>
    <x v="5"/>
    <n v="1105.45"/>
    <n v="0"/>
    <n v="1105.45"/>
    <s v="Success"/>
  </r>
  <r>
    <s v="TXN82637419"/>
    <x v="1644"/>
    <x v="4"/>
    <x v="3"/>
    <n v="8589"/>
    <x v="0"/>
    <x v="1"/>
    <x v="0"/>
    <n v="0"/>
    <n v="0"/>
    <n v="0"/>
    <s v="Success"/>
  </r>
  <r>
    <s v="TXN89884954"/>
    <x v="1645"/>
    <x v="1"/>
    <x v="1"/>
    <n v="82818"/>
    <x v="0"/>
    <x v="0"/>
    <x v="0"/>
    <n v="5"/>
    <n v="0"/>
    <n v="5"/>
    <s v="Success"/>
  </r>
  <r>
    <s v="TXN56504649"/>
    <x v="1646"/>
    <x v="5"/>
    <x v="3"/>
    <n v="50188"/>
    <x v="0"/>
    <x v="4"/>
    <x v="0"/>
    <n v="0"/>
    <n v="0"/>
    <n v="0"/>
    <s v="Success"/>
  </r>
  <r>
    <s v="TXN19583958"/>
    <x v="1647"/>
    <x v="0"/>
    <x v="1"/>
    <n v="131573"/>
    <x v="1"/>
    <x v="0"/>
    <x v="0"/>
    <n v="5"/>
    <n v="0"/>
    <n v="5"/>
    <s v="Success"/>
  </r>
  <r>
    <s v="TXN98178069"/>
    <x v="1648"/>
    <x v="5"/>
    <x v="3"/>
    <n v="51033"/>
    <x v="0"/>
    <x v="8"/>
    <x v="0"/>
    <n v="0"/>
    <n v="0"/>
    <n v="0"/>
    <s v="Success"/>
  </r>
  <r>
    <s v="TXN40260119"/>
    <x v="1649"/>
    <x v="5"/>
    <x v="0"/>
    <n v="69500"/>
    <x v="1"/>
    <x v="6"/>
    <x v="0"/>
    <n v="1285.75"/>
    <n v="514.29999999999995"/>
    <n v="771.45"/>
    <s v="Success"/>
  </r>
  <r>
    <s v="TXN85893528"/>
    <x v="1650"/>
    <x v="7"/>
    <x v="3"/>
    <n v="63004"/>
    <x v="0"/>
    <x v="7"/>
    <x v="0"/>
    <n v="0"/>
    <n v="0"/>
    <n v="0"/>
    <s v="Success"/>
  </r>
  <r>
    <s v="TXN18632101"/>
    <x v="1651"/>
    <x v="6"/>
    <x v="4"/>
    <n v="65920"/>
    <x v="0"/>
    <x v="4"/>
    <x v="3"/>
    <n v="659.2"/>
    <n v="0"/>
    <n v="659.2"/>
    <s v="Success"/>
  </r>
  <r>
    <s v="TXN21686514"/>
    <x v="1652"/>
    <x v="4"/>
    <x v="0"/>
    <n v="229000"/>
    <x v="0"/>
    <x v="6"/>
    <x v="0"/>
    <n v="4236.5"/>
    <n v="1694.6"/>
    <n v="2541.9"/>
    <s v="Success"/>
  </r>
  <r>
    <s v="TXN43482047"/>
    <x v="1653"/>
    <x v="5"/>
    <x v="2"/>
    <n v="1149"/>
    <x v="0"/>
    <x v="5"/>
    <x v="0"/>
    <n v="0"/>
    <n v="0"/>
    <n v="0"/>
    <s v="Success"/>
  </r>
  <r>
    <s v="TXN19308527"/>
    <x v="1654"/>
    <x v="1"/>
    <x v="2"/>
    <n v="4188"/>
    <x v="0"/>
    <x v="5"/>
    <x v="0"/>
    <n v="0"/>
    <n v="0"/>
    <n v="0"/>
    <s v="Success"/>
  </r>
  <r>
    <s v="TXN19362936"/>
    <x v="1655"/>
    <x v="5"/>
    <x v="2"/>
    <n v="4377"/>
    <x v="2"/>
    <x v="7"/>
    <x v="0"/>
    <n v="0"/>
    <n v="0"/>
    <n v="0"/>
    <s v="Success"/>
  </r>
  <r>
    <s v="TXN39305603"/>
    <x v="1656"/>
    <x v="1"/>
    <x v="3"/>
    <n v="133921"/>
    <x v="0"/>
    <x v="4"/>
    <x v="0"/>
    <n v="0"/>
    <n v="0"/>
    <n v="0"/>
    <s v="Success"/>
  </r>
  <r>
    <s v="TXN37056361"/>
    <x v="1657"/>
    <x v="5"/>
    <x v="1"/>
    <n v="85381"/>
    <x v="0"/>
    <x v="6"/>
    <x v="0"/>
    <n v="5"/>
    <n v="0"/>
    <n v="5"/>
    <s v="Success"/>
  </r>
  <r>
    <s v="TXN60848223"/>
    <x v="1658"/>
    <x v="0"/>
    <x v="2"/>
    <n v="1975"/>
    <x v="0"/>
    <x v="5"/>
    <x v="0"/>
    <n v="0"/>
    <n v="0"/>
    <n v="0"/>
    <s v="Success"/>
  </r>
  <r>
    <s v="TXN70187290"/>
    <x v="1659"/>
    <x v="2"/>
    <x v="0"/>
    <n v="158000"/>
    <x v="0"/>
    <x v="1"/>
    <x v="0"/>
    <n v="2923"/>
    <n v="1169.2"/>
    <n v="1753.8"/>
    <s v="Failed"/>
  </r>
  <r>
    <s v="TXN33618336"/>
    <x v="1660"/>
    <x v="1"/>
    <x v="4"/>
    <n v="1098"/>
    <x v="0"/>
    <x v="2"/>
    <x v="4"/>
    <n v="10.98"/>
    <n v="0"/>
    <n v="10.98"/>
    <s v="Success"/>
  </r>
  <r>
    <s v="TXN39857346"/>
    <x v="1661"/>
    <x v="3"/>
    <x v="2"/>
    <n v="4435"/>
    <x v="0"/>
    <x v="5"/>
    <x v="0"/>
    <n v="0"/>
    <n v="0"/>
    <n v="0"/>
    <s v="Success"/>
  </r>
  <r>
    <s v="TXN37397533"/>
    <x v="1662"/>
    <x v="5"/>
    <x v="2"/>
    <n v="2491"/>
    <x v="1"/>
    <x v="3"/>
    <x v="0"/>
    <n v="0"/>
    <n v="0"/>
    <n v="0"/>
    <s v="Success"/>
  </r>
  <r>
    <s v="TXN14250480"/>
    <x v="1663"/>
    <x v="3"/>
    <x v="1"/>
    <n v="138196"/>
    <x v="0"/>
    <x v="6"/>
    <x v="0"/>
    <n v="5"/>
    <n v="0"/>
    <n v="5"/>
    <s v="Failed"/>
  </r>
  <r>
    <s v="TXN51253884"/>
    <x v="1664"/>
    <x v="6"/>
    <x v="3"/>
    <n v="56347"/>
    <x v="0"/>
    <x v="7"/>
    <x v="0"/>
    <n v="0"/>
    <n v="0"/>
    <n v="0"/>
    <s v="Success"/>
  </r>
  <r>
    <s v="TXN39937413"/>
    <x v="1665"/>
    <x v="1"/>
    <x v="3"/>
    <n v="46429"/>
    <x v="0"/>
    <x v="1"/>
    <x v="0"/>
    <n v="0"/>
    <n v="0"/>
    <n v="0"/>
    <s v="Success"/>
  </r>
  <r>
    <s v="TXN47528368"/>
    <x v="1666"/>
    <x v="1"/>
    <x v="1"/>
    <n v="147575"/>
    <x v="0"/>
    <x v="2"/>
    <x v="0"/>
    <n v="5"/>
    <n v="0"/>
    <n v="5"/>
    <s v="Success"/>
  </r>
  <r>
    <s v="TXN29045315"/>
    <x v="1667"/>
    <x v="7"/>
    <x v="1"/>
    <n v="31614"/>
    <x v="0"/>
    <x v="2"/>
    <x v="0"/>
    <n v="5"/>
    <n v="0"/>
    <n v="5"/>
    <s v="Success"/>
  </r>
  <r>
    <s v="TXN38040119"/>
    <x v="1668"/>
    <x v="6"/>
    <x v="3"/>
    <n v="30048"/>
    <x v="0"/>
    <x v="5"/>
    <x v="0"/>
    <n v="0"/>
    <n v="0"/>
    <n v="0"/>
    <s v="Success"/>
  </r>
  <r>
    <s v="TXN62624837"/>
    <x v="1669"/>
    <x v="7"/>
    <x v="1"/>
    <n v="114994"/>
    <x v="0"/>
    <x v="1"/>
    <x v="0"/>
    <n v="5"/>
    <n v="0"/>
    <n v="5"/>
    <s v="Success"/>
  </r>
  <r>
    <s v="TXN63969779"/>
    <x v="1670"/>
    <x v="0"/>
    <x v="4"/>
    <n v="12007"/>
    <x v="0"/>
    <x v="0"/>
    <x v="1"/>
    <n v="120.07"/>
    <n v="0"/>
    <n v="120.07"/>
    <s v="Success"/>
  </r>
  <r>
    <s v="TXN28219232"/>
    <x v="1671"/>
    <x v="7"/>
    <x v="2"/>
    <n v="3967"/>
    <x v="0"/>
    <x v="5"/>
    <x v="0"/>
    <n v="0"/>
    <n v="0"/>
    <n v="0"/>
    <s v="Success"/>
  </r>
  <r>
    <s v="TXN11173165"/>
    <x v="1672"/>
    <x v="7"/>
    <x v="2"/>
    <n v="992"/>
    <x v="0"/>
    <x v="2"/>
    <x v="0"/>
    <n v="0"/>
    <n v="0"/>
    <n v="0"/>
    <s v="Success"/>
  </r>
  <r>
    <s v="TXN69534638"/>
    <x v="1673"/>
    <x v="3"/>
    <x v="1"/>
    <n v="99792"/>
    <x v="0"/>
    <x v="6"/>
    <x v="0"/>
    <n v="5"/>
    <n v="0"/>
    <n v="5"/>
    <s v="Success"/>
  </r>
  <r>
    <s v="TXN98910600"/>
    <x v="1674"/>
    <x v="6"/>
    <x v="1"/>
    <n v="25889"/>
    <x v="0"/>
    <x v="5"/>
    <x v="0"/>
    <n v="5"/>
    <n v="0"/>
    <n v="5"/>
    <s v="Success"/>
  </r>
  <r>
    <s v="TXN54237890"/>
    <x v="1675"/>
    <x v="3"/>
    <x v="0"/>
    <n v="100000"/>
    <x v="0"/>
    <x v="1"/>
    <x v="0"/>
    <n v="1850"/>
    <n v="740"/>
    <n v="1110"/>
    <s v="Success"/>
  </r>
  <r>
    <s v="TXN73632348"/>
    <x v="1676"/>
    <x v="2"/>
    <x v="1"/>
    <n v="34778"/>
    <x v="0"/>
    <x v="6"/>
    <x v="0"/>
    <n v="5"/>
    <n v="0"/>
    <n v="5"/>
    <s v="Success"/>
  </r>
  <r>
    <s v="TXN19261877"/>
    <x v="1677"/>
    <x v="2"/>
    <x v="1"/>
    <n v="10842"/>
    <x v="0"/>
    <x v="2"/>
    <x v="0"/>
    <n v="5"/>
    <n v="0"/>
    <n v="5"/>
    <s v="Success"/>
  </r>
  <r>
    <s v="TXN30377094"/>
    <x v="1678"/>
    <x v="2"/>
    <x v="0"/>
    <n v="33000"/>
    <x v="1"/>
    <x v="3"/>
    <x v="0"/>
    <n v="610.5"/>
    <n v="244.2"/>
    <n v="366.3"/>
    <s v="Success"/>
  </r>
  <r>
    <s v="TXN25017184"/>
    <x v="1679"/>
    <x v="5"/>
    <x v="3"/>
    <n v="64193"/>
    <x v="1"/>
    <x v="3"/>
    <x v="0"/>
    <n v="0"/>
    <n v="0"/>
    <n v="0"/>
    <s v="Success"/>
  </r>
  <r>
    <s v="TXN21003288"/>
    <x v="1680"/>
    <x v="4"/>
    <x v="4"/>
    <n v="149120"/>
    <x v="0"/>
    <x v="7"/>
    <x v="5"/>
    <n v="1491.2"/>
    <n v="0"/>
    <n v="1491.2"/>
    <s v="Success"/>
  </r>
  <r>
    <s v="TXN52465864"/>
    <x v="1681"/>
    <x v="3"/>
    <x v="1"/>
    <n v="32839"/>
    <x v="0"/>
    <x v="4"/>
    <x v="0"/>
    <n v="5"/>
    <n v="0"/>
    <n v="5"/>
    <s v="Success"/>
  </r>
  <r>
    <s v="TXN20059460"/>
    <x v="1682"/>
    <x v="1"/>
    <x v="1"/>
    <n v="31718"/>
    <x v="0"/>
    <x v="7"/>
    <x v="0"/>
    <n v="5"/>
    <n v="0"/>
    <n v="5"/>
    <s v="Success"/>
  </r>
  <r>
    <s v="TXN23297734"/>
    <x v="1683"/>
    <x v="5"/>
    <x v="4"/>
    <n v="8631"/>
    <x v="0"/>
    <x v="1"/>
    <x v="1"/>
    <n v="86.31"/>
    <n v="0"/>
    <n v="86.31"/>
    <s v="Success"/>
  </r>
  <r>
    <s v="TXN13085873"/>
    <x v="1684"/>
    <x v="0"/>
    <x v="0"/>
    <n v="149000"/>
    <x v="1"/>
    <x v="1"/>
    <x v="0"/>
    <n v="2756.5"/>
    <n v="1102.5999999999999"/>
    <n v="1653.9"/>
    <s v="Success"/>
  </r>
  <r>
    <s v="TXN56260673"/>
    <x v="1685"/>
    <x v="6"/>
    <x v="4"/>
    <n v="93825"/>
    <x v="0"/>
    <x v="7"/>
    <x v="5"/>
    <n v="938.25"/>
    <n v="0"/>
    <n v="938.25"/>
    <s v="Success"/>
  </r>
  <r>
    <s v="TXN85836962"/>
    <x v="1686"/>
    <x v="1"/>
    <x v="0"/>
    <n v="113000"/>
    <x v="0"/>
    <x v="1"/>
    <x v="0"/>
    <n v="2090.5"/>
    <n v="836.2"/>
    <n v="1254.3"/>
    <s v="Success"/>
  </r>
  <r>
    <s v="TXN43455680"/>
    <x v="1687"/>
    <x v="5"/>
    <x v="1"/>
    <n v="4028"/>
    <x v="0"/>
    <x v="5"/>
    <x v="0"/>
    <n v="5"/>
    <n v="0"/>
    <n v="5"/>
    <s v="Success"/>
  </r>
  <r>
    <s v="TXN78383184"/>
    <x v="1688"/>
    <x v="6"/>
    <x v="0"/>
    <n v="185000"/>
    <x v="0"/>
    <x v="5"/>
    <x v="0"/>
    <n v="3422.5"/>
    <n v="1369"/>
    <n v="2053.5"/>
    <s v="Success"/>
  </r>
  <r>
    <s v="TXN89769484"/>
    <x v="1689"/>
    <x v="2"/>
    <x v="1"/>
    <n v="21571"/>
    <x v="0"/>
    <x v="7"/>
    <x v="0"/>
    <n v="5"/>
    <n v="0"/>
    <n v="5"/>
    <s v="Success"/>
  </r>
  <r>
    <s v="TXN10350142"/>
    <x v="1690"/>
    <x v="6"/>
    <x v="3"/>
    <n v="52682"/>
    <x v="0"/>
    <x v="0"/>
    <x v="0"/>
    <n v="0"/>
    <n v="0"/>
    <n v="0"/>
    <s v="Success"/>
  </r>
  <r>
    <s v="TXN43786935"/>
    <x v="1691"/>
    <x v="2"/>
    <x v="4"/>
    <n v="25654"/>
    <x v="1"/>
    <x v="1"/>
    <x v="1"/>
    <n v="256.54000000000002"/>
    <n v="0"/>
    <n v="256.54000000000002"/>
    <s v="Success"/>
  </r>
  <r>
    <s v="TXN83622062"/>
    <x v="1692"/>
    <x v="4"/>
    <x v="4"/>
    <n v="73837"/>
    <x v="0"/>
    <x v="4"/>
    <x v="3"/>
    <n v="738.37"/>
    <n v="0"/>
    <n v="738.37"/>
    <s v="Success"/>
  </r>
  <r>
    <s v="TXN29855595"/>
    <x v="1693"/>
    <x v="0"/>
    <x v="1"/>
    <n v="27327"/>
    <x v="0"/>
    <x v="3"/>
    <x v="0"/>
    <n v="5"/>
    <n v="0"/>
    <n v="5"/>
    <s v="Success"/>
  </r>
  <r>
    <s v="TXN94179000"/>
    <x v="1694"/>
    <x v="5"/>
    <x v="3"/>
    <n v="27984"/>
    <x v="1"/>
    <x v="0"/>
    <x v="0"/>
    <n v="0"/>
    <n v="0"/>
    <n v="0"/>
    <s v="Success"/>
  </r>
  <r>
    <s v="TXN69344019"/>
    <x v="1695"/>
    <x v="1"/>
    <x v="3"/>
    <n v="65163"/>
    <x v="0"/>
    <x v="2"/>
    <x v="0"/>
    <n v="0"/>
    <n v="0"/>
    <n v="0"/>
    <s v="Success"/>
  </r>
  <r>
    <s v="TXN85930946"/>
    <x v="1696"/>
    <x v="0"/>
    <x v="3"/>
    <n v="108969"/>
    <x v="0"/>
    <x v="6"/>
    <x v="0"/>
    <n v="0"/>
    <n v="0"/>
    <n v="0"/>
    <s v="Success"/>
  </r>
  <r>
    <s v="TXN12105967"/>
    <x v="1697"/>
    <x v="4"/>
    <x v="1"/>
    <n v="105649"/>
    <x v="0"/>
    <x v="4"/>
    <x v="0"/>
    <n v="5"/>
    <n v="0"/>
    <n v="5"/>
    <s v="Success"/>
  </r>
  <r>
    <s v="TXN45992465"/>
    <x v="1698"/>
    <x v="2"/>
    <x v="2"/>
    <n v="3356"/>
    <x v="0"/>
    <x v="8"/>
    <x v="0"/>
    <n v="0"/>
    <n v="0"/>
    <n v="0"/>
    <s v="Failed"/>
  </r>
  <r>
    <s v="TXN54303983"/>
    <x v="1699"/>
    <x v="6"/>
    <x v="3"/>
    <n v="92068"/>
    <x v="0"/>
    <x v="2"/>
    <x v="0"/>
    <n v="0"/>
    <n v="0"/>
    <n v="0"/>
    <s v="Success"/>
  </r>
  <r>
    <s v="TXN29074918"/>
    <x v="1700"/>
    <x v="5"/>
    <x v="0"/>
    <n v="168500"/>
    <x v="0"/>
    <x v="5"/>
    <x v="0"/>
    <n v="3117.25"/>
    <n v="1246.9000000000001"/>
    <n v="1870.35"/>
    <s v="Success"/>
  </r>
  <r>
    <s v="TXN62229822"/>
    <x v="1701"/>
    <x v="7"/>
    <x v="3"/>
    <n v="75487"/>
    <x v="0"/>
    <x v="2"/>
    <x v="0"/>
    <n v="0"/>
    <n v="0"/>
    <n v="0"/>
    <s v="Success"/>
  </r>
  <r>
    <s v="TXN59368692"/>
    <x v="1702"/>
    <x v="2"/>
    <x v="0"/>
    <n v="70500"/>
    <x v="0"/>
    <x v="3"/>
    <x v="0"/>
    <n v="1304.25"/>
    <n v="521.70000000000005"/>
    <n v="782.55"/>
    <s v="Success"/>
  </r>
  <r>
    <s v="TXN25222420"/>
    <x v="1703"/>
    <x v="0"/>
    <x v="4"/>
    <n v="119747"/>
    <x v="0"/>
    <x v="1"/>
    <x v="1"/>
    <n v="1197.47"/>
    <n v="0"/>
    <n v="1197.47"/>
    <s v="Success"/>
  </r>
  <r>
    <s v="TXN41007885"/>
    <x v="1704"/>
    <x v="0"/>
    <x v="2"/>
    <n v="3294"/>
    <x v="0"/>
    <x v="1"/>
    <x v="0"/>
    <n v="0"/>
    <n v="0"/>
    <n v="0"/>
    <s v="Success"/>
  </r>
  <r>
    <s v="TXN24958354"/>
    <x v="1705"/>
    <x v="1"/>
    <x v="0"/>
    <n v="207000"/>
    <x v="0"/>
    <x v="1"/>
    <x v="0"/>
    <n v="3829.5"/>
    <n v="1531.8"/>
    <n v="2297.6999999999998"/>
    <s v="Success"/>
  </r>
  <r>
    <s v="TXN90696336"/>
    <x v="1706"/>
    <x v="3"/>
    <x v="1"/>
    <n v="97307"/>
    <x v="2"/>
    <x v="0"/>
    <x v="0"/>
    <n v="5"/>
    <n v="0"/>
    <n v="5"/>
    <s v="Success"/>
  </r>
  <r>
    <s v="TXN28284220"/>
    <x v="1707"/>
    <x v="1"/>
    <x v="3"/>
    <n v="79157"/>
    <x v="0"/>
    <x v="8"/>
    <x v="0"/>
    <n v="0"/>
    <n v="0"/>
    <n v="0"/>
    <s v="Success"/>
  </r>
  <r>
    <s v="TXN16997052"/>
    <x v="1708"/>
    <x v="5"/>
    <x v="2"/>
    <n v="3349"/>
    <x v="0"/>
    <x v="4"/>
    <x v="0"/>
    <n v="0"/>
    <n v="0"/>
    <n v="0"/>
    <s v="Failed"/>
  </r>
  <r>
    <s v="TXN64284649"/>
    <x v="1709"/>
    <x v="6"/>
    <x v="1"/>
    <n v="111629"/>
    <x v="0"/>
    <x v="5"/>
    <x v="0"/>
    <n v="5"/>
    <n v="0"/>
    <n v="5"/>
    <s v="Success"/>
  </r>
  <r>
    <s v="TXN29256023"/>
    <x v="1710"/>
    <x v="5"/>
    <x v="3"/>
    <n v="122861"/>
    <x v="1"/>
    <x v="6"/>
    <x v="0"/>
    <n v="0"/>
    <n v="0"/>
    <n v="0"/>
    <s v="Success"/>
  </r>
  <r>
    <s v="TXN58919979"/>
    <x v="1711"/>
    <x v="6"/>
    <x v="1"/>
    <n v="64574"/>
    <x v="1"/>
    <x v="5"/>
    <x v="0"/>
    <n v="5"/>
    <n v="0"/>
    <n v="5"/>
    <s v="Success"/>
  </r>
  <r>
    <s v="TXN97193308"/>
    <x v="1712"/>
    <x v="7"/>
    <x v="3"/>
    <n v="135618"/>
    <x v="0"/>
    <x v="1"/>
    <x v="0"/>
    <n v="0"/>
    <n v="0"/>
    <n v="0"/>
    <s v="Success"/>
  </r>
  <r>
    <s v="TXN40219915"/>
    <x v="1713"/>
    <x v="3"/>
    <x v="0"/>
    <n v="153000"/>
    <x v="0"/>
    <x v="0"/>
    <x v="0"/>
    <n v="2830.5"/>
    <n v="1132.2"/>
    <n v="1698.3"/>
    <s v="Success"/>
  </r>
  <r>
    <s v="TXN66836865"/>
    <x v="1714"/>
    <x v="0"/>
    <x v="1"/>
    <n v="72040"/>
    <x v="1"/>
    <x v="8"/>
    <x v="0"/>
    <n v="5"/>
    <n v="0"/>
    <n v="5"/>
    <s v="Success"/>
  </r>
  <r>
    <s v="TXN58874552"/>
    <x v="1715"/>
    <x v="3"/>
    <x v="1"/>
    <n v="3420"/>
    <x v="0"/>
    <x v="5"/>
    <x v="0"/>
    <n v="5"/>
    <n v="0"/>
    <n v="5"/>
    <s v="Success"/>
  </r>
  <r>
    <s v="TXN61219406"/>
    <x v="1716"/>
    <x v="4"/>
    <x v="0"/>
    <n v="152500"/>
    <x v="1"/>
    <x v="8"/>
    <x v="0"/>
    <n v="2821.25"/>
    <n v="1128.5"/>
    <n v="1692.75"/>
    <s v="Success"/>
  </r>
  <r>
    <s v="TXN32039334"/>
    <x v="1717"/>
    <x v="7"/>
    <x v="3"/>
    <n v="57142"/>
    <x v="0"/>
    <x v="4"/>
    <x v="0"/>
    <n v="0"/>
    <n v="0"/>
    <n v="0"/>
    <s v="Success"/>
  </r>
  <r>
    <s v="TXN20446487"/>
    <x v="1718"/>
    <x v="5"/>
    <x v="3"/>
    <n v="25182"/>
    <x v="1"/>
    <x v="7"/>
    <x v="0"/>
    <n v="0"/>
    <n v="0"/>
    <n v="0"/>
    <s v="Success"/>
  </r>
  <r>
    <s v="TXN44764701"/>
    <x v="1719"/>
    <x v="3"/>
    <x v="4"/>
    <n v="56678"/>
    <x v="0"/>
    <x v="6"/>
    <x v="5"/>
    <n v="566.78"/>
    <n v="0"/>
    <n v="566.78"/>
    <s v="Success"/>
  </r>
  <r>
    <s v="TXN88282631"/>
    <x v="1720"/>
    <x v="7"/>
    <x v="0"/>
    <n v="105000"/>
    <x v="0"/>
    <x v="6"/>
    <x v="0"/>
    <n v="1942.5"/>
    <n v="777"/>
    <n v="1165.5"/>
    <s v="Success"/>
  </r>
  <r>
    <s v="TXN76564573"/>
    <x v="1721"/>
    <x v="7"/>
    <x v="1"/>
    <n v="53860"/>
    <x v="0"/>
    <x v="5"/>
    <x v="0"/>
    <n v="5"/>
    <n v="0"/>
    <n v="5"/>
    <s v="Success"/>
  </r>
  <r>
    <s v="TXN26337250"/>
    <x v="1722"/>
    <x v="3"/>
    <x v="0"/>
    <n v="7500"/>
    <x v="0"/>
    <x v="8"/>
    <x v="0"/>
    <n v="138.75"/>
    <n v="55.5"/>
    <n v="83.25"/>
    <s v="Success"/>
  </r>
  <r>
    <s v="TXN35104958"/>
    <x v="1723"/>
    <x v="5"/>
    <x v="4"/>
    <n v="115800"/>
    <x v="0"/>
    <x v="0"/>
    <x v="1"/>
    <n v="1158"/>
    <n v="0"/>
    <n v="1158"/>
    <s v="Success"/>
  </r>
  <r>
    <s v="TXN59199410"/>
    <x v="1724"/>
    <x v="2"/>
    <x v="0"/>
    <n v="99500"/>
    <x v="0"/>
    <x v="2"/>
    <x v="0"/>
    <n v="1840.75"/>
    <n v="736.3"/>
    <n v="1104.45"/>
    <s v="Success"/>
  </r>
  <r>
    <s v="TXN31569607"/>
    <x v="1725"/>
    <x v="6"/>
    <x v="0"/>
    <n v="128500"/>
    <x v="1"/>
    <x v="2"/>
    <x v="0"/>
    <n v="2377.25"/>
    <n v="950.9"/>
    <n v="1426.35"/>
    <s v="Success"/>
  </r>
  <r>
    <s v="TXN65570666"/>
    <x v="1726"/>
    <x v="3"/>
    <x v="4"/>
    <n v="94342"/>
    <x v="0"/>
    <x v="1"/>
    <x v="3"/>
    <n v="943.42"/>
    <n v="0"/>
    <n v="943.42"/>
    <s v="Success"/>
  </r>
  <r>
    <s v="TXN23599642"/>
    <x v="1727"/>
    <x v="7"/>
    <x v="2"/>
    <n v="766"/>
    <x v="0"/>
    <x v="0"/>
    <x v="0"/>
    <n v="0"/>
    <n v="0"/>
    <n v="0"/>
    <s v="Success"/>
  </r>
  <r>
    <s v="TXN85397351"/>
    <x v="1728"/>
    <x v="4"/>
    <x v="4"/>
    <n v="87415"/>
    <x v="1"/>
    <x v="5"/>
    <x v="2"/>
    <n v="874.15"/>
    <n v="0"/>
    <n v="874.15"/>
    <s v="Success"/>
  </r>
  <r>
    <s v="TXN54309850"/>
    <x v="1729"/>
    <x v="0"/>
    <x v="4"/>
    <n v="117218"/>
    <x v="0"/>
    <x v="1"/>
    <x v="1"/>
    <n v="1172.18"/>
    <n v="0"/>
    <n v="1172.18"/>
    <s v="Success"/>
  </r>
  <r>
    <s v="TXN51998116"/>
    <x v="1730"/>
    <x v="1"/>
    <x v="2"/>
    <n v="1799"/>
    <x v="0"/>
    <x v="1"/>
    <x v="0"/>
    <n v="0"/>
    <n v="0"/>
    <n v="0"/>
    <s v="Success"/>
  </r>
  <r>
    <s v="TXN38472202"/>
    <x v="1731"/>
    <x v="3"/>
    <x v="1"/>
    <n v="134950"/>
    <x v="0"/>
    <x v="1"/>
    <x v="0"/>
    <n v="5"/>
    <n v="0"/>
    <n v="5"/>
    <s v="Success"/>
  </r>
  <r>
    <s v="TXN26844544"/>
    <x v="1732"/>
    <x v="6"/>
    <x v="3"/>
    <n v="108257"/>
    <x v="0"/>
    <x v="5"/>
    <x v="0"/>
    <n v="0"/>
    <n v="0"/>
    <n v="0"/>
    <s v="Success"/>
  </r>
  <r>
    <s v="TXN86246081"/>
    <x v="1733"/>
    <x v="7"/>
    <x v="0"/>
    <n v="13500"/>
    <x v="0"/>
    <x v="7"/>
    <x v="0"/>
    <n v="249.75"/>
    <n v="99.9"/>
    <n v="149.85"/>
    <s v="Success"/>
  </r>
  <r>
    <s v="TXN14069583"/>
    <x v="1734"/>
    <x v="6"/>
    <x v="0"/>
    <n v="231500"/>
    <x v="0"/>
    <x v="1"/>
    <x v="0"/>
    <n v="4282.75"/>
    <n v="1713.1"/>
    <n v="2569.65"/>
    <s v="Success"/>
  </r>
  <r>
    <s v="TXN41445936"/>
    <x v="1735"/>
    <x v="6"/>
    <x v="3"/>
    <n v="16529"/>
    <x v="0"/>
    <x v="0"/>
    <x v="0"/>
    <n v="0"/>
    <n v="0"/>
    <n v="0"/>
    <s v="Failed"/>
  </r>
  <r>
    <s v="TXN76253763"/>
    <x v="1736"/>
    <x v="5"/>
    <x v="0"/>
    <n v="127000"/>
    <x v="0"/>
    <x v="3"/>
    <x v="0"/>
    <n v="2349.5"/>
    <n v="939.8"/>
    <n v="1409.7"/>
    <s v="Failed"/>
  </r>
  <r>
    <s v="TXN87617087"/>
    <x v="1737"/>
    <x v="4"/>
    <x v="3"/>
    <n v="92921"/>
    <x v="0"/>
    <x v="2"/>
    <x v="0"/>
    <n v="0"/>
    <n v="0"/>
    <n v="0"/>
    <s v="Success"/>
  </r>
  <r>
    <s v="TXN44584693"/>
    <x v="1738"/>
    <x v="2"/>
    <x v="3"/>
    <n v="11297"/>
    <x v="0"/>
    <x v="4"/>
    <x v="0"/>
    <n v="0"/>
    <n v="0"/>
    <n v="0"/>
    <s v="Success"/>
  </r>
  <r>
    <s v="TXN28181597"/>
    <x v="1739"/>
    <x v="2"/>
    <x v="3"/>
    <n v="63722"/>
    <x v="0"/>
    <x v="3"/>
    <x v="0"/>
    <n v="0"/>
    <n v="0"/>
    <n v="0"/>
    <s v="Success"/>
  </r>
  <r>
    <s v="TXN78872682"/>
    <x v="1740"/>
    <x v="3"/>
    <x v="0"/>
    <n v="98500"/>
    <x v="0"/>
    <x v="8"/>
    <x v="0"/>
    <n v="1822.25"/>
    <n v="728.9"/>
    <n v="1093.3499999999999"/>
    <s v="Success"/>
  </r>
  <r>
    <s v="TXN24487720"/>
    <x v="1741"/>
    <x v="1"/>
    <x v="2"/>
    <n v="3064"/>
    <x v="0"/>
    <x v="1"/>
    <x v="0"/>
    <n v="0"/>
    <n v="0"/>
    <n v="0"/>
    <s v="Success"/>
  </r>
  <r>
    <s v="TXN92144564"/>
    <x v="1742"/>
    <x v="7"/>
    <x v="4"/>
    <n v="61522"/>
    <x v="0"/>
    <x v="5"/>
    <x v="3"/>
    <n v="615.22"/>
    <n v="0"/>
    <n v="615.22"/>
    <s v="Success"/>
  </r>
  <r>
    <s v="TXN25855271"/>
    <x v="1743"/>
    <x v="6"/>
    <x v="3"/>
    <n v="73103"/>
    <x v="0"/>
    <x v="8"/>
    <x v="0"/>
    <n v="0"/>
    <n v="0"/>
    <n v="0"/>
    <s v="Success"/>
  </r>
  <r>
    <s v="TXN72704732"/>
    <x v="1744"/>
    <x v="7"/>
    <x v="2"/>
    <n v="4291"/>
    <x v="0"/>
    <x v="7"/>
    <x v="0"/>
    <n v="0"/>
    <n v="0"/>
    <n v="0"/>
    <s v="Success"/>
  </r>
  <r>
    <s v="TXN33210462"/>
    <x v="1745"/>
    <x v="2"/>
    <x v="2"/>
    <n v="2221"/>
    <x v="0"/>
    <x v="5"/>
    <x v="0"/>
    <n v="0"/>
    <n v="0"/>
    <n v="0"/>
    <s v="Success"/>
  </r>
  <r>
    <s v="TXN25191177"/>
    <x v="1746"/>
    <x v="0"/>
    <x v="1"/>
    <n v="147960"/>
    <x v="1"/>
    <x v="2"/>
    <x v="0"/>
    <n v="5"/>
    <n v="0"/>
    <n v="5"/>
    <s v="Success"/>
  </r>
  <r>
    <s v="TXN61731223"/>
    <x v="1747"/>
    <x v="1"/>
    <x v="1"/>
    <n v="133068"/>
    <x v="0"/>
    <x v="4"/>
    <x v="0"/>
    <n v="5"/>
    <n v="0"/>
    <n v="5"/>
    <s v="Success"/>
  </r>
  <r>
    <s v="TXN94667609"/>
    <x v="1748"/>
    <x v="0"/>
    <x v="2"/>
    <n v="3838"/>
    <x v="0"/>
    <x v="3"/>
    <x v="0"/>
    <n v="0"/>
    <n v="0"/>
    <n v="0"/>
    <s v="Success"/>
  </r>
  <r>
    <s v="TXN47074146"/>
    <x v="1749"/>
    <x v="5"/>
    <x v="3"/>
    <n v="145823"/>
    <x v="0"/>
    <x v="6"/>
    <x v="0"/>
    <n v="0"/>
    <n v="0"/>
    <n v="0"/>
    <s v="Success"/>
  </r>
  <r>
    <s v="TXN97799850"/>
    <x v="1750"/>
    <x v="1"/>
    <x v="1"/>
    <n v="115464"/>
    <x v="0"/>
    <x v="8"/>
    <x v="0"/>
    <n v="5"/>
    <n v="0"/>
    <n v="5"/>
    <s v="Success"/>
  </r>
  <r>
    <s v="TXN21674641"/>
    <x v="1751"/>
    <x v="5"/>
    <x v="3"/>
    <n v="117735"/>
    <x v="0"/>
    <x v="0"/>
    <x v="0"/>
    <n v="0"/>
    <n v="0"/>
    <n v="0"/>
    <s v="Success"/>
  </r>
  <r>
    <s v="TXN90236857"/>
    <x v="1752"/>
    <x v="2"/>
    <x v="2"/>
    <n v="944"/>
    <x v="0"/>
    <x v="8"/>
    <x v="0"/>
    <n v="0"/>
    <n v="0"/>
    <n v="0"/>
    <s v="Success"/>
  </r>
  <r>
    <s v="TXN96507365"/>
    <x v="1753"/>
    <x v="3"/>
    <x v="1"/>
    <n v="5831"/>
    <x v="0"/>
    <x v="0"/>
    <x v="0"/>
    <n v="5"/>
    <n v="0"/>
    <n v="5"/>
    <s v="Success"/>
  </r>
  <r>
    <s v="TXN17944282"/>
    <x v="1754"/>
    <x v="7"/>
    <x v="3"/>
    <n v="91417"/>
    <x v="2"/>
    <x v="1"/>
    <x v="0"/>
    <n v="0"/>
    <n v="0"/>
    <n v="0"/>
    <s v="Failed"/>
  </r>
  <r>
    <s v="TXN72514463"/>
    <x v="1755"/>
    <x v="7"/>
    <x v="4"/>
    <n v="387"/>
    <x v="0"/>
    <x v="5"/>
    <x v="1"/>
    <n v="3.87"/>
    <n v="0"/>
    <n v="3.87"/>
    <s v="Success"/>
  </r>
  <r>
    <s v="TXN23686883"/>
    <x v="1756"/>
    <x v="3"/>
    <x v="2"/>
    <n v="1597"/>
    <x v="2"/>
    <x v="8"/>
    <x v="0"/>
    <n v="0"/>
    <n v="0"/>
    <n v="0"/>
    <s v="Success"/>
  </r>
  <r>
    <s v="TXN84247738"/>
    <x v="1757"/>
    <x v="7"/>
    <x v="0"/>
    <n v="242000"/>
    <x v="1"/>
    <x v="5"/>
    <x v="0"/>
    <n v="4477"/>
    <n v="1790.8"/>
    <n v="2686.2"/>
    <s v="Success"/>
  </r>
  <r>
    <s v="TXN26464544"/>
    <x v="1758"/>
    <x v="0"/>
    <x v="2"/>
    <n v="4377"/>
    <x v="0"/>
    <x v="5"/>
    <x v="0"/>
    <n v="0"/>
    <n v="0"/>
    <n v="0"/>
    <s v="Success"/>
  </r>
  <r>
    <s v="TXN31284752"/>
    <x v="1759"/>
    <x v="6"/>
    <x v="2"/>
    <n v="3741"/>
    <x v="0"/>
    <x v="4"/>
    <x v="0"/>
    <n v="0"/>
    <n v="0"/>
    <n v="0"/>
    <s v="Success"/>
  </r>
  <r>
    <s v="TXN17476310"/>
    <x v="1760"/>
    <x v="3"/>
    <x v="1"/>
    <n v="20187"/>
    <x v="0"/>
    <x v="7"/>
    <x v="0"/>
    <n v="5"/>
    <n v="0"/>
    <n v="5"/>
    <s v="Success"/>
  </r>
  <r>
    <s v="TXN39507455"/>
    <x v="1761"/>
    <x v="0"/>
    <x v="3"/>
    <n v="63126"/>
    <x v="1"/>
    <x v="1"/>
    <x v="0"/>
    <n v="0"/>
    <n v="0"/>
    <n v="0"/>
    <s v="Success"/>
  </r>
  <r>
    <s v="TXN39645043"/>
    <x v="1762"/>
    <x v="3"/>
    <x v="1"/>
    <n v="30394"/>
    <x v="0"/>
    <x v="5"/>
    <x v="0"/>
    <n v="5"/>
    <n v="0"/>
    <n v="5"/>
    <s v="Success"/>
  </r>
  <r>
    <s v="TXN96918955"/>
    <x v="1763"/>
    <x v="5"/>
    <x v="0"/>
    <n v="176500"/>
    <x v="0"/>
    <x v="5"/>
    <x v="0"/>
    <n v="3265.25"/>
    <n v="1306.0999999999999"/>
    <n v="1959.15"/>
    <s v="Success"/>
  </r>
  <r>
    <s v="TXN26743071"/>
    <x v="1764"/>
    <x v="5"/>
    <x v="1"/>
    <n v="122076"/>
    <x v="0"/>
    <x v="0"/>
    <x v="0"/>
    <n v="5"/>
    <n v="0"/>
    <n v="5"/>
    <s v="Success"/>
  </r>
  <r>
    <s v="TXN88171290"/>
    <x v="1765"/>
    <x v="7"/>
    <x v="4"/>
    <n v="125211"/>
    <x v="0"/>
    <x v="0"/>
    <x v="5"/>
    <n v="1252.1099999999999"/>
    <n v="0"/>
    <n v="1252.1099999999999"/>
    <s v="Success"/>
  </r>
  <r>
    <s v="TXN79055136"/>
    <x v="1766"/>
    <x v="5"/>
    <x v="1"/>
    <n v="96289"/>
    <x v="0"/>
    <x v="3"/>
    <x v="0"/>
    <n v="5"/>
    <n v="0"/>
    <n v="5"/>
    <s v="Success"/>
  </r>
  <r>
    <s v="TXN51024028"/>
    <x v="1767"/>
    <x v="7"/>
    <x v="1"/>
    <n v="40934"/>
    <x v="1"/>
    <x v="3"/>
    <x v="0"/>
    <n v="5"/>
    <n v="0"/>
    <n v="5"/>
    <s v="Success"/>
  </r>
  <r>
    <s v="TXN69276624"/>
    <x v="1768"/>
    <x v="6"/>
    <x v="4"/>
    <n v="138062"/>
    <x v="0"/>
    <x v="3"/>
    <x v="2"/>
    <n v="1380.62"/>
    <n v="0"/>
    <n v="1380.62"/>
    <s v="Success"/>
  </r>
  <r>
    <s v="TXN17807414"/>
    <x v="1769"/>
    <x v="7"/>
    <x v="3"/>
    <n v="81126"/>
    <x v="2"/>
    <x v="2"/>
    <x v="0"/>
    <n v="0"/>
    <n v="0"/>
    <n v="0"/>
    <s v="Success"/>
  </r>
  <r>
    <s v="TXN67026453"/>
    <x v="1770"/>
    <x v="6"/>
    <x v="1"/>
    <n v="79924"/>
    <x v="0"/>
    <x v="0"/>
    <x v="0"/>
    <n v="5"/>
    <n v="0"/>
    <n v="5"/>
    <s v="Success"/>
  </r>
  <r>
    <s v="TXN35413349"/>
    <x v="1771"/>
    <x v="2"/>
    <x v="4"/>
    <n v="41008"/>
    <x v="0"/>
    <x v="8"/>
    <x v="3"/>
    <n v="410.08"/>
    <n v="0"/>
    <n v="410.08"/>
    <s v="Failed"/>
  </r>
  <r>
    <s v="TXN96818931"/>
    <x v="1772"/>
    <x v="4"/>
    <x v="1"/>
    <n v="136188"/>
    <x v="0"/>
    <x v="5"/>
    <x v="0"/>
    <n v="5"/>
    <n v="0"/>
    <n v="5"/>
    <s v="Success"/>
  </r>
  <r>
    <s v="TXN64409707"/>
    <x v="1773"/>
    <x v="2"/>
    <x v="3"/>
    <n v="49304"/>
    <x v="0"/>
    <x v="3"/>
    <x v="0"/>
    <n v="0"/>
    <n v="0"/>
    <n v="0"/>
    <s v="Success"/>
  </r>
  <r>
    <s v="TXN76433471"/>
    <x v="1774"/>
    <x v="1"/>
    <x v="2"/>
    <n v="1822"/>
    <x v="1"/>
    <x v="6"/>
    <x v="0"/>
    <n v="0"/>
    <n v="0"/>
    <n v="0"/>
    <s v="Success"/>
  </r>
  <r>
    <s v="TXN47440987"/>
    <x v="1775"/>
    <x v="2"/>
    <x v="2"/>
    <n v="2257"/>
    <x v="0"/>
    <x v="5"/>
    <x v="0"/>
    <n v="0"/>
    <n v="0"/>
    <n v="0"/>
    <s v="Success"/>
  </r>
  <r>
    <s v="TXN61262723"/>
    <x v="1776"/>
    <x v="3"/>
    <x v="3"/>
    <n v="27661"/>
    <x v="0"/>
    <x v="8"/>
    <x v="0"/>
    <n v="0"/>
    <n v="0"/>
    <n v="0"/>
    <s v="Success"/>
  </r>
  <r>
    <s v="TXN39577691"/>
    <x v="1777"/>
    <x v="5"/>
    <x v="4"/>
    <n v="5594"/>
    <x v="0"/>
    <x v="6"/>
    <x v="5"/>
    <n v="55.94"/>
    <n v="0"/>
    <n v="55.94"/>
    <s v="Success"/>
  </r>
  <r>
    <s v="TXN41952065"/>
    <x v="1778"/>
    <x v="3"/>
    <x v="1"/>
    <n v="4680"/>
    <x v="0"/>
    <x v="2"/>
    <x v="0"/>
    <n v="5"/>
    <n v="0"/>
    <n v="5"/>
    <s v="Success"/>
  </r>
  <r>
    <s v="TXN79936966"/>
    <x v="1779"/>
    <x v="5"/>
    <x v="4"/>
    <n v="15928"/>
    <x v="0"/>
    <x v="6"/>
    <x v="1"/>
    <n v="159.28"/>
    <n v="0"/>
    <n v="159.28"/>
    <s v="Success"/>
  </r>
  <r>
    <s v="TXN30117737"/>
    <x v="1780"/>
    <x v="7"/>
    <x v="4"/>
    <n v="24920"/>
    <x v="0"/>
    <x v="8"/>
    <x v="5"/>
    <n v="249.2"/>
    <n v="0"/>
    <n v="249.2"/>
    <s v="Success"/>
  </r>
  <r>
    <s v="TXN52339697"/>
    <x v="1781"/>
    <x v="6"/>
    <x v="1"/>
    <n v="88081"/>
    <x v="0"/>
    <x v="8"/>
    <x v="0"/>
    <n v="5"/>
    <n v="0"/>
    <n v="5"/>
    <s v="Success"/>
  </r>
  <r>
    <s v="TXN70250884"/>
    <x v="1782"/>
    <x v="2"/>
    <x v="4"/>
    <n v="119737"/>
    <x v="0"/>
    <x v="8"/>
    <x v="3"/>
    <n v="1197.3699999999999"/>
    <n v="0"/>
    <n v="1197.3699999999999"/>
    <s v="Success"/>
  </r>
  <r>
    <s v="TXN54490469"/>
    <x v="1783"/>
    <x v="3"/>
    <x v="0"/>
    <n v="56000"/>
    <x v="0"/>
    <x v="2"/>
    <x v="0"/>
    <n v="1036"/>
    <n v="414.4"/>
    <n v="621.6"/>
    <s v="Success"/>
  </r>
  <r>
    <s v="TXN80066034"/>
    <x v="1784"/>
    <x v="1"/>
    <x v="1"/>
    <n v="93114"/>
    <x v="0"/>
    <x v="1"/>
    <x v="0"/>
    <n v="5"/>
    <n v="0"/>
    <n v="5"/>
    <s v="Success"/>
  </r>
  <r>
    <s v="TXN29543489"/>
    <x v="1785"/>
    <x v="6"/>
    <x v="1"/>
    <n v="34459"/>
    <x v="0"/>
    <x v="8"/>
    <x v="0"/>
    <n v="5"/>
    <n v="0"/>
    <n v="5"/>
    <s v="Success"/>
  </r>
  <r>
    <s v="TXN71729836"/>
    <x v="1786"/>
    <x v="7"/>
    <x v="2"/>
    <n v="4321"/>
    <x v="0"/>
    <x v="5"/>
    <x v="0"/>
    <n v="0"/>
    <n v="0"/>
    <n v="0"/>
    <s v="Success"/>
  </r>
  <r>
    <s v="TXN73473239"/>
    <x v="1787"/>
    <x v="3"/>
    <x v="1"/>
    <n v="112518"/>
    <x v="0"/>
    <x v="2"/>
    <x v="0"/>
    <n v="5"/>
    <n v="0"/>
    <n v="5"/>
    <s v="Success"/>
  </r>
  <r>
    <s v="TXN54186385"/>
    <x v="1788"/>
    <x v="2"/>
    <x v="2"/>
    <n v="4236"/>
    <x v="0"/>
    <x v="2"/>
    <x v="0"/>
    <n v="0"/>
    <n v="0"/>
    <n v="0"/>
    <s v="Success"/>
  </r>
  <r>
    <s v="TXN27652100"/>
    <x v="1789"/>
    <x v="0"/>
    <x v="3"/>
    <n v="68818"/>
    <x v="2"/>
    <x v="5"/>
    <x v="0"/>
    <n v="0"/>
    <n v="0"/>
    <n v="0"/>
    <s v="Success"/>
  </r>
  <r>
    <s v="TXN47473037"/>
    <x v="1790"/>
    <x v="5"/>
    <x v="4"/>
    <n v="8283"/>
    <x v="0"/>
    <x v="1"/>
    <x v="5"/>
    <n v="82.83"/>
    <n v="0"/>
    <n v="82.83"/>
    <s v="Success"/>
  </r>
  <r>
    <s v="TXN43554700"/>
    <x v="1791"/>
    <x v="2"/>
    <x v="0"/>
    <n v="173500"/>
    <x v="1"/>
    <x v="2"/>
    <x v="0"/>
    <n v="3209.75"/>
    <n v="1283.9000000000001"/>
    <n v="1925.85"/>
    <s v="Success"/>
  </r>
  <r>
    <s v="TXN79389469"/>
    <x v="1792"/>
    <x v="1"/>
    <x v="3"/>
    <n v="17459"/>
    <x v="0"/>
    <x v="3"/>
    <x v="0"/>
    <n v="0"/>
    <n v="0"/>
    <n v="0"/>
    <s v="Success"/>
  </r>
  <r>
    <s v="TXN19727287"/>
    <x v="1793"/>
    <x v="6"/>
    <x v="3"/>
    <n v="96344"/>
    <x v="0"/>
    <x v="4"/>
    <x v="0"/>
    <n v="0"/>
    <n v="0"/>
    <n v="0"/>
    <s v="Success"/>
  </r>
  <r>
    <s v="TXN84314891"/>
    <x v="1794"/>
    <x v="6"/>
    <x v="3"/>
    <n v="81472"/>
    <x v="0"/>
    <x v="0"/>
    <x v="0"/>
    <n v="0"/>
    <n v="0"/>
    <n v="0"/>
    <s v="Success"/>
  </r>
  <r>
    <s v="TXN44963845"/>
    <x v="1795"/>
    <x v="0"/>
    <x v="2"/>
    <n v="1479"/>
    <x v="0"/>
    <x v="3"/>
    <x v="0"/>
    <n v="0"/>
    <n v="0"/>
    <n v="0"/>
    <s v="Success"/>
  </r>
  <r>
    <s v="TXN57135303"/>
    <x v="1796"/>
    <x v="3"/>
    <x v="4"/>
    <n v="124189"/>
    <x v="0"/>
    <x v="4"/>
    <x v="1"/>
    <n v="1241.8900000000001"/>
    <n v="0"/>
    <n v="1241.8900000000001"/>
    <s v="Success"/>
  </r>
  <r>
    <s v="TXN98121090"/>
    <x v="1797"/>
    <x v="0"/>
    <x v="0"/>
    <n v="134500"/>
    <x v="0"/>
    <x v="2"/>
    <x v="0"/>
    <n v="2488.25"/>
    <n v="995.3"/>
    <n v="1492.95"/>
    <s v="Success"/>
  </r>
  <r>
    <s v="TXN33527521"/>
    <x v="1798"/>
    <x v="6"/>
    <x v="2"/>
    <n v="4560"/>
    <x v="0"/>
    <x v="5"/>
    <x v="0"/>
    <n v="0"/>
    <n v="0"/>
    <n v="0"/>
    <s v="Success"/>
  </r>
  <r>
    <s v="TXN63917280"/>
    <x v="1799"/>
    <x v="1"/>
    <x v="0"/>
    <n v="98000"/>
    <x v="0"/>
    <x v="2"/>
    <x v="0"/>
    <n v="1813"/>
    <n v="725.2"/>
    <n v="1087.8"/>
    <s v="Success"/>
  </r>
  <r>
    <s v="TXN61832721"/>
    <x v="1800"/>
    <x v="1"/>
    <x v="2"/>
    <n v="2531"/>
    <x v="0"/>
    <x v="7"/>
    <x v="0"/>
    <n v="0"/>
    <n v="0"/>
    <n v="0"/>
    <s v="Success"/>
  </r>
  <r>
    <s v="TXN83601923"/>
    <x v="1801"/>
    <x v="3"/>
    <x v="3"/>
    <n v="71906"/>
    <x v="0"/>
    <x v="5"/>
    <x v="0"/>
    <n v="0"/>
    <n v="0"/>
    <n v="0"/>
    <s v="Success"/>
  </r>
  <r>
    <s v="TXN88863476"/>
    <x v="1802"/>
    <x v="1"/>
    <x v="3"/>
    <n v="70735"/>
    <x v="0"/>
    <x v="7"/>
    <x v="0"/>
    <n v="0"/>
    <n v="0"/>
    <n v="0"/>
    <s v="Success"/>
  </r>
  <r>
    <s v="TXN77055765"/>
    <x v="1803"/>
    <x v="7"/>
    <x v="0"/>
    <n v="123000"/>
    <x v="0"/>
    <x v="4"/>
    <x v="0"/>
    <n v="2275.5"/>
    <n v="910.2"/>
    <n v="1365.3"/>
    <s v="Success"/>
  </r>
  <r>
    <s v="TXN29803702"/>
    <x v="1804"/>
    <x v="2"/>
    <x v="2"/>
    <n v="409"/>
    <x v="0"/>
    <x v="6"/>
    <x v="0"/>
    <n v="0"/>
    <n v="0"/>
    <n v="0"/>
    <s v="Success"/>
  </r>
  <r>
    <s v="TXN79917487"/>
    <x v="1805"/>
    <x v="7"/>
    <x v="0"/>
    <n v="69000"/>
    <x v="2"/>
    <x v="8"/>
    <x v="0"/>
    <n v="1276.5"/>
    <n v="510.6"/>
    <n v="765.9"/>
    <s v="Success"/>
  </r>
  <r>
    <s v="TXN40202487"/>
    <x v="1806"/>
    <x v="4"/>
    <x v="4"/>
    <n v="142170"/>
    <x v="0"/>
    <x v="5"/>
    <x v="1"/>
    <n v="1421.7"/>
    <n v="0"/>
    <n v="1421.7"/>
    <s v="Success"/>
  </r>
  <r>
    <s v="TXN43212335"/>
    <x v="1807"/>
    <x v="7"/>
    <x v="1"/>
    <n v="87404"/>
    <x v="0"/>
    <x v="5"/>
    <x v="0"/>
    <n v="5"/>
    <n v="0"/>
    <n v="5"/>
    <s v="Success"/>
  </r>
  <r>
    <s v="TXN66722238"/>
    <x v="1808"/>
    <x v="1"/>
    <x v="4"/>
    <n v="113238"/>
    <x v="0"/>
    <x v="8"/>
    <x v="4"/>
    <n v="1132.3800000000001"/>
    <n v="0"/>
    <n v="1132.3800000000001"/>
    <s v="Success"/>
  </r>
  <r>
    <s v="TXN39675338"/>
    <x v="1809"/>
    <x v="4"/>
    <x v="2"/>
    <n v="936"/>
    <x v="2"/>
    <x v="0"/>
    <x v="0"/>
    <n v="0"/>
    <n v="0"/>
    <n v="0"/>
    <s v="Success"/>
  </r>
  <r>
    <s v="TXN13655153"/>
    <x v="1810"/>
    <x v="2"/>
    <x v="1"/>
    <n v="74321"/>
    <x v="0"/>
    <x v="1"/>
    <x v="0"/>
    <n v="5"/>
    <n v="0"/>
    <n v="5"/>
    <s v="Success"/>
  </r>
  <r>
    <s v="TXN99734303"/>
    <x v="1811"/>
    <x v="5"/>
    <x v="4"/>
    <n v="11228"/>
    <x v="0"/>
    <x v="6"/>
    <x v="2"/>
    <n v="112.28"/>
    <n v="0"/>
    <n v="112.28"/>
    <s v="Success"/>
  </r>
  <r>
    <s v="TXN99286237"/>
    <x v="1812"/>
    <x v="7"/>
    <x v="4"/>
    <n v="120709"/>
    <x v="0"/>
    <x v="6"/>
    <x v="1"/>
    <n v="1207.0899999999999"/>
    <n v="0"/>
    <n v="1207.0899999999999"/>
    <s v="Success"/>
  </r>
  <r>
    <s v="TXN86082529"/>
    <x v="1813"/>
    <x v="4"/>
    <x v="1"/>
    <n v="145584"/>
    <x v="1"/>
    <x v="8"/>
    <x v="0"/>
    <n v="5"/>
    <n v="0"/>
    <n v="5"/>
    <s v="Success"/>
  </r>
  <r>
    <s v="TXN91646568"/>
    <x v="1814"/>
    <x v="2"/>
    <x v="0"/>
    <n v="200000"/>
    <x v="0"/>
    <x v="7"/>
    <x v="0"/>
    <n v="3700"/>
    <n v="1480"/>
    <n v="2220"/>
    <s v="Success"/>
  </r>
  <r>
    <s v="TXN64020230"/>
    <x v="1815"/>
    <x v="6"/>
    <x v="2"/>
    <n v="4306"/>
    <x v="0"/>
    <x v="6"/>
    <x v="0"/>
    <n v="0"/>
    <n v="0"/>
    <n v="0"/>
    <s v="Success"/>
  </r>
  <r>
    <s v="TXN27981105"/>
    <x v="1816"/>
    <x v="0"/>
    <x v="1"/>
    <n v="9028"/>
    <x v="0"/>
    <x v="5"/>
    <x v="0"/>
    <n v="5"/>
    <n v="0"/>
    <n v="5"/>
    <s v="Success"/>
  </r>
  <r>
    <s v="TXN46160908"/>
    <x v="1817"/>
    <x v="4"/>
    <x v="3"/>
    <n v="69464"/>
    <x v="0"/>
    <x v="5"/>
    <x v="0"/>
    <n v="0"/>
    <n v="0"/>
    <n v="0"/>
    <s v="Success"/>
  </r>
  <r>
    <s v="TXN48971610"/>
    <x v="1818"/>
    <x v="1"/>
    <x v="0"/>
    <n v="248500"/>
    <x v="1"/>
    <x v="7"/>
    <x v="0"/>
    <n v="4597.25"/>
    <n v="1838.9"/>
    <n v="2758.35"/>
    <s v="Success"/>
  </r>
  <r>
    <s v="TXN55456121"/>
    <x v="1819"/>
    <x v="6"/>
    <x v="1"/>
    <n v="114735"/>
    <x v="1"/>
    <x v="7"/>
    <x v="0"/>
    <n v="5"/>
    <n v="0"/>
    <n v="5"/>
    <s v="Success"/>
  </r>
  <r>
    <s v="TXN73712661"/>
    <x v="1820"/>
    <x v="4"/>
    <x v="3"/>
    <n v="90857"/>
    <x v="0"/>
    <x v="5"/>
    <x v="0"/>
    <n v="0"/>
    <n v="0"/>
    <n v="0"/>
    <s v="Failed"/>
  </r>
  <r>
    <s v="TXN42338531"/>
    <x v="1821"/>
    <x v="1"/>
    <x v="1"/>
    <n v="140628"/>
    <x v="0"/>
    <x v="4"/>
    <x v="0"/>
    <n v="5"/>
    <n v="0"/>
    <n v="5"/>
    <s v="Success"/>
  </r>
  <r>
    <s v="TXN88266943"/>
    <x v="1822"/>
    <x v="1"/>
    <x v="4"/>
    <n v="146496"/>
    <x v="0"/>
    <x v="4"/>
    <x v="2"/>
    <n v="1464.96"/>
    <n v="0"/>
    <n v="1464.96"/>
    <s v="Success"/>
  </r>
  <r>
    <s v="TXN90782302"/>
    <x v="1823"/>
    <x v="0"/>
    <x v="4"/>
    <n v="13785"/>
    <x v="2"/>
    <x v="5"/>
    <x v="2"/>
    <n v="137.85"/>
    <n v="0"/>
    <n v="137.85"/>
    <s v="Success"/>
  </r>
  <r>
    <s v="TXN23639010"/>
    <x v="1824"/>
    <x v="7"/>
    <x v="3"/>
    <n v="113398"/>
    <x v="0"/>
    <x v="8"/>
    <x v="0"/>
    <n v="0"/>
    <n v="0"/>
    <n v="0"/>
    <s v="Success"/>
  </r>
  <r>
    <s v="TXN46738722"/>
    <x v="1825"/>
    <x v="2"/>
    <x v="1"/>
    <n v="6151"/>
    <x v="0"/>
    <x v="5"/>
    <x v="0"/>
    <n v="5"/>
    <n v="0"/>
    <n v="5"/>
    <s v="Success"/>
  </r>
  <r>
    <s v="TXN79742458"/>
    <x v="1826"/>
    <x v="5"/>
    <x v="0"/>
    <n v="143000"/>
    <x v="0"/>
    <x v="4"/>
    <x v="0"/>
    <n v="2645.5"/>
    <n v="1058.2"/>
    <n v="1587.3"/>
    <s v="Success"/>
  </r>
  <r>
    <s v="TXN91333369"/>
    <x v="1827"/>
    <x v="2"/>
    <x v="2"/>
    <n v="1451"/>
    <x v="0"/>
    <x v="7"/>
    <x v="0"/>
    <n v="0"/>
    <n v="0"/>
    <n v="0"/>
    <s v="Failed"/>
  </r>
  <r>
    <s v="TXN89079201"/>
    <x v="1828"/>
    <x v="2"/>
    <x v="4"/>
    <n v="114491"/>
    <x v="0"/>
    <x v="0"/>
    <x v="1"/>
    <n v="1144.9100000000001"/>
    <n v="0"/>
    <n v="1144.9100000000001"/>
    <s v="Success"/>
  </r>
  <r>
    <s v="TXN43612470"/>
    <x v="1829"/>
    <x v="1"/>
    <x v="3"/>
    <n v="111231"/>
    <x v="2"/>
    <x v="2"/>
    <x v="0"/>
    <n v="0"/>
    <n v="0"/>
    <n v="0"/>
    <s v="Success"/>
  </r>
  <r>
    <s v="TXN12988880"/>
    <x v="1830"/>
    <x v="5"/>
    <x v="4"/>
    <n v="22558"/>
    <x v="0"/>
    <x v="0"/>
    <x v="3"/>
    <n v="225.58"/>
    <n v="0"/>
    <n v="225.58"/>
    <s v="Success"/>
  </r>
  <r>
    <s v="TXN51714254"/>
    <x v="1831"/>
    <x v="3"/>
    <x v="1"/>
    <n v="29626"/>
    <x v="1"/>
    <x v="5"/>
    <x v="0"/>
    <n v="5"/>
    <n v="0"/>
    <n v="5"/>
    <s v="Success"/>
  </r>
  <r>
    <s v="TXN81623583"/>
    <x v="1832"/>
    <x v="2"/>
    <x v="0"/>
    <n v="106000"/>
    <x v="0"/>
    <x v="5"/>
    <x v="0"/>
    <n v="1961"/>
    <n v="784.4"/>
    <n v="1176.5999999999999"/>
    <s v="Success"/>
  </r>
  <r>
    <s v="TXN82300367"/>
    <x v="1833"/>
    <x v="2"/>
    <x v="4"/>
    <n v="87459"/>
    <x v="0"/>
    <x v="3"/>
    <x v="1"/>
    <n v="874.59"/>
    <n v="0"/>
    <n v="874.59"/>
    <s v="Success"/>
  </r>
  <r>
    <s v="TXN35313954"/>
    <x v="1834"/>
    <x v="1"/>
    <x v="2"/>
    <n v="3475"/>
    <x v="1"/>
    <x v="7"/>
    <x v="0"/>
    <n v="0"/>
    <n v="0"/>
    <n v="0"/>
    <s v="Success"/>
  </r>
  <r>
    <s v="TXN10523448"/>
    <x v="1835"/>
    <x v="7"/>
    <x v="2"/>
    <n v="2358"/>
    <x v="0"/>
    <x v="3"/>
    <x v="0"/>
    <n v="0"/>
    <n v="0"/>
    <n v="0"/>
    <s v="Success"/>
  </r>
  <r>
    <s v="TXN25087989"/>
    <x v="1836"/>
    <x v="3"/>
    <x v="2"/>
    <n v="2797"/>
    <x v="0"/>
    <x v="5"/>
    <x v="0"/>
    <n v="0"/>
    <n v="0"/>
    <n v="0"/>
    <s v="Success"/>
  </r>
  <r>
    <s v="TXN83275631"/>
    <x v="1837"/>
    <x v="2"/>
    <x v="0"/>
    <n v="6500"/>
    <x v="0"/>
    <x v="7"/>
    <x v="0"/>
    <n v="120.25"/>
    <n v="48.1"/>
    <n v="72.150000000000006"/>
    <s v="Success"/>
  </r>
  <r>
    <s v="TXN28375184"/>
    <x v="1838"/>
    <x v="1"/>
    <x v="3"/>
    <n v="54320"/>
    <x v="0"/>
    <x v="3"/>
    <x v="0"/>
    <n v="0"/>
    <n v="0"/>
    <n v="0"/>
    <s v="Success"/>
  </r>
  <r>
    <s v="TXN24459460"/>
    <x v="1839"/>
    <x v="4"/>
    <x v="2"/>
    <n v="2489"/>
    <x v="0"/>
    <x v="4"/>
    <x v="0"/>
    <n v="0"/>
    <n v="0"/>
    <n v="0"/>
    <s v="Success"/>
  </r>
  <r>
    <s v="TXN90706886"/>
    <x v="1840"/>
    <x v="6"/>
    <x v="0"/>
    <n v="131000"/>
    <x v="0"/>
    <x v="5"/>
    <x v="0"/>
    <n v="2423.5"/>
    <n v="969.4"/>
    <n v="1454.1"/>
    <s v="Success"/>
  </r>
  <r>
    <s v="TXN67910566"/>
    <x v="1841"/>
    <x v="0"/>
    <x v="1"/>
    <n v="27857"/>
    <x v="0"/>
    <x v="5"/>
    <x v="0"/>
    <n v="5"/>
    <n v="0"/>
    <n v="5"/>
    <s v="Success"/>
  </r>
  <r>
    <s v="TXN62699178"/>
    <x v="1842"/>
    <x v="5"/>
    <x v="4"/>
    <n v="69475"/>
    <x v="0"/>
    <x v="5"/>
    <x v="2"/>
    <n v="694.75"/>
    <n v="0"/>
    <n v="694.75"/>
    <s v="Success"/>
  </r>
  <r>
    <s v="TXN12474528"/>
    <x v="1843"/>
    <x v="3"/>
    <x v="0"/>
    <n v="119500"/>
    <x v="0"/>
    <x v="4"/>
    <x v="0"/>
    <n v="2210.75"/>
    <n v="884.3"/>
    <n v="1326.45"/>
    <s v="Success"/>
  </r>
  <r>
    <s v="TXN73407209"/>
    <x v="1844"/>
    <x v="2"/>
    <x v="4"/>
    <n v="12548"/>
    <x v="1"/>
    <x v="7"/>
    <x v="1"/>
    <n v="125.48"/>
    <n v="0"/>
    <n v="125.48"/>
    <s v="Success"/>
  </r>
  <r>
    <s v="TXN52704303"/>
    <x v="1845"/>
    <x v="6"/>
    <x v="0"/>
    <n v="174500"/>
    <x v="0"/>
    <x v="6"/>
    <x v="0"/>
    <n v="3228.25"/>
    <n v="1291.3"/>
    <n v="1936.95"/>
    <s v="Success"/>
  </r>
  <r>
    <s v="TXN57729429"/>
    <x v="1846"/>
    <x v="2"/>
    <x v="3"/>
    <n v="21579"/>
    <x v="0"/>
    <x v="5"/>
    <x v="0"/>
    <n v="0"/>
    <n v="0"/>
    <n v="0"/>
    <s v="Success"/>
  </r>
  <r>
    <s v="TXN18047113"/>
    <x v="1847"/>
    <x v="1"/>
    <x v="2"/>
    <n v="4815"/>
    <x v="1"/>
    <x v="3"/>
    <x v="0"/>
    <n v="0"/>
    <n v="0"/>
    <n v="0"/>
    <s v="Success"/>
  </r>
  <r>
    <s v="TXN12512473"/>
    <x v="1848"/>
    <x v="3"/>
    <x v="4"/>
    <n v="118942"/>
    <x v="0"/>
    <x v="5"/>
    <x v="2"/>
    <n v="1189.42"/>
    <n v="0"/>
    <n v="1189.42"/>
    <s v="Success"/>
  </r>
  <r>
    <s v="TXN92303006"/>
    <x v="1849"/>
    <x v="3"/>
    <x v="2"/>
    <n v="3842"/>
    <x v="0"/>
    <x v="1"/>
    <x v="0"/>
    <n v="0"/>
    <n v="0"/>
    <n v="0"/>
    <s v="Success"/>
  </r>
  <r>
    <s v="TXN60527969"/>
    <x v="1850"/>
    <x v="6"/>
    <x v="3"/>
    <n v="47620"/>
    <x v="0"/>
    <x v="1"/>
    <x v="0"/>
    <n v="0"/>
    <n v="0"/>
    <n v="0"/>
    <s v="Success"/>
  </r>
  <r>
    <s v="TXN35373639"/>
    <x v="1851"/>
    <x v="0"/>
    <x v="4"/>
    <n v="136996"/>
    <x v="0"/>
    <x v="2"/>
    <x v="3"/>
    <n v="1369.96"/>
    <n v="0"/>
    <n v="1369.96"/>
    <s v="Success"/>
  </r>
  <r>
    <s v="TXN58577133"/>
    <x v="1852"/>
    <x v="6"/>
    <x v="4"/>
    <n v="25713"/>
    <x v="2"/>
    <x v="4"/>
    <x v="2"/>
    <n v="257.13"/>
    <n v="0"/>
    <n v="257.13"/>
    <s v="Success"/>
  </r>
  <r>
    <s v="TXN60874545"/>
    <x v="1853"/>
    <x v="0"/>
    <x v="2"/>
    <n v="930"/>
    <x v="0"/>
    <x v="6"/>
    <x v="0"/>
    <n v="0"/>
    <n v="0"/>
    <n v="0"/>
    <s v="Success"/>
  </r>
  <r>
    <s v="TXN24727307"/>
    <x v="1854"/>
    <x v="4"/>
    <x v="2"/>
    <n v="3922"/>
    <x v="0"/>
    <x v="7"/>
    <x v="0"/>
    <n v="0"/>
    <n v="0"/>
    <n v="0"/>
    <s v="Failed"/>
  </r>
  <r>
    <s v="TXN52122881"/>
    <x v="1855"/>
    <x v="0"/>
    <x v="3"/>
    <n v="58871"/>
    <x v="0"/>
    <x v="5"/>
    <x v="0"/>
    <n v="0"/>
    <n v="0"/>
    <n v="0"/>
    <s v="Success"/>
  </r>
  <r>
    <s v="TXN21582226"/>
    <x v="1856"/>
    <x v="3"/>
    <x v="3"/>
    <n v="26781"/>
    <x v="0"/>
    <x v="4"/>
    <x v="0"/>
    <n v="0"/>
    <n v="0"/>
    <n v="0"/>
    <s v="Success"/>
  </r>
  <r>
    <s v="TXN63673595"/>
    <x v="1857"/>
    <x v="4"/>
    <x v="3"/>
    <n v="47893"/>
    <x v="0"/>
    <x v="5"/>
    <x v="0"/>
    <n v="0"/>
    <n v="0"/>
    <n v="0"/>
    <s v="Failed"/>
  </r>
  <r>
    <s v="TXN15837281"/>
    <x v="1858"/>
    <x v="4"/>
    <x v="2"/>
    <n v="295"/>
    <x v="0"/>
    <x v="2"/>
    <x v="0"/>
    <n v="0"/>
    <n v="0"/>
    <n v="0"/>
    <s v="Success"/>
  </r>
  <r>
    <s v="TXN91662808"/>
    <x v="1859"/>
    <x v="5"/>
    <x v="1"/>
    <n v="125235"/>
    <x v="1"/>
    <x v="4"/>
    <x v="0"/>
    <n v="5"/>
    <n v="0"/>
    <n v="5"/>
    <s v="Success"/>
  </r>
  <r>
    <s v="TXN64569347"/>
    <x v="1860"/>
    <x v="5"/>
    <x v="0"/>
    <n v="234000"/>
    <x v="0"/>
    <x v="4"/>
    <x v="0"/>
    <n v="4329"/>
    <n v="1731.6"/>
    <n v="2597.4"/>
    <s v="Success"/>
  </r>
  <r>
    <s v="TXN10582010"/>
    <x v="1861"/>
    <x v="7"/>
    <x v="2"/>
    <n v="3358"/>
    <x v="1"/>
    <x v="3"/>
    <x v="0"/>
    <n v="0"/>
    <n v="0"/>
    <n v="0"/>
    <s v="Failed"/>
  </r>
  <r>
    <s v="TXN13595959"/>
    <x v="1862"/>
    <x v="0"/>
    <x v="3"/>
    <n v="61954"/>
    <x v="2"/>
    <x v="7"/>
    <x v="0"/>
    <n v="0"/>
    <n v="0"/>
    <n v="0"/>
    <s v="Success"/>
  </r>
  <r>
    <s v="TXN90384164"/>
    <x v="1863"/>
    <x v="7"/>
    <x v="0"/>
    <n v="61500"/>
    <x v="0"/>
    <x v="2"/>
    <x v="0"/>
    <n v="1137.75"/>
    <n v="455.1"/>
    <n v="682.65"/>
    <s v="Success"/>
  </r>
  <r>
    <s v="TXN79872002"/>
    <x v="1864"/>
    <x v="6"/>
    <x v="0"/>
    <n v="176000"/>
    <x v="1"/>
    <x v="8"/>
    <x v="0"/>
    <n v="3256"/>
    <n v="1302.4000000000001"/>
    <n v="1953.6"/>
    <s v="Success"/>
  </r>
  <r>
    <s v="TXN63495301"/>
    <x v="1865"/>
    <x v="5"/>
    <x v="0"/>
    <n v="5000"/>
    <x v="0"/>
    <x v="5"/>
    <x v="0"/>
    <n v="92.5"/>
    <n v="37"/>
    <n v="55.5"/>
    <s v="Success"/>
  </r>
  <r>
    <s v="TXN43852237"/>
    <x v="1866"/>
    <x v="4"/>
    <x v="2"/>
    <n v="915"/>
    <x v="0"/>
    <x v="5"/>
    <x v="0"/>
    <n v="0"/>
    <n v="0"/>
    <n v="0"/>
    <s v="Success"/>
  </r>
  <r>
    <s v="TXN94430274"/>
    <x v="1867"/>
    <x v="4"/>
    <x v="1"/>
    <n v="83436"/>
    <x v="2"/>
    <x v="7"/>
    <x v="0"/>
    <n v="5"/>
    <n v="0"/>
    <n v="5"/>
    <s v="Success"/>
  </r>
  <r>
    <s v="TXN63047106"/>
    <x v="1868"/>
    <x v="1"/>
    <x v="1"/>
    <n v="92093"/>
    <x v="0"/>
    <x v="5"/>
    <x v="0"/>
    <n v="5"/>
    <n v="0"/>
    <n v="5"/>
    <s v="Success"/>
  </r>
  <r>
    <s v="TXN76048551"/>
    <x v="1869"/>
    <x v="6"/>
    <x v="1"/>
    <n v="137193"/>
    <x v="1"/>
    <x v="5"/>
    <x v="0"/>
    <n v="5"/>
    <n v="0"/>
    <n v="5"/>
    <s v="Success"/>
  </r>
  <r>
    <s v="TXN34961121"/>
    <x v="1870"/>
    <x v="3"/>
    <x v="0"/>
    <n v="231000"/>
    <x v="0"/>
    <x v="5"/>
    <x v="0"/>
    <n v="4273.5"/>
    <n v="1709.4"/>
    <n v="2564.1"/>
    <s v="Success"/>
  </r>
  <r>
    <s v="TXN66136217"/>
    <x v="1871"/>
    <x v="1"/>
    <x v="1"/>
    <n v="67096"/>
    <x v="0"/>
    <x v="5"/>
    <x v="0"/>
    <n v="5"/>
    <n v="0"/>
    <n v="5"/>
    <s v="Success"/>
  </r>
  <r>
    <s v="TXN78979639"/>
    <x v="1872"/>
    <x v="2"/>
    <x v="1"/>
    <n v="6065"/>
    <x v="0"/>
    <x v="6"/>
    <x v="0"/>
    <n v="5"/>
    <n v="0"/>
    <n v="5"/>
    <s v="Success"/>
  </r>
  <r>
    <s v="TXN85260675"/>
    <x v="1873"/>
    <x v="7"/>
    <x v="2"/>
    <n v="536"/>
    <x v="0"/>
    <x v="5"/>
    <x v="0"/>
    <n v="0"/>
    <n v="0"/>
    <n v="0"/>
    <s v="Success"/>
  </r>
  <r>
    <s v="TXN45242175"/>
    <x v="1874"/>
    <x v="4"/>
    <x v="3"/>
    <n v="82580"/>
    <x v="0"/>
    <x v="6"/>
    <x v="0"/>
    <n v="0"/>
    <n v="0"/>
    <n v="0"/>
    <s v="Success"/>
  </r>
  <r>
    <s v="TXN30064093"/>
    <x v="1875"/>
    <x v="3"/>
    <x v="2"/>
    <n v="2390"/>
    <x v="1"/>
    <x v="7"/>
    <x v="0"/>
    <n v="0"/>
    <n v="0"/>
    <n v="0"/>
    <s v="Success"/>
  </r>
  <r>
    <s v="TXN50731980"/>
    <x v="1876"/>
    <x v="7"/>
    <x v="0"/>
    <n v="162500"/>
    <x v="0"/>
    <x v="3"/>
    <x v="0"/>
    <n v="3006.25"/>
    <n v="1202.5"/>
    <n v="1803.75"/>
    <s v="Success"/>
  </r>
  <r>
    <s v="TXN90823711"/>
    <x v="1877"/>
    <x v="7"/>
    <x v="4"/>
    <n v="88656"/>
    <x v="1"/>
    <x v="4"/>
    <x v="5"/>
    <n v="886.56"/>
    <n v="0"/>
    <n v="886.56"/>
    <s v="Success"/>
  </r>
  <r>
    <s v="TXN60864915"/>
    <x v="1878"/>
    <x v="0"/>
    <x v="2"/>
    <n v="3339"/>
    <x v="0"/>
    <x v="3"/>
    <x v="0"/>
    <n v="0"/>
    <n v="0"/>
    <n v="0"/>
    <s v="Success"/>
  </r>
  <r>
    <s v="TXN71544248"/>
    <x v="1879"/>
    <x v="4"/>
    <x v="3"/>
    <n v="91464"/>
    <x v="1"/>
    <x v="5"/>
    <x v="0"/>
    <n v="0"/>
    <n v="0"/>
    <n v="0"/>
    <s v="Success"/>
  </r>
  <r>
    <s v="TXN72413817"/>
    <x v="1880"/>
    <x v="4"/>
    <x v="0"/>
    <n v="18500"/>
    <x v="0"/>
    <x v="2"/>
    <x v="0"/>
    <n v="342.25"/>
    <n v="136.9"/>
    <n v="205.35"/>
    <s v="Success"/>
  </r>
  <r>
    <s v="TXN42875891"/>
    <x v="1881"/>
    <x v="5"/>
    <x v="2"/>
    <n v="3280"/>
    <x v="0"/>
    <x v="8"/>
    <x v="0"/>
    <n v="0"/>
    <n v="0"/>
    <n v="0"/>
    <s v="Success"/>
  </r>
  <r>
    <s v="TXN99146458"/>
    <x v="1882"/>
    <x v="3"/>
    <x v="4"/>
    <n v="66236"/>
    <x v="0"/>
    <x v="4"/>
    <x v="4"/>
    <n v="662.36"/>
    <n v="0"/>
    <n v="662.36"/>
    <s v="Success"/>
  </r>
  <r>
    <s v="TXN75032197"/>
    <x v="1883"/>
    <x v="6"/>
    <x v="4"/>
    <n v="67198"/>
    <x v="0"/>
    <x v="5"/>
    <x v="3"/>
    <n v="671.98"/>
    <n v="0"/>
    <n v="671.98"/>
    <s v="Success"/>
  </r>
  <r>
    <s v="TXN57946168"/>
    <x v="1884"/>
    <x v="7"/>
    <x v="0"/>
    <n v="222000"/>
    <x v="0"/>
    <x v="5"/>
    <x v="0"/>
    <n v="4107"/>
    <n v="1642.8"/>
    <n v="2464.1999999999998"/>
    <s v="Success"/>
  </r>
  <r>
    <s v="TXN43914305"/>
    <x v="1885"/>
    <x v="0"/>
    <x v="3"/>
    <n v="130166"/>
    <x v="0"/>
    <x v="7"/>
    <x v="0"/>
    <n v="0"/>
    <n v="0"/>
    <n v="0"/>
    <s v="Success"/>
  </r>
  <r>
    <s v="TXN16444364"/>
    <x v="1886"/>
    <x v="2"/>
    <x v="0"/>
    <n v="187500"/>
    <x v="0"/>
    <x v="8"/>
    <x v="0"/>
    <n v="3468.75"/>
    <n v="1387.5"/>
    <n v="2081.25"/>
    <s v="Success"/>
  </r>
  <r>
    <s v="TXN20290954"/>
    <x v="1887"/>
    <x v="4"/>
    <x v="4"/>
    <n v="78710"/>
    <x v="0"/>
    <x v="3"/>
    <x v="5"/>
    <n v="787.1"/>
    <n v="0"/>
    <n v="787.1"/>
    <s v="Success"/>
  </r>
  <r>
    <s v="TXN91259503"/>
    <x v="1888"/>
    <x v="2"/>
    <x v="0"/>
    <n v="165500"/>
    <x v="0"/>
    <x v="0"/>
    <x v="0"/>
    <n v="3061.75"/>
    <n v="1224.7"/>
    <n v="1837.05"/>
    <s v="Success"/>
  </r>
  <r>
    <s v="TXN34124219"/>
    <x v="1889"/>
    <x v="5"/>
    <x v="4"/>
    <n v="32971"/>
    <x v="0"/>
    <x v="2"/>
    <x v="4"/>
    <n v="329.71"/>
    <n v="0"/>
    <n v="329.71"/>
    <s v="Failed"/>
  </r>
  <r>
    <s v="TXN22945029"/>
    <x v="1890"/>
    <x v="3"/>
    <x v="4"/>
    <n v="133119"/>
    <x v="0"/>
    <x v="6"/>
    <x v="3"/>
    <n v="1331.19"/>
    <n v="0"/>
    <n v="1331.19"/>
    <s v="Success"/>
  </r>
  <r>
    <s v="TXN44155307"/>
    <x v="1891"/>
    <x v="6"/>
    <x v="4"/>
    <n v="61928"/>
    <x v="0"/>
    <x v="4"/>
    <x v="2"/>
    <n v="619.28"/>
    <n v="0"/>
    <n v="619.28"/>
    <s v="Success"/>
  </r>
  <r>
    <s v="TXN45282944"/>
    <x v="1892"/>
    <x v="7"/>
    <x v="4"/>
    <n v="103532"/>
    <x v="1"/>
    <x v="6"/>
    <x v="4"/>
    <n v="1035.32"/>
    <n v="0"/>
    <n v="1035.32"/>
    <s v="Failed"/>
  </r>
  <r>
    <s v="TXN28950284"/>
    <x v="1893"/>
    <x v="3"/>
    <x v="2"/>
    <n v="1924"/>
    <x v="0"/>
    <x v="3"/>
    <x v="0"/>
    <n v="0"/>
    <n v="0"/>
    <n v="0"/>
    <s v="Success"/>
  </r>
  <r>
    <s v="TXN20486991"/>
    <x v="1894"/>
    <x v="4"/>
    <x v="0"/>
    <n v="64000"/>
    <x v="0"/>
    <x v="2"/>
    <x v="0"/>
    <n v="1184"/>
    <n v="473.6"/>
    <n v="710.4"/>
    <s v="Success"/>
  </r>
  <r>
    <s v="TXN32682749"/>
    <x v="1895"/>
    <x v="5"/>
    <x v="3"/>
    <n v="136725"/>
    <x v="0"/>
    <x v="2"/>
    <x v="0"/>
    <n v="0"/>
    <n v="0"/>
    <n v="0"/>
    <s v="Success"/>
  </r>
  <r>
    <s v="TXN42512953"/>
    <x v="1896"/>
    <x v="3"/>
    <x v="1"/>
    <n v="21246"/>
    <x v="0"/>
    <x v="1"/>
    <x v="0"/>
    <n v="5"/>
    <n v="0"/>
    <n v="5"/>
    <s v="Success"/>
  </r>
  <r>
    <s v="TXN84518914"/>
    <x v="1897"/>
    <x v="7"/>
    <x v="3"/>
    <n v="127633"/>
    <x v="2"/>
    <x v="1"/>
    <x v="0"/>
    <n v="0"/>
    <n v="0"/>
    <n v="0"/>
    <s v="Success"/>
  </r>
  <r>
    <s v="TXN91399230"/>
    <x v="1898"/>
    <x v="2"/>
    <x v="2"/>
    <n v="265"/>
    <x v="0"/>
    <x v="3"/>
    <x v="0"/>
    <n v="0"/>
    <n v="0"/>
    <n v="0"/>
    <s v="Success"/>
  </r>
  <r>
    <s v="TXN28066363"/>
    <x v="1899"/>
    <x v="7"/>
    <x v="4"/>
    <n v="114634"/>
    <x v="0"/>
    <x v="8"/>
    <x v="3"/>
    <n v="1146.3399999999999"/>
    <n v="0"/>
    <n v="1146.3399999999999"/>
    <s v="Success"/>
  </r>
  <r>
    <s v="TXN73596314"/>
    <x v="1900"/>
    <x v="7"/>
    <x v="0"/>
    <n v="96500"/>
    <x v="0"/>
    <x v="0"/>
    <x v="0"/>
    <n v="1785.25"/>
    <n v="714.1"/>
    <n v="1071.1500000000001"/>
    <s v="Success"/>
  </r>
  <r>
    <s v="TXN82877670"/>
    <x v="1901"/>
    <x v="7"/>
    <x v="3"/>
    <n v="8231"/>
    <x v="0"/>
    <x v="5"/>
    <x v="0"/>
    <n v="0"/>
    <n v="0"/>
    <n v="0"/>
    <s v="Success"/>
  </r>
  <r>
    <s v="TXN74779990"/>
    <x v="1902"/>
    <x v="6"/>
    <x v="4"/>
    <n v="146098"/>
    <x v="0"/>
    <x v="1"/>
    <x v="2"/>
    <n v="1460.98"/>
    <n v="0"/>
    <n v="1460.98"/>
    <s v="Success"/>
  </r>
  <r>
    <s v="TXN80065935"/>
    <x v="1903"/>
    <x v="7"/>
    <x v="1"/>
    <n v="138560"/>
    <x v="0"/>
    <x v="5"/>
    <x v="0"/>
    <n v="5"/>
    <n v="0"/>
    <n v="5"/>
    <s v="Success"/>
  </r>
  <r>
    <s v="TXN66358870"/>
    <x v="1904"/>
    <x v="4"/>
    <x v="4"/>
    <n v="71039"/>
    <x v="0"/>
    <x v="8"/>
    <x v="5"/>
    <n v="710.39"/>
    <n v="0"/>
    <n v="710.39"/>
    <s v="Success"/>
  </r>
  <r>
    <s v="TXN42525132"/>
    <x v="1905"/>
    <x v="2"/>
    <x v="0"/>
    <n v="154500"/>
    <x v="0"/>
    <x v="5"/>
    <x v="0"/>
    <n v="2858.25"/>
    <n v="1143.3"/>
    <n v="1714.95"/>
    <s v="Success"/>
  </r>
  <r>
    <s v="TXN31010869"/>
    <x v="1906"/>
    <x v="7"/>
    <x v="0"/>
    <n v="39000"/>
    <x v="0"/>
    <x v="7"/>
    <x v="0"/>
    <n v="721.5"/>
    <n v="288.60000000000002"/>
    <n v="432.9"/>
    <s v="Success"/>
  </r>
  <r>
    <s v="TXN86282534"/>
    <x v="1907"/>
    <x v="4"/>
    <x v="3"/>
    <n v="106873"/>
    <x v="1"/>
    <x v="3"/>
    <x v="0"/>
    <n v="0"/>
    <n v="0"/>
    <n v="0"/>
    <s v="Success"/>
  </r>
  <r>
    <s v="TXN69870173"/>
    <x v="1908"/>
    <x v="4"/>
    <x v="2"/>
    <n v="2259"/>
    <x v="0"/>
    <x v="0"/>
    <x v="0"/>
    <n v="0"/>
    <n v="0"/>
    <n v="0"/>
    <s v="Success"/>
  </r>
  <r>
    <s v="TXN83786870"/>
    <x v="1909"/>
    <x v="0"/>
    <x v="4"/>
    <n v="9601"/>
    <x v="0"/>
    <x v="3"/>
    <x v="1"/>
    <n v="96.01"/>
    <n v="0"/>
    <n v="96.01"/>
    <s v="Success"/>
  </r>
  <r>
    <s v="TXN83231169"/>
    <x v="1910"/>
    <x v="3"/>
    <x v="1"/>
    <n v="149635"/>
    <x v="0"/>
    <x v="6"/>
    <x v="0"/>
    <n v="5"/>
    <n v="0"/>
    <n v="5"/>
    <s v="Success"/>
  </r>
  <r>
    <s v="TXN80955179"/>
    <x v="1911"/>
    <x v="0"/>
    <x v="2"/>
    <n v="4885"/>
    <x v="0"/>
    <x v="0"/>
    <x v="0"/>
    <n v="0"/>
    <n v="0"/>
    <n v="0"/>
    <s v="Success"/>
  </r>
  <r>
    <s v="TXN75898183"/>
    <x v="1912"/>
    <x v="6"/>
    <x v="0"/>
    <n v="178500"/>
    <x v="0"/>
    <x v="0"/>
    <x v="0"/>
    <n v="3302.25"/>
    <n v="1320.9"/>
    <n v="1981.35"/>
    <s v="Success"/>
  </r>
  <r>
    <s v="TXN77897679"/>
    <x v="1913"/>
    <x v="0"/>
    <x v="4"/>
    <n v="24483"/>
    <x v="0"/>
    <x v="1"/>
    <x v="3"/>
    <n v="244.83"/>
    <n v="0"/>
    <n v="244.83"/>
    <s v="Success"/>
  </r>
  <r>
    <s v="TXN26072704"/>
    <x v="1914"/>
    <x v="2"/>
    <x v="4"/>
    <n v="76367"/>
    <x v="0"/>
    <x v="8"/>
    <x v="4"/>
    <n v="763.67"/>
    <n v="0"/>
    <n v="763.67"/>
    <s v="Success"/>
  </r>
  <r>
    <s v="TXN16981498"/>
    <x v="1915"/>
    <x v="1"/>
    <x v="3"/>
    <n v="91530"/>
    <x v="1"/>
    <x v="4"/>
    <x v="0"/>
    <n v="0"/>
    <n v="0"/>
    <n v="0"/>
    <s v="Success"/>
  </r>
  <r>
    <s v="TXN34721711"/>
    <x v="1916"/>
    <x v="5"/>
    <x v="3"/>
    <n v="65548"/>
    <x v="0"/>
    <x v="4"/>
    <x v="0"/>
    <n v="0"/>
    <n v="0"/>
    <n v="0"/>
    <s v="Success"/>
  </r>
  <r>
    <s v="TXN19819995"/>
    <x v="1917"/>
    <x v="4"/>
    <x v="1"/>
    <n v="100066"/>
    <x v="0"/>
    <x v="8"/>
    <x v="0"/>
    <n v="5"/>
    <n v="0"/>
    <n v="5"/>
    <s v="Success"/>
  </r>
  <r>
    <s v="TXN27569188"/>
    <x v="1918"/>
    <x v="2"/>
    <x v="4"/>
    <n v="122358"/>
    <x v="0"/>
    <x v="5"/>
    <x v="4"/>
    <n v="1223.58"/>
    <n v="0"/>
    <n v="1223.58"/>
    <s v="Success"/>
  </r>
  <r>
    <s v="TXN58485296"/>
    <x v="1919"/>
    <x v="2"/>
    <x v="3"/>
    <n v="93977"/>
    <x v="0"/>
    <x v="4"/>
    <x v="0"/>
    <n v="0"/>
    <n v="0"/>
    <n v="0"/>
    <s v="Success"/>
  </r>
  <r>
    <s v="TXN27164236"/>
    <x v="1920"/>
    <x v="1"/>
    <x v="3"/>
    <n v="15095"/>
    <x v="0"/>
    <x v="4"/>
    <x v="0"/>
    <n v="0"/>
    <n v="0"/>
    <n v="0"/>
    <s v="Success"/>
  </r>
  <r>
    <s v="TXN14353658"/>
    <x v="1921"/>
    <x v="7"/>
    <x v="3"/>
    <n v="10126"/>
    <x v="0"/>
    <x v="2"/>
    <x v="0"/>
    <n v="0"/>
    <n v="0"/>
    <n v="0"/>
    <s v="Success"/>
  </r>
  <r>
    <s v="TXN25478266"/>
    <x v="1922"/>
    <x v="4"/>
    <x v="4"/>
    <n v="84372"/>
    <x v="0"/>
    <x v="5"/>
    <x v="3"/>
    <n v="843.72"/>
    <n v="0"/>
    <n v="843.72"/>
    <s v="Success"/>
  </r>
  <r>
    <s v="TXN15842981"/>
    <x v="1923"/>
    <x v="0"/>
    <x v="4"/>
    <n v="44764"/>
    <x v="0"/>
    <x v="2"/>
    <x v="1"/>
    <n v="447.64"/>
    <n v="0"/>
    <n v="447.64"/>
    <s v="Success"/>
  </r>
  <r>
    <s v="TXN72765955"/>
    <x v="1924"/>
    <x v="3"/>
    <x v="0"/>
    <n v="17000"/>
    <x v="0"/>
    <x v="2"/>
    <x v="0"/>
    <n v="314.5"/>
    <n v="125.8"/>
    <n v="188.7"/>
    <s v="Success"/>
  </r>
  <r>
    <s v="TXN32124657"/>
    <x v="1925"/>
    <x v="6"/>
    <x v="0"/>
    <n v="48500"/>
    <x v="1"/>
    <x v="5"/>
    <x v="0"/>
    <n v="897.25"/>
    <n v="358.9"/>
    <n v="538.35"/>
    <s v="Success"/>
  </r>
  <r>
    <s v="TXN89681461"/>
    <x v="1926"/>
    <x v="6"/>
    <x v="4"/>
    <n v="67909"/>
    <x v="0"/>
    <x v="2"/>
    <x v="5"/>
    <n v="679.09"/>
    <n v="0"/>
    <n v="679.09"/>
    <s v="Success"/>
  </r>
  <r>
    <s v="TXN17320157"/>
    <x v="1927"/>
    <x v="7"/>
    <x v="0"/>
    <n v="34000"/>
    <x v="0"/>
    <x v="3"/>
    <x v="0"/>
    <n v="629"/>
    <n v="251.6"/>
    <n v="377.4"/>
    <s v="Success"/>
  </r>
  <r>
    <s v="TXN55319658"/>
    <x v="1928"/>
    <x v="2"/>
    <x v="0"/>
    <n v="54500"/>
    <x v="0"/>
    <x v="0"/>
    <x v="0"/>
    <n v="1008.25"/>
    <n v="403.3"/>
    <n v="604.95000000000005"/>
    <s v="Success"/>
  </r>
  <r>
    <s v="TXN33523533"/>
    <x v="1929"/>
    <x v="6"/>
    <x v="1"/>
    <n v="126317"/>
    <x v="0"/>
    <x v="3"/>
    <x v="0"/>
    <n v="5"/>
    <n v="0"/>
    <n v="5"/>
    <s v="Success"/>
  </r>
  <r>
    <s v="TXN12472307"/>
    <x v="1930"/>
    <x v="1"/>
    <x v="3"/>
    <n v="65402"/>
    <x v="0"/>
    <x v="1"/>
    <x v="0"/>
    <n v="0"/>
    <n v="0"/>
    <n v="0"/>
    <s v="Success"/>
  </r>
  <r>
    <s v="TXN53954552"/>
    <x v="1931"/>
    <x v="1"/>
    <x v="1"/>
    <n v="70162"/>
    <x v="1"/>
    <x v="3"/>
    <x v="0"/>
    <n v="5"/>
    <n v="0"/>
    <n v="5"/>
    <s v="Success"/>
  </r>
  <r>
    <s v="TXN51864166"/>
    <x v="1932"/>
    <x v="1"/>
    <x v="0"/>
    <n v="236500"/>
    <x v="0"/>
    <x v="2"/>
    <x v="0"/>
    <n v="4375.25"/>
    <n v="1750.1"/>
    <n v="2625.15"/>
    <s v="Success"/>
  </r>
  <r>
    <s v="TXN35287282"/>
    <x v="1933"/>
    <x v="0"/>
    <x v="2"/>
    <n v="3563"/>
    <x v="0"/>
    <x v="2"/>
    <x v="0"/>
    <n v="0"/>
    <n v="0"/>
    <n v="0"/>
    <s v="Success"/>
  </r>
  <r>
    <s v="TXN99394847"/>
    <x v="1934"/>
    <x v="3"/>
    <x v="0"/>
    <n v="9500"/>
    <x v="0"/>
    <x v="2"/>
    <x v="0"/>
    <n v="175.75"/>
    <n v="70.3"/>
    <n v="105.45"/>
    <s v="Success"/>
  </r>
  <r>
    <s v="TXN64624687"/>
    <x v="1935"/>
    <x v="6"/>
    <x v="0"/>
    <n v="30000"/>
    <x v="2"/>
    <x v="0"/>
    <x v="0"/>
    <n v="555"/>
    <n v="222"/>
    <n v="333"/>
    <s v="Failed"/>
  </r>
  <r>
    <s v="TXN88366434"/>
    <x v="1936"/>
    <x v="0"/>
    <x v="2"/>
    <n v="718"/>
    <x v="0"/>
    <x v="8"/>
    <x v="0"/>
    <n v="0"/>
    <n v="0"/>
    <n v="0"/>
    <s v="Success"/>
  </r>
  <r>
    <s v="TXN22881284"/>
    <x v="1937"/>
    <x v="2"/>
    <x v="3"/>
    <n v="90538"/>
    <x v="0"/>
    <x v="1"/>
    <x v="0"/>
    <n v="0"/>
    <n v="0"/>
    <n v="0"/>
    <s v="Success"/>
  </r>
  <r>
    <s v="TXN34489133"/>
    <x v="1938"/>
    <x v="0"/>
    <x v="4"/>
    <n v="20950"/>
    <x v="1"/>
    <x v="0"/>
    <x v="1"/>
    <n v="209.5"/>
    <n v="0"/>
    <n v="209.5"/>
    <s v="Success"/>
  </r>
  <r>
    <s v="TXN49528620"/>
    <x v="1939"/>
    <x v="0"/>
    <x v="1"/>
    <n v="52601"/>
    <x v="0"/>
    <x v="8"/>
    <x v="0"/>
    <n v="5"/>
    <n v="0"/>
    <n v="5"/>
    <s v="Success"/>
  </r>
  <r>
    <s v="TXN38932954"/>
    <x v="1940"/>
    <x v="2"/>
    <x v="1"/>
    <n v="58170"/>
    <x v="0"/>
    <x v="3"/>
    <x v="0"/>
    <n v="5"/>
    <n v="0"/>
    <n v="5"/>
    <s v="Success"/>
  </r>
  <r>
    <s v="TXN26540222"/>
    <x v="1941"/>
    <x v="7"/>
    <x v="4"/>
    <n v="23532"/>
    <x v="0"/>
    <x v="6"/>
    <x v="4"/>
    <n v="235.32"/>
    <n v="0"/>
    <n v="235.32"/>
    <s v="Success"/>
  </r>
  <r>
    <s v="TXN22436931"/>
    <x v="1942"/>
    <x v="7"/>
    <x v="1"/>
    <n v="45371"/>
    <x v="0"/>
    <x v="5"/>
    <x v="0"/>
    <n v="5"/>
    <n v="0"/>
    <n v="5"/>
    <s v="Failed"/>
  </r>
  <r>
    <s v="TXN10577852"/>
    <x v="1943"/>
    <x v="1"/>
    <x v="1"/>
    <n v="34626"/>
    <x v="1"/>
    <x v="0"/>
    <x v="0"/>
    <n v="5"/>
    <n v="0"/>
    <n v="5"/>
    <s v="Success"/>
  </r>
  <r>
    <s v="TXN50923308"/>
    <x v="1944"/>
    <x v="1"/>
    <x v="3"/>
    <n v="105804"/>
    <x v="1"/>
    <x v="0"/>
    <x v="0"/>
    <n v="0"/>
    <n v="0"/>
    <n v="0"/>
    <s v="Success"/>
  </r>
  <r>
    <s v="TXN25608242"/>
    <x v="1945"/>
    <x v="5"/>
    <x v="3"/>
    <n v="57770"/>
    <x v="0"/>
    <x v="3"/>
    <x v="0"/>
    <n v="0"/>
    <n v="0"/>
    <n v="0"/>
    <s v="Success"/>
  </r>
  <r>
    <s v="TXN83917761"/>
    <x v="1946"/>
    <x v="7"/>
    <x v="3"/>
    <n v="43414"/>
    <x v="1"/>
    <x v="5"/>
    <x v="0"/>
    <n v="0"/>
    <n v="0"/>
    <n v="0"/>
    <s v="Success"/>
  </r>
  <r>
    <s v="TXN19874511"/>
    <x v="1947"/>
    <x v="4"/>
    <x v="3"/>
    <n v="52871"/>
    <x v="0"/>
    <x v="6"/>
    <x v="0"/>
    <n v="0"/>
    <n v="0"/>
    <n v="0"/>
    <s v="Success"/>
  </r>
  <r>
    <s v="TXN83435884"/>
    <x v="1948"/>
    <x v="6"/>
    <x v="1"/>
    <n v="125021"/>
    <x v="0"/>
    <x v="6"/>
    <x v="0"/>
    <n v="5"/>
    <n v="0"/>
    <n v="5"/>
    <s v="Failed"/>
  </r>
  <r>
    <s v="TXN25850740"/>
    <x v="1949"/>
    <x v="7"/>
    <x v="4"/>
    <n v="68213"/>
    <x v="0"/>
    <x v="8"/>
    <x v="1"/>
    <n v="682.13"/>
    <n v="0"/>
    <n v="682.13"/>
    <s v="Success"/>
  </r>
  <r>
    <s v="TXN34067881"/>
    <x v="1950"/>
    <x v="7"/>
    <x v="2"/>
    <n v="1699"/>
    <x v="0"/>
    <x v="7"/>
    <x v="0"/>
    <n v="0"/>
    <n v="0"/>
    <n v="0"/>
    <s v="Success"/>
  </r>
  <r>
    <s v="TXN48182921"/>
    <x v="1951"/>
    <x v="7"/>
    <x v="0"/>
    <n v="35500"/>
    <x v="0"/>
    <x v="2"/>
    <x v="0"/>
    <n v="656.75"/>
    <n v="262.7"/>
    <n v="394.05"/>
    <s v="Success"/>
  </r>
  <r>
    <s v="TXN10390153"/>
    <x v="1952"/>
    <x v="4"/>
    <x v="4"/>
    <n v="139041"/>
    <x v="0"/>
    <x v="0"/>
    <x v="4"/>
    <n v="1390.41"/>
    <n v="0"/>
    <n v="1390.41"/>
    <s v="Success"/>
  </r>
  <r>
    <s v="TXN83724282"/>
    <x v="1953"/>
    <x v="2"/>
    <x v="3"/>
    <n v="38395"/>
    <x v="0"/>
    <x v="1"/>
    <x v="0"/>
    <n v="0"/>
    <n v="0"/>
    <n v="0"/>
    <s v="Failed"/>
  </r>
  <r>
    <s v="TXN98907353"/>
    <x v="1954"/>
    <x v="3"/>
    <x v="0"/>
    <n v="227500"/>
    <x v="0"/>
    <x v="1"/>
    <x v="0"/>
    <n v="4208.75"/>
    <n v="1683.5"/>
    <n v="2525.25"/>
    <s v="Success"/>
  </r>
  <r>
    <s v="TXN34861721"/>
    <x v="1955"/>
    <x v="6"/>
    <x v="2"/>
    <n v="4798"/>
    <x v="0"/>
    <x v="0"/>
    <x v="0"/>
    <n v="0"/>
    <n v="0"/>
    <n v="0"/>
    <s v="Success"/>
  </r>
  <r>
    <s v="TXN89213608"/>
    <x v="1956"/>
    <x v="7"/>
    <x v="3"/>
    <n v="35630"/>
    <x v="0"/>
    <x v="0"/>
    <x v="0"/>
    <n v="0"/>
    <n v="0"/>
    <n v="0"/>
    <s v="Success"/>
  </r>
  <r>
    <s v="TXN14755286"/>
    <x v="1957"/>
    <x v="5"/>
    <x v="4"/>
    <n v="56601"/>
    <x v="2"/>
    <x v="3"/>
    <x v="4"/>
    <n v="566.01"/>
    <n v="0"/>
    <n v="566.01"/>
    <s v="Success"/>
  </r>
  <r>
    <s v="TXN11243919"/>
    <x v="1958"/>
    <x v="0"/>
    <x v="3"/>
    <n v="71830"/>
    <x v="1"/>
    <x v="5"/>
    <x v="0"/>
    <n v="0"/>
    <n v="0"/>
    <n v="0"/>
    <s v="Success"/>
  </r>
  <r>
    <s v="TXN20561548"/>
    <x v="1959"/>
    <x v="1"/>
    <x v="2"/>
    <n v="23"/>
    <x v="0"/>
    <x v="4"/>
    <x v="0"/>
    <n v="0"/>
    <n v="0"/>
    <n v="0"/>
    <s v="Success"/>
  </r>
  <r>
    <s v="TXN66406586"/>
    <x v="1960"/>
    <x v="4"/>
    <x v="3"/>
    <n v="128533"/>
    <x v="0"/>
    <x v="3"/>
    <x v="0"/>
    <n v="0"/>
    <n v="0"/>
    <n v="0"/>
    <s v="Success"/>
  </r>
  <r>
    <s v="TXN18533007"/>
    <x v="1961"/>
    <x v="0"/>
    <x v="4"/>
    <n v="42851"/>
    <x v="1"/>
    <x v="8"/>
    <x v="1"/>
    <n v="428.51"/>
    <n v="0"/>
    <n v="428.51"/>
    <s v="Success"/>
  </r>
  <r>
    <s v="TXN83387383"/>
    <x v="1962"/>
    <x v="0"/>
    <x v="4"/>
    <n v="74589"/>
    <x v="1"/>
    <x v="8"/>
    <x v="3"/>
    <n v="745.89"/>
    <n v="0"/>
    <n v="745.89"/>
    <s v="Success"/>
  </r>
  <r>
    <s v="TXN21804032"/>
    <x v="1963"/>
    <x v="0"/>
    <x v="4"/>
    <n v="95034"/>
    <x v="0"/>
    <x v="1"/>
    <x v="4"/>
    <n v="950.34"/>
    <n v="0"/>
    <n v="950.34"/>
    <s v="Success"/>
  </r>
  <r>
    <s v="TXN14552565"/>
    <x v="1964"/>
    <x v="2"/>
    <x v="3"/>
    <n v="103565"/>
    <x v="0"/>
    <x v="1"/>
    <x v="0"/>
    <n v="0"/>
    <n v="0"/>
    <n v="0"/>
    <s v="Success"/>
  </r>
  <r>
    <s v="TXN84823548"/>
    <x v="1965"/>
    <x v="0"/>
    <x v="4"/>
    <n v="143455"/>
    <x v="0"/>
    <x v="2"/>
    <x v="2"/>
    <n v="1434.55"/>
    <n v="0"/>
    <n v="1434.55"/>
    <s v="Success"/>
  </r>
  <r>
    <s v="TXN43544073"/>
    <x v="1966"/>
    <x v="6"/>
    <x v="3"/>
    <n v="134822"/>
    <x v="0"/>
    <x v="7"/>
    <x v="0"/>
    <n v="0"/>
    <n v="0"/>
    <n v="0"/>
    <s v="Success"/>
  </r>
  <r>
    <s v="TXN21660276"/>
    <x v="1967"/>
    <x v="5"/>
    <x v="2"/>
    <n v="993"/>
    <x v="0"/>
    <x v="2"/>
    <x v="0"/>
    <n v="0"/>
    <n v="0"/>
    <n v="0"/>
    <s v="Success"/>
  </r>
  <r>
    <s v="TXN71111101"/>
    <x v="1968"/>
    <x v="3"/>
    <x v="2"/>
    <n v="4310"/>
    <x v="0"/>
    <x v="1"/>
    <x v="0"/>
    <n v="0"/>
    <n v="0"/>
    <n v="0"/>
    <s v="Success"/>
  </r>
  <r>
    <s v="TXN12432567"/>
    <x v="1969"/>
    <x v="5"/>
    <x v="4"/>
    <n v="149662"/>
    <x v="0"/>
    <x v="2"/>
    <x v="4"/>
    <n v="1496.62"/>
    <n v="0"/>
    <n v="1496.62"/>
    <s v="Success"/>
  </r>
  <r>
    <s v="TXN92026191"/>
    <x v="1970"/>
    <x v="2"/>
    <x v="2"/>
    <n v="2399"/>
    <x v="0"/>
    <x v="0"/>
    <x v="0"/>
    <n v="0"/>
    <n v="0"/>
    <n v="0"/>
    <s v="Success"/>
  </r>
  <r>
    <s v="TXN87170913"/>
    <x v="1971"/>
    <x v="1"/>
    <x v="1"/>
    <n v="18339"/>
    <x v="0"/>
    <x v="7"/>
    <x v="0"/>
    <n v="5"/>
    <n v="0"/>
    <n v="5"/>
    <s v="Success"/>
  </r>
  <r>
    <s v="TXN26239815"/>
    <x v="1972"/>
    <x v="2"/>
    <x v="0"/>
    <n v="227500"/>
    <x v="1"/>
    <x v="5"/>
    <x v="0"/>
    <n v="4208.75"/>
    <n v="1683.5"/>
    <n v="2525.25"/>
    <s v="Success"/>
  </r>
  <r>
    <s v="TXN63184219"/>
    <x v="1973"/>
    <x v="0"/>
    <x v="1"/>
    <n v="147171"/>
    <x v="0"/>
    <x v="5"/>
    <x v="0"/>
    <n v="5"/>
    <n v="0"/>
    <n v="5"/>
    <s v="Success"/>
  </r>
  <r>
    <s v="TXN32474847"/>
    <x v="1974"/>
    <x v="0"/>
    <x v="4"/>
    <n v="32684"/>
    <x v="0"/>
    <x v="8"/>
    <x v="3"/>
    <n v="326.83999999999997"/>
    <n v="0"/>
    <n v="326.83999999999997"/>
    <s v="Success"/>
  </r>
  <r>
    <s v="TXN96678270"/>
    <x v="1975"/>
    <x v="6"/>
    <x v="1"/>
    <n v="58681"/>
    <x v="0"/>
    <x v="7"/>
    <x v="0"/>
    <n v="5"/>
    <n v="0"/>
    <n v="5"/>
    <s v="Success"/>
  </r>
  <r>
    <s v="TXN67780225"/>
    <x v="1976"/>
    <x v="6"/>
    <x v="2"/>
    <n v="2471"/>
    <x v="0"/>
    <x v="0"/>
    <x v="0"/>
    <n v="0"/>
    <n v="0"/>
    <n v="0"/>
    <s v="Success"/>
  </r>
  <r>
    <s v="TXN61832122"/>
    <x v="1977"/>
    <x v="0"/>
    <x v="4"/>
    <n v="21619"/>
    <x v="1"/>
    <x v="1"/>
    <x v="5"/>
    <n v="216.19"/>
    <n v="0"/>
    <n v="216.19"/>
    <s v="Success"/>
  </r>
  <r>
    <s v="TXN20568652"/>
    <x v="1978"/>
    <x v="5"/>
    <x v="3"/>
    <n v="55807"/>
    <x v="0"/>
    <x v="2"/>
    <x v="0"/>
    <n v="0"/>
    <n v="0"/>
    <n v="0"/>
    <s v="Success"/>
  </r>
  <r>
    <s v="TXN46406729"/>
    <x v="1979"/>
    <x v="7"/>
    <x v="4"/>
    <n v="49026"/>
    <x v="0"/>
    <x v="5"/>
    <x v="1"/>
    <n v="490.26"/>
    <n v="0"/>
    <n v="490.26"/>
    <s v="Success"/>
  </r>
  <r>
    <s v="TXN73754606"/>
    <x v="1980"/>
    <x v="1"/>
    <x v="0"/>
    <n v="108500"/>
    <x v="2"/>
    <x v="5"/>
    <x v="0"/>
    <n v="2007.25"/>
    <n v="802.9"/>
    <n v="1204.3499999999999"/>
    <s v="Success"/>
  </r>
  <r>
    <s v="TXN78197366"/>
    <x v="1981"/>
    <x v="6"/>
    <x v="1"/>
    <n v="57305"/>
    <x v="2"/>
    <x v="1"/>
    <x v="0"/>
    <n v="5"/>
    <n v="0"/>
    <n v="5"/>
    <s v="Success"/>
  </r>
  <r>
    <s v="TXN26873580"/>
    <x v="1982"/>
    <x v="5"/>
    <x v="1"/>
    <n v="6977"/>
    <x v="0"/>
    <x v="0"/>
    <x v="0"/>
    <n v="5"/>
    <n v="0"/>
    <n v="5"/>
    <s v="Success"/>
  </r>
  <r>
    <s v="TXN49002498"/>
    <x v="1983"/>
    <x v="6"/>
    <x v="0"/>
    <n v="180000"/>
    <x v="0"/>
    <x v="3"/>
    <x v="0"/>
    <n v="3330"/>
    <n v="1332"/>
    <n v="1998"/>
    <s v="Failed"/>
  </r>
  <r>
    <s v="TXN79242327"/>
    <x v="1984"/>
    <x v="1"/>
    <x v="3"/>
    <n v="73329"/>
    <x v="0"/>
    <x v="5"/>
    <x v="0"/>
    <n v="0"/>
    <n v="0"/>
    <n v="0"/>
    <s v="Success"/>
  </r>
  <r>
    <s v="TXN84117793"/>
    <x v="1985"/>
    <x v="7"/>
    <x v="1"/>
    <n v="50461"/>
    <x v="0"/>
    <x v="7"/>
    <x v="0"/>
    <n v="5"/>
    <n v="0"/>
    <n v="5"/>
    <s v="Success"/>
  </r>
  <r>
    <s v="TXN81463899"/>
    <x v="1986"/>
    <x v="3"/>
    <x v="1"/>
    <n v="48658"/>
    <x v="1"/>
    <x v="4"/>
    <x v="0"/>
    <n v="5"/>
    <n v="0"/>
    <n v="5"/>
    <s v="Success"/>
  </r>
  <r>
    <s v="TXN97459286"/>
    <x v="1987"/>
    <x v="5"/>
    <x v="0"/>
    <n v="93000"/>
    <x v="0"/>
    <x v="8"/>
    <x v="0"/>
    <n v="1720.5"/>
    <n v="688.2"/>
    <n v="1032.3"/>
    <s v="Success"/>
  </r>
  <r>
    <s v="TXN66717907"/>
    <x v="1988"/>
    <x v="2"/>
    <x v="4"/>
    <n v="44563"/>
    <x v="0"/>
    <x v="4"/>
    <x v="4"/>
    <n v="445.63"/>
    <n v="0"/>
    <n v="445.63"/>
    <s v="Success"/>
  </r>
  <r>
    <s v="TXN56417213"/>
    <x v="1989"/>
    <x v="5"/>
    <x v="3"/>
    <n v="99980"/>
    <x v="0"/>
    <x v="8"/>
    <x v="0"/>
    <n v="0"/>
    <n v="0"/>
    <n v="0"/>
    <s v="Success"/>
  </r>
  <r>
    <s v="TXN38336736"/>
    <x v="1990"/>
    <x v="4"/>
    <x v="0"/>
    <n v="39500"/>
    <x v="0"/>
    <x v="8"/>
    <x v="0"/>
    <n v="730.75"/>
    <n v="292.3"/>
    <n v="438.45"/>
    <s v="Success"/>
  </r>
  <r>
    <s v="TXN45418055"/>
    <x v="1991"/>
    <x v="4"/>
    <x v="3"/>
    <n v="10422"/>
    <x v="0"/>
    <x v="6"/>
    <x v="0"/>
    <n v="0"/>
    <n v="0"/>
    <n v="0"/>
    <s v="Success"/>
  </r>
  <r>
    <s v="TXN61064664"/>
    <x v="1992"/>
    <x v="1"/>
    <x v="2"/>
    <n v="268"/>
    <x v="0"/>
    <x v="1"/>
    <x v="0"/>
    <n v="0"/>
    <n v="0"/>
    <n v="0"/>
    <s v="Success"/>
  </r>
  <r>
    <s v="TXN31009414"/>
    <x v="1993"/>
    <x v="7"/>
    <x v="4"/>
    <n v="93466"/>
    <x v="0"/>
    <x v="1"/>
    <x v="1"/>
    <n v="934.66"/>
    <n v="0"/>
    <n v="934.66"/>
    <s v="Success"/>
  </r>
  <r>
    <s v="TXN63176790"/>
    <x v="1994"/>
    <x v="0"/>
    <x v="3"/>
    <n v="81198"/>
    <x v="0"/>
    <x v="0"/>
    <x v="0"/>
    <n v="0"/>
    <n v="0"/>
    <n v="0"/>
    <s v="Success"/>
  </r>
  <r>
    <s v="TXN32940788"/>
    <x v="1995"/>
    <x v="4"/>
    <x v="4"/>
    <n v="119482"/>
    <x v="0"/>
    <x v="1"/>
    <x v="3"/>
    <n v="1194.82"/>
    <n v="0"/>
    <n v="1194.82"/>
    <s v="Success"/>
  </r>
  <r>
    <s v="TXN55066441"/>
    <x v="1996"/>
    <x v="1"/>
    <x v="1"/>
    <n v="66080"/>
    <x v="1"/>
    <x v="8"/>
    <x v="0"/>
    <n v="5"/>
    <n v="0"/>
    <n v="5"/>
    <s v="Success"/>
  </r>
  <r>
    <s v="TXN64587624"/>
    <x v="1997"/>
    <x v="5"/>
    <x v="1"/>
    <n v="134793"/>
    <x v="0"/>
    <x v="0"/>
    <x v="0"/>
    <n v="5"/>
    <n v="0"/>
    <n v="5"/>
    <s v="Success"/>
  </r>
  <r>
    <s v="TXN68329474"/>
    <x v="1998"/>
    <x v="6"/>
    <x v="0"/>
    <n v="213000"/>
    <x v="0"/>
    <x v="6"/>
    <x v="0"/>
    <n v="3940.5"/>
    <n v="1576.2"/>
    <n v="2364.3000000000002"/>
    <s v="Success"/>
  </r>
  <r>
    <s v="TXN44582228"/>
    <x v="1999"/>
    <x v="1"/>
    <x v="0"/>
    <n v="204500"/>
    <x v="0"/>
    <x v="6"/>
    <x v="0"/>
    <n v="3783.25"/>
    <n v="1513.3"/>
    <n v="2269.9499999999998"/>
    <s v="Success"/>
  </r>
  <r>
    <s v="TXN91663822"/>
    <x v="2000"/>
    <x v="1"/>
    <x v="1"/>
    <n v="6251"/>
    <x v="0"/>
    <x v="0"/>
    <x v="0"/>
    <n v="5"/>
    <n v="0"/>
    <n v="5"/>
    <s v="Success"/>
  </r>
  <r>
    <s v="TXN95024368"/>
    <x v="2001"/>
    <x v="5"/>
    <x v="2"/>
    <n v="1577"/>
    <x v="0"/>
    <x v="8"/>
    <x v="0"/>
    <n v="0"/>
    <n v="0"/>
    <n v="0"/>
    <s v="Success"/>
  </r>
  <r>
    <s v="TXN82563915"/>
    <x v="2002"/>
    <x v="3"/>
    <x v="1"/>
    <n v="99010"/>
    <x v="0"/>
    <x v="7"/>
    <x v="0"/>
    <n v="5"/>
    <n v="0"/>
    <n v="5"/>
    <s v="Success"/>
  </r>
  <r>
    <s v="TXN85593302"/>
    <x v="2003"/>
    <x v="1"/>
    <x v="0"/>
    <n v="100000"/>
    <x v="0"/>
    <x v="1"/>
    <x v="0"/>
    <n v="1850"/>
    <n v="740"/>
    <n v="1110"/>
    <s v="Success"/>
  </r>
  <r>
    <s v="TXN59944057"/>
    <x v="2004"/>
    <x v="1"/>
    <x v="1"/>
    <n v="1524"/>
    <x v="0"/>
    <x v="8"/>
    <x v="0"/>
    <n v="5"/>
    <n v="0"/>
    <n v="5"/>
    <s v="Success"/>
  </r>
  <r>
    <s v="TXN92640856"/>
    <x v="2005"/>
    <x v="1"/>
    <x v="3"/>
    <n v="111697"/>
    <x v="0"/>
    <x v="1"/>
    <x v="0"/>
    <n v="0"/>
    <n v="0"/>
    <n v="0"/>
    <s v="Success"/>
  </r>
  <r>
    <s v="TXN55589025"/>
    <x v="2006"/>
    <x v="1"/>
    <x v="1"/>
    <n v="95844"/>
    <x v="0"/>
    <x v="6"/>
    <x v="0"/>
    <n v="5"/>
    <n v="0"/>
    <n v="5"/>
    <s v="Success"/>
  </r>
  <r>
    <s v="TXN55007798"/>
    <x v="2007"/>
    <x v="4"/>
    <x v="3"/>
    <n v="3119"/>
    <x v="0"/>
    <x v="1"/>
    <x v="0"/>
    <n v="0"/>
    <n v="0"/>
    <n v="0"/>
    <s v="Success"/>
  </r>
  <r>
    <s v="TXN56173909"/>
    <x v="2008"/>
    <x v="4"/>
    <x v="4"/>
    <n v="43608"/>
    <x v="1"/>
    <x v="3"/>
    <x v="1"/>
    <n v="436.08"/>
    <n v="0"/>
    <n v="436.08"/>
    <s v="Success"/>
  </r>
  <r>
    <s v="TXN42048285"/>
    <x v="2009"/>
    <x v="2"/>
    <x v="1"/>
    <n v="37684"/>
    <x v="0"/>
    <x v="5"/>
    <x v="0"/>
    <n v="5"/>
    <n v="0"/>
    <n v="5"/>
    <s v="Success"/>
  </r>
  <r>
    <s v="TXN18741083"/>
    <x v="2010"/>
    <x v="7"/>
    <x v="1"/>
    <n v="45187"/>
    <x v="0"/>
    <x v="5"/>
    <x v="0"/>
    <n v="5"/>
    <n v="0"/>
    <n v="5"/>
    <s v="Success"/>
  </r>
  <r>
    <s v="TXN51306048"/>
    <x v="2011"/>
    <x v="1"/>
    <x v="1"/>
    <n v="85809"/>
    <x v="0"/>
    <x v="8"/>
    <x v="0"/>
    <n v="5"/>
    <n v="0"/>
    <n v="5"/>
    <s v="Success"/>
  </r>
  <r>
    <s v="TXN83952828"/>
    <x v="2012"/>
    <x v="1"/>
    <x v="4"/>
    <n v="19231"/>
    <x v="0"/>
    <x v="3"/>
    <x v="4"/>
    <n v="192.31"/>
    <n v="0"/>
    <n v="192.31"/>
    <s v="Success"/>
  </r>
  <r>
    <s v="TXN35886534"/>
    <x v="2013"/>
    <x v="0"/>
    <x v="3"/>
    <n v="136579"/>
    <x v="0"/>
    <x v="6"/>
    <x v="0"/>
    <n v="0"/>
    <n v="0"/>
    <n v="0"/>
    <s v="Success"/>
  </r>
  <r>
    <s v="TXN52339407"/>
    <x v="2014"/>
    <x v="6"/>
    <x v="0"/>
    <n v="248000"/>
    <x v="0"/>
    <x v="5"/>
    <x v="0"/>
    <n v="4588"/>
    <n v="1835.2"/>
    <n v="2752.8"/>
    <s v="Success"/>
  </r>
  <r>
    <s v="TXN70348992"/>
    <x v="2015"/>
    <x v="0"/>
    <x v="0"/>
    <n v="168000"/>
    <x v="0"/>
    <x v="4"/>
    <x v="0"/>
    <n v="3108"/>
    <n v="1243.2"/>
    <n v="1864.8"/>
    <s v="Success"/>
  </r>
  <r>
    <s v="TXN43377240"/>
    <x v="2016"/>
    <x v="7"/>
    <x v="1"/>
    <n v="87984"/>
    <x v="1"/>
    <x v="3"/>
    <x v="0"/>
    <n v="5"/>
    <n v="0"/>
    <n v="5"/>
    <s v="Success"/>
  </r>
  <r>
    <s v="TXN57366856"/>
    <x v="2017"/>
    <x v="0"/>
    <x v="3"/>
    <n v="42400"/>
    <x v="1"/>
    <x v="5"/>
    <x v="0"/>
    <n v="0"/>
    <n v="0"/>
    <n v="0"/>
    <s v="Success"/>
  </r>
  <r>
    <s v="TXN75863054"/>
    <x v="2018"/>
    <x v="7"/>
    <x v="4"/>
    <n v="146461"/>
    <x v="2"/>
    <x v="5"/>
    <x v="2"/>
    <n v="1464.61"/>
    <n v="0"/>
    <n v="1464.61"/>
    <s v="Success"/>
  </r>
  <r>
    <s v="TXN84396991"/>
    <x v="2019"/>
    <x v="2"/>
    <x v="3"/>
    <n v="58961"/>
    <x v="1"/>
    <x v="5"/>
    <x v="0"/>
    <n v="0"/>
    <n v="0"/>
    <n v="0"/>
    <s v="Success"/>
  </r>
  <r>
    <s v="TXN22234968"/>
    <x v="2020"/>
    <x v="2"/>
    <x v="2"/>
    <n v="666"/>
    <x v="1"/>
    <x v="8"/>
    <x v="0"/>
    <n v="0"/>
    <n v="0"/>
    <n v="0"/>
    <s v="Success"/>
  </r>
  <r>
    <s v="TXN92102462"/>
    <x v="2021"/>
    <x v="4"/>
    <x v="4"/>
    <n v="87045"/>
    <x v="2"/>
    <x v="6"/>
    <x v="2"/>
    <n v="870.45"/>
    <n v="0"/>
    <n v="870.45"/>
    <s v="Success"/>
  </r>
  <r>
    <s v="TXN84245850"/>
    <x v="2022"/>
    <x v="5"/>
    <x v="3"/>
    <n v="64890"/>
    <x v="0"/>
    <x v="8"/>
    <x v="0"/>
    <n v="0"/>
    <n v="0"/>
    <n v="0"/>
    <s v="Success"/>
  </r>
  <r>
    <s v="TXN55699835"/>
    <x v="2023"/>
    <x v="2"/>
    <x v="2"/>
    <n v="2532"/>
    <x v="0"/>
    <x v="1"/>
    <x v="0"/>
    <n v="0"/>
    <n v="0"/>
    <n v="0"/>
    <s v="Success"/>
  </r>
  <r>
    <s v="TXN99148019"/>
    <x v="2024"/>
    <x v="7"/>
    <x v="3"/>
    <n v="92355"/>
    <x v="1"/>
    <x v="7"/>
    <x v="0"/>
    <n v="0"/>
    <n v="0"/>
    <n v="0"/>
    <s v="Success"/>
  </r>
  <r>
    <s v="TXN78823481"/>
    <x v="2025"/>
    <x v="2"/>
    <x v="0"/>
    <n v="151000"/>
    <x v="1"/>
    <x v="1"/>
    <x v="0"/>
    <n v="2793.5"/>
    <n v="1117.4000000000001"/>
    <n v="1676.1"/>
    <s v="Success"/>
  </r>
  <r>
    <s v="TXN50420878"/>
    <x v="2026"/>
    <x v="5"/>
    <x v="1"/>
    <n v="139112"/>
    <x v="1"/>
    <x v="5"/>
    <x v="0"/>
    <n v="5"/>
    <n v="0"/>
    <n v="5"/>
    <s v="Success"/>
  </r>
  <r>
    <s v="TXN84355887"/>
    <x v="2027"/>
    <x v="7"/>
    <x v="2"/>
    <n v="2631"/>
    <x v="0"/>
    <x v="6"/>
    <x v="0"/>
    <n v="0"/>
    <n v="0"/>
    <n v="0"/>
    <s v="Success"/>
  </r>
  <r>
    <s v="TXN60702242"/>
    <x v="2028"/>
    <x v="1"/>
    <x v="4"/>
    <n v="142729"/>
    <x v="0"/>
    <x v="6"/>
    <x v="1"/>
    <n v="1427.29"/>
    <n v="0"/>
    <n v="1427.29"/>
    <s v="Success"/>
  </r>
  <r>
    <s v="TXN89452354"/>
    <x v="2029"/>
    <x v="6"/>
    <x v="2"/>
    <n v="4667"/>
    <x v="1"/>
    <x v="1"/>
    <x v="0"/>
    <n v="0"/>
    <n v="0"/>
    <n v="0"/>
    <s v="Success"/>
  </r>
  <r>
    <s v="TXN65930531"/>
    <x v="2030"/>
    <x v="1"/>
    <x v="4"/>
    <n v="39367"/>
    <x v="0"/>
    <x v="5"/>
    <x v="3"/>
    <n v="393.67"/>
    <n v="0"/>
    <n v="393.67"/>
    <s v="Success"/>
  </r>
  <r>
    <s v="TXN36794624"/>
    <x v="2031"/>
    <x v="1"/>
    <x v="3"/>
    <n v="130854"/>
    <x v="0"/>
    <x v="2"/>
    <x v="0"/>
    <n v="0"/>
    <n v="0"/>
    <n v="0"/>
    <s v="Success"/>
  </r>
  <r>
    <s v="TXN84467257"/>
    <x v="2032"/>
    <x v="6"/>
    <x v="3"/>
    <n v="45159"/>
    <x v="0"/>
    <x v="6"/>
    <x v="0"/>
    <n v="0"/>
    <n v="0"/>
    <n v="0"/>
    <s v="Success"/>
  </r>
  <r>
    <s v="TXN16779631"/>
    <x v="2033"/>
    <x v="3"/>
    <x v="3"/>
    <n v="2992"/>
    <x v="0"/>
    <x v="3"/>
    <x v="0"/>
    <n v="0"/>
    <n v="0"/>
    <n v="0"/>
    <s v="Success"/>
  </r>
  <r>
    <s v="TXN19633787"/>
    <x v="2034"/>
    <x v="7"/>
    <x v="2"/>
    <n v="3639"/>
    <x v="1"/>
    <x v="0"/>
    <x v="0"/>
    <n v="0"/>
    <n v="0"/>
    <n v="0"/>
    <s v="Success"/>
  </r>
  <r>
    <s v="TXN99870647"/>
    <x v="2035"/>
    <x v="6"/>
    <x v="3"/>
    <n v="98827"/>
    <x v="0"/>
    <x v="5"/>
    <x v="0"/>
    <n v="0"/>
    <n v="0"/>
    <n v="0"/>
    <s v="Failed"/>
  </r>
  <r>
    <s v="TXN74243513"/>
    <x v="2036"/>
    <x v="2"/>
    <x v="1"/>
    <n v="124970"/>
    <x v="0"/>
    <x v="1"/>
    <x v="0"/>
    <n v="5"/>
    <n v="0"/>
    <n v="5"/>
    <s v="Success"/>
  </r>
  <r>
    <s v="TXN57720602"/>
    <x v="2037"/>
    <x v="1"/>
    <x v="2"/>
    <n v="3569"/>
    <x v="0"/>
    <x v="8"/>
    <x v="0"/>
    <n v="0"/>
    <n v="0"/>
    <n v="0"/>
    <s v="Success"/>
  </r>
  <r>
    <s v="TXN72807003"/>
    <x v="2038"/>
    <x v="5"/>
    <x v="2"/>
    <n v="2042"/>
    <x v="0"/>
    <x v="0"/>
    <x v="0"/>
    <n v="0"/>
    <n v="0"/>
    <n v="0"/>
    <s v="Success"/>
  </r>
  <r>
    <s v="TXN14439597"/>
    <x v="2039"/>
    <x v="4"/>
    <x v="3"/>
    <n v="140205"/>
    <x v="0"/>
    <x v="1"/>
    <x v="0"/>
    <n v="0"/>
    <n v="0"/>
    <n v="0"/>
    <s v="Success"/>
  </r>
  <r>
    <s v="TXN65221575"/>
    <x v="2040"/>
    <x v="6"/>
    <x v="3"/>
    <n v="29015"/>
    <x v="0"/>
    <x v="2"/>
    <x v="0"/>
    <n v="0"/>
    <n v="0"/>
    <n v="0"/>
    <s v="Success"/>
  </r>
  <r>
    <s v="TXN17871460"/>
    <x v="2041"/>
    <x v="4"/>
    <x v="2"/>
    <n v="1791"/>
    <x v="0"/>
    <x v="1"/>
    <x v="0"/>
    <n v="0"/>
    <n v="0"/>
    <n v="0"/>
    <s v="Success"/>
  </r>
  <r>
    <s v="TXN83538913"/>
    <x v="2042"/>
    <x v="6"/>
    <x v="3"/>
    <n v="113060"/>
    <x v="0"/>
    <x v="3"/>
    <x v="0"/>
    <n v="0"/>
    <n v="0"/>
    <n v="0"/>
    <s v="Success"/>
  </r>
  <r>
    <s v="TXN12651346"/>
    <x v="2043"/>
    <x v="1"/>
    <x v="1"/>
    <n v="92077"/>
    <x v="2"/>
    <x v="5"/>
    <x v="0"/>
    <n v="5"/>
    <n v="0"/>
    <n v="5"/>
    <s v="Success"/>
  </r>
  <r>
    <s v="TXN87508140"/>
    <x v="2044"/>
    <x v="0"/>
    <x v="3"/>
    <n v="83860"/>
    <x v="0"/>
    <x v="4"/>
    <x v="0"/>
    <n v="0"/>
    <n v="0"/>
    <n v="0"/>
    <s v="Success"/>
  </r>
  <r>
    <s v="TXN89630510"/>
    <x v="2045"/>
    <x v="6"/>
    <x v="3"/>
    <n v="28532"/>
    <x v="0"/>
    <x v="5"/>
    <x v="0"/>
    <n v="0"/>
    <n v="0"/>
    <n v="0"/>
    <s v="Success"/>
  </r>
  <r>
    <s v="TXN18986465"/>
    <x v="2046"/>
    <x v="2"/>
    <x v="2"/>
    <n v="1928"/>
    <x v="0"/>
    <x v="3"/>
    <x v="0"/>
    <n v="0"/>
    <n v="0"/>
    <n v="0"/>
    <s v="Success"/>
  </r>
  <r>
    <s v="TXN73473860"/>
    <x v="2047"/>
    <x v="4"/>
    <x v="4"/>
    <n v="11354"/>
    <x v="0"/>
    <x v="0"/>
    <x v="2"/>
    <n v="113.54"/>
    <n v="0"/>
    <n v="113.54"/>
    <s v="Success"/>
  </r>
  <r>
    <s v="TXN78712678"/>
    <x v="2048"/>
    <x v="3"/>
    <x v="0"/>
    <n v="115000"/>
    <x v="2"/>
    <x v="1"/>
    <x v="0"/>
    <n v="2127.5"/>
    <n v="851"/>
    <n v="1276.5"/>
    <s v="Success"/>
  </r>
  <r>
    <s v="TXN62887567"/>
    <x v="2049"/>
    <x v="0"/>
    <x v="2"/>
    <n v="2780"/>
    <x v="2"/>
    <x v="5"/>
    <x v="0"/>
    <n v="0"/>
    <n v="0"/>
    <n v="0"/>
    <s v="Failed"/>
  </r>
  <r>
    <s v="TXN88263829"/>
    <x v="2050"/>
    <x v="1"/>
    <x v="4"/>
    <n v="38851"/>
    <x v="0"/>
    <x v="5"/>
    <x v="2"/>
    <n v="388.51"/>
    <n v="0"/>
    <n v="388.51"/>
    <s v="Success"/>
  </r>
  <r>
    <s v="TXN91072797"/>
    <x v="2051"/>
    <x v="2"/>
    <x v="2"/>
    <n v="4407"/>
    <x v="0"/>
    <x v="1"/>
    <x v="0"/>
    <n v="0"/>
    <n v="0"/>
    <n v="0"/>
    <s v="Success"/>
  </r>
  <r>
    <s v="TXN30132925"/>
    <x v="2052"/>
    <x v="1"/>
    <x v="0"/>
    <n v="34000"/>
    <x v="0"/>
    <x v="7"/>
    <x v="0"/>
    <n v="629"/>
    <n v="251.6"/>
    <n v="377.4"/>
    <s v="Success"/>
  </r>
  <r>
    <s v="TXN74545563"/>
    <x v="2053"/>
    <x v="0"/>
    <x v="4"/>
    <n v="28969"/>
    <x v="0"/>
    <x v="0"/>
    <x v="3"/>
    <n v="289.69"/>
    <n v="0"/>
    <n v="289.69"/>
    <s v="Success"/>
  </r>
  <r>
    <s v="TXN62454514"/>
    <x v="2054"/>
    <x v="7"/>
    <x v="3"/>
    <n v="111159"/>
    <x v="0"/>
    <x v="7"/>
    <x v="0"/>
    <n v="0"/>
    <n v="0"/>
    <n v="0"/>
    <s v="Success"/>
  </r>
  <r>
    <s v="TXN53738188"/>
    <x v="2055"/>
    <x v="5"/>
    <x v="2"/>
    <n v="3440"/>
    <x v="0"/>
    <x v="5"/>
    <x v="0"/>
    <n v="0"/>
    <n v="0"/>
    <n v="0"/>
    <s v="Success"/>
  </r>
  <r>
    <s v="TXN59841280"/>
    <x v="2056"/>
    <x v="1"/>
    <x v="3"/>
    <n v="74619"/>
    <x v="0"/>
    <x v="2"/>
    <x v="0"/>
    <n v="0"/>
    <n v="0"/>
    <n v="0"/>
    <s v="Success"/>
  </r>
  <r>
    <s v="TXN56842083"/>
    <x v="2057"/>
    <x v="0"/>
    <x v="4"/>
    <n v="123889"/>
    <x v="0"/>
    <x v="0"/>
    <x v="4"/>
    <n v="1238.8900000000001"/>
    <n v="0"/>
    <n v="1238.8900000000001"/>
    <s v="Success"/>
  </r>
  <r>
    <s v="TXN52732568"/>
    <x v="2058"/>
    <x v="5"/>
    <x v="2"/>
    <n v="2289"/>
    <x v="0"/>
    <x v="7"/>
    <x v="0"/>
    <n v="0"/>
    <n v="0"/>
    <n v="0"/>
    <s v="Success"/>
  </r>
  <r>
    <s v="TXN45773584"/>
    <x v="2059"/>
    <x v="0"/>
    <x v="3"/>
    <n v="122119"/>
    <x v="0"/>
    <x v="6"/>
    <x v="0"/>
    <n v="0"/>
    <n v="0"/>
    <n v="0"/>
    <s v="Success"/>
  </r>
  <r>
    <s v="TXN19750693"/>
    <x v="2060"/>
    <x v="3"/>
    <x v="2"/>
    <n v="2468"/>
    <x v="0"/>
    <x v="0"/>
    <x v="0"/>
    <n v="0"/>
    <n v="0"/>
    <n v="0"/>
    <s v="Success"/>
  </r>
  <r>
    <s v="TXN49041040"/>
    <x v="2061"/>
    <x v="7"/>
    <x v="4"/>
    <n v="93118"/>
    <x v="0"/>
    <x v="5"/>
    <x v="5"/>
    <n v="931.18"/>
    <n v="0"/>
    <n v="931.18"/>
    <s v="Success"/>
  </r>
  <r>
    <s v="TXN48897213"/>
    <x v="2062"/>
    <x v="0"/>
    <x v="0"/>
    <n v="69500"/>
    <x v="1"/>
    <x v="3"/>
    <x v="0"/>
    <n v="1285.75"/>
    <n v="514.29999999999995"/>
    <n v="771.45"/>
    <s v="Success"/>
  </r>
  <r>
    <s v="TXN24268743"/>
    <x v="2063"/>
    <x v="6"/>
    <x v="0"/>
    <n v="101500"/>
    <x v="0"/>
    <x v="7"/>
    <x v="0"/>
    <n v="1877.75"/>
    <n v="751.1"/>
    <n v="1126.6500000000001"/>
    <s v="Success"/>
  </r>
  <r>
    <s v="TXN33128892"/>
    <x v="2064"/>
    <x v="1"/>
    <x v="3"/>
    <n v="110628"/>
    <x v="0"/>
    <x v="5"/>
    <x v="0"/>
    <n v="0"/>
    <n v="0"/>
    <n v="0"/>
    <s v="Success"/>
  </r>
  <r>
    <s v="TXN30682998"/>
    <x v="2065"/>
    <x v="0"/>
    <x v="3"/>
    <n v="103144"/>
    <x v="1"/>
    <x v="7"/>
    <x v="0"/>
    <n v="0"/>
    <n v="0"/>
    <n v="0"/>
    <s v="Success"/>
  </r>
  <r>
    <s v="TXN89702480"/>
    <x v="2066"/>
    <x v="3"/>
    <x v="4"/>
    <n v="279"/>
    <x v="0"/>
    <x v="5"/>
    <x v="5"/>
    <n v="2.79"/>
    <n v="0"/>
    <n v="2.79"/>
    <s v="Success"/>
  </r>
  <r>
    <s v="TXN79545762"/>
    <x v="2067"/>
    <x v="5"/>
    <x v="2"/>
    <n v="2965"/>
    <x v="0"/>
    <x v="8"/>
    <x v="0"/>
    <n v="0"/>
    <n v="0"/>
    <n v="0"/>
    <s v="Success"/>
  </r>
  <r>
    <s v="TXN51060748"/>
    <x v="2068"/>
    <x v="5"/>
    <x v="4"/>
    <n v="133557"/>
    <x v="0"/>
    <x v="0"/>
    <x v="3"/>
    <n v="1335.57"/>
    <n v="0"/>
    <n v="1335.57"/>
    <s v="Success"/>
  </r>
  <r>
    <s v="TXN53428683"/>
    <x v="2069"/>
    <x v="2"/>
    <x v="3"/>
    <n v="144299"/>
    <x v="1"/>
    <x v="5"/>
    <x v="0"/>
    <n v="0"/>
    <n v="0"/>
    <n v="0"/>
    <s v="Success"/>
  </r>
  <r>
    <s v="TXN56556055"/>
    <x v="2070"/>
    <x v="6"/>
    <x v="1"/>
    <n v="92461"/>
    <x v="0"/>
    <x v="2"/>
    <x v="0"/>
    <n v="5"/>
    <n v="0"/>
    <n v="5"/>
    <s v="Success"/>
  </r>
  <r>
    <s v="TXN50031844"/>
    <x v="2071"/>
    <x v="3"/>
    <x v="1"/>
    <n v="37870"/>
    <x v="0"/>
    <x v="2"/>
    <x v="0"/>
    <n v="5"/>
    <n v="0"/>
    <n v="5"/>
    <s v="Failed"/>
  </r>
  <r>
    <s v="TXN65223619"/>
    <x v="2072"/>
    <x v="6"/>
    <x v="2"/>
    <n v="2139"/>
    <x v="1"/>
    <x v="1"/>
    <x v="0"/>
    <n v="0"/>
    <n v="0"/>
    <n v="0"/>
    <s v="Success"/>
  </r>
  <r>
    <s v="TXN64406422"/>
    <x v="2073"/>
    <x v="0"/>
    <x v="3"/>
    <n v="80481"/>
    <x v="0"/>
    <x v="1"/>
    <x v="0"/>
    <n v="0"/>
    <n v="0"/>
    <n v="0"/>
    <s v="Success"/>
  </r>
  <r>
    <s v="TXN80127505"/>
    <x v="2074"/>
    <x v="7"/>
    <x v="2"/>
    <n v="3738"/>
    <x v="0"/>
    <x v="5"/>
    <x v="0"/>
    <n v="0"/>
    <n v="0"/>
    <n v="0"/>
    <s v="Failed"/>
  </r>
  <r>
    <s v="TXN34132642"/>
    <x v="2075"/>
    <x v="5"/>
    <x v="4"/>
    <n v="65285"/>
    <x v="0"/>
    <x v="4"/>
    <x v="3"/>
    <n v="652.85"/>
    <n v="0"/>
    <n v="652.85"/>
    <s v="Success"/>
  </r>
  <r>
    <s v="TXN97103192"/>
    <x v="2076"/>
    <x v="3"/>
    <x v="2"/>
    <n v="2829"/>
    <x v="0"/>
    <x v="0"/>
    <x v="0"/>
    <n v="0"/>
    <n v="0"/>
    <n v="0"/>
    <s v="Success"/>
  </r>
  <r>
    <s v="TXN78949532"/>
    <x v="2077"/>
    <x v="0"/>
    <x v="2"/>
    <n v="4093"/>
    <x v="0"/>
    <x v="1"/>
    <x v="0"/>
    <n v="0"/>
    <n v="0"/>
    <n v="0"/>
    <s v="Success"/>
  </r>
  <r>
    <s v="TXN60865437"/>
    <x v="2078"/>
    <x v="1"/>
    <x v="4"/>
    <n v="48808"/>
    <x v="0"/>
    <x v="6"/>
    <x v="5"/>
    <n v="488.08"/>
    <n v="0"/>
    <n v="488.08"/>
    <s v="Success"/>
  </r>
  <r>
    <s v="TXN11248684"/>
    <x v="2079"/>
    <x v="7"/>
    <x v="3"/>
    <n v="16521"/>
    <x v="0"/>
    <x v="7"/>
    <x v="0"/>
    <n v="0"/>
    <n v="0"/>
    <n v="0"/>
    <s v="Success"/>
  </r>
  <r>
    <s v="TXN34923363"/>
    <x v="2080"/>
    <x v="5"/>
    <x v="0"/>
    <n v="74000"/>
    <x v="1"/>
    <x v="5"/>
    <x v="0"/>
    <n v="1369"/>
    <n v="547.6"/>
    <n v="821.4"/>
    <s v="Success"/>
  </r>
  <r>
    <s v="TXN21707930"/>
    <x v="2081"/>
    <x v="1"/>
    <x v="0"/>
    <n v="178500"/>
    <x v="0"/>
    <x v="4"/>
    <x v="0"/>
    <n v="3302.25"/>
    <n v="1320.9"/>
    <n v="1981.35"/>
    <s v="Success"/>
  </r>
  <r>
    <s v="TXN96763681"/>
    <x v="2082"/>
    <x v="2"/>
    <x v="4"/>
    <n v="25661"/>
    <x v="0"/>
    <x v="5"/>
    <x v="5"/>
    <n v="256.61"/>
    <n v="0"/>
    <n v="256.61"/>
    <s v="Success"/>
  </r>
  <r>
    <s v="TXN86052371"/>
    <x v="2083"/>
    <x v="5"/>
    <x v="4"/>
    <n v="112578"/>
    <x v="0"/>
    <x v="5"/>
    <x v="4"/>
    <n v="1125.78"/>
    <n v="0"/>
    <n v="1125.78"/>
    <s v="Success"/>
  </r>
  <r>
    <s v="TXN57688137"/>
    <x v="2084"/>
    <x v="2"/>
    <x v="3"/>
    <n v="65904"/>
    <x v="0"/>
    <x v="2"/>
    <x v="0"/>
    <n v="0"/>
    <n v="0"/>
    <n v="0"/>
    <s v="Success"/>
  </r>
  <r>
    <s v="TXN28132992"/>
    <x v="2085"/>
    <x v="0"/>
    <x v="1"/>
    <n v="120869"/>
    <x v="1"/>
    <x v="8"/>
    <x v="0"/>
    <n v="5"/>
    <n v="0"/>
    <n v="5"/>
    <s v="Success"/>
  </r>
  <r>
    <s v="TXN65447730"/>
    <x v="2086"/>
    <x v="5"/>
    <x v="1"/>
    <n v="143428"/>
    <x v="0"/>
    <x v="8"/>
    <x v="0"/>
    <n v="5"/>
    <n v="0"/>
    <n v="5"/>
    <s v="Success"/>
  </r>
  <r>
    <s v="TXN10875843"/>
    <x v="2087"/>
    <x v="3"/>
    <x v="1"/>
    <n v="10356"/>
    <x v="0"/>
    <x v="8"/>
    <x v="0"/>
    <n v="5"/>
    <n v="0"/>
    <n v="5"/>
    <s v="Success"/>
  </r>
  <r>
    <s v="TXN12791760"/>
    <x v="2088"/>
    <x v="6"/>
    <x v="2"/>
    <n v="1550"/>
    <x v="0"/>
    <x v="6"/>
    <x v="0"/>
    <n v="0"/>
    <n v="0"/>
    <n v="0"/>
    <s v="Success"/>
  </r>
  <r>
    <s v="TXN30486250"/>
    <x v="2089"/>
    <x v="5"/>
    <x v="3"/>
    <n v="38638"/>
    <x v="0"/>
    <x v="6"/>
    <x v="0"/>
    <n v="0"/>
    <n v="0"/>
    <n v="0"/>
    <s v="Success"/>
  </r>
  <r>
    <s v="TXN24153160"/>
    <x v="2090"/>
    <x v="0"/>
    <x v="1"/>
    <n v="127741"/>
    <x v="0"/>
    <x v="1"/>
    <x v="0"/>
    <n v="5"/>
    <n v="0"/>
    <n v="5"/>
    <s v="Success"/>
  </r>
  <r>
    <s v="TXN91469447"/>
    <x v="2091"/>
    <x v="6"/>
    <x v="4"/>
    <n v="111735"/>
    <x v="0"/>
    <x v="4"/>
    <x v="2"/>
    <n v="1117.3499999999999"/>
    <n v="0"/>
    <n v="1117.3499999999999"/>
    <s v="Success"/>
  </r>
  <r>
    <s v="TXN45034888"/>
    <x v="2092"/>
    <x v="1"/>
    <x v="2"/>
    <n v="627"/>
    <x v="2"/>
    <x v="4"/>
    <x v="0"/>
    <n v="0"/>
    <n v="0"/>
    <n v="0"/>
    <s v="Success"/>
  </r>
  <r>
    <s v="TXN51704177"/>
    <x v="2093"/>
    <x v="2"/>
    <x v="3"/>
    <n v="74577"/>
    <x v="0"/>
    <x v="1"/>
    <x v="0"/>
    <n v="0"/>
    <n v="0"/>
    <n v="0"/>
    <s v="Success"/>
  </r>
  <r>
    <s v="TXN53782280"/>
    <x v="2094"/>
    <x v="6"/>
    <x v="2"/>
    <n v="435"/>
    <x v="1"/>
    <x v="5"/>
    <x v="0"/>
    <n v="0"/>
    <n v="0"/>
    <n v="0"/>
    <s v="Failed"/>
  </r>
  <r>
    <s v="TXN15619772"/>
    <x v="2095"/>
    <x v="6"/>
    <x v="2"/>
    <n v="4032"/>
    <x v="0"/>
    <x v="4"/>
    <x v="0"/>
    <n v="0"/>
    <n v="0"/>
    <n v="0"/>
    <s v="Success"/>
  </r>
  <r>
    <s v="TXN22004033"/>
    <x v="2096"/>
    <x v="1"/>
    <x v="4"/>
    <n v="98017"/>
    <x v="0"/>
    <x v="7"/>
    <x v="5"/>
    <n v="980.17"/>
    <n v="0"/>
    <n v="980.17"/>
    <s v="Success"/>
  </r>
  <r>
    <s v="TXN86544227"/>
    <x v="2097"/>
    <x v="6"/>
    <x v="3"/>
    <n v="42314"/>
    <x v="0"/>
    <x v="5"/>
    <x v="0"/>
    <n v="0"/>
    <n v="0"/>
    <n v="0"/>
    <s v="Failed"/>
  </r>
  <r>
    <s v="TXN52880558"/>
    <x v="2098"/>
    <x v="7"/>
    <x v="0"/>
    <n v="163500"/>
    <x v="1"/>
    <x v="8"/>
    <x v="0"/>
    <n v="3024.75"/>
    <n v="1209.9000000000001"/>
    <n v="1814.85"/>
    <s v="Success"/>
  </r>
  <r>
    <s v="TXN25226805"/>
    <x v="2099"/>
    <x v="0"/>
    <x v="0"/>
    <n v="2500"/>
    <x v="0"/>
    <x v="1"/>
    <x v="0"/>
    <n v="46.25"/>
    <n v="18.5"/>
    <n v="27.75"/>
    <s v="Success"/>
  </r>
  <r>
    <s v="TXN89327667"/>
    <x v="2100"/>
    <x v="1"/>
    <x v="4"/>
    <n v="40394"/>
    <x v="0"/>
    <x v="6"/>
    <x v="2"/>
    <n v="403.94"/>
    <n v="0"/>
    <n v="403.94"/>
    <s v="Success"/>
  </r>
  <r>
    <s v="TXN27364345"/>
    <x v="2101"/>
    <x v="0"/>
    <x v="0"/>
    <n v="202500"/>
    <x v="1"/>
    <x v="2"/>
    <x v="0"/>
    <n v="3746.25"/>
    <n v="1498.5"/>
    <n v="2247.75"/>
    <s v="Success"/>
  </r>
  <r>
    <s v="TXN66672750"/>
    <x v="2102"/>
    <x v="0"/>
    <x v="0"/>
    <n v="170000"/>
    <x v="0"/>
    <x v="5"/>
    <x v="0"/>
    <n v="3145"/>
    <n v="1258"/>
    <n v="1887"/>
    <s v="Success"/>
  </r>
  <r>
    <s v="TXN53584606"/>
    <x v="2103"/>
    <x v="5"/>
    <x v="2"/>
    <n v="444"/>
    <x v="0"/>
    <x v="4"/>
    <x v="0"/>
    <n v="0"/>
    <n v="0"/>
    <n v="0"/>
    <s v="Success"/>
  </r>
  <r>
    <s v="TXN38405302"/>
    <x v="2104"/>
    <x v="1"/>
    <x v="1"/>
    <n v="66283"/>
    <x v="0"/>
    <x v="2"/>
    <x v="0"/>
    <n v="5"/>
    <n v="0"/>
    <n v="5"/>
    <s v="Success"/>
  </r>
  <r>
    <s v="TXN14315412"/>
    <x v="2105"/>
    <x v="2"/>
    <x v="1"/>
    <n v="85716"/>
    <x v="1"/>
    <x v="4"/>
    <x v="0"/>
    <n v="5"/>
    <n v="0"/>
    <n v="5"/>
    <s v="Success"/>
  </r>
  <r>
    <s v="TXN86905964"/>
    <x v="2106"/>
    <x v="5"/>
    <x v="4"/>
    <n v="115633"/>
    <x v="0"/>
    <x v="5"/>
    <x v="2"/>
    <n v="1156.33"/>
    <n v="0"/>
    <n v="1156.33"/>
    <s v="Success"/>
  </r>
  <r>
    <s v="TXN51800142"/>
    <x v="2107"/>
    <x v="7"/>
    <x v="4"/>
    <n v="85989"/>
    <x v="0"/>
    <x v="7"/>
    <x v="2"/>
    <n v="859.89"/>
    <n v="0"/>
    <n v="859.89"/>
    <s v="Success"/>
  </r>
  <r>
    <s v="TXN64652464"/>
    <x v="2108"/>
    <x v="0"/>
    <x v="2"/>
    <n v="1489"/>
    <x v="0"/>
    <x v="4"/>
    <x v="0"/>
    <n v="0"/>
    <n v="0"/>
    <n v="0"/>
    <s v="Success"/>
  </r>
  <r>
    <s v="TXN46396307"/>
    <x v="2109"/>
    <x v="4"/>
    <x v="0"/>
    <n v="19500"/>
    <x v="0"/>
    <x v="8"/>
    <x v="0"/>
    <n v="360.75"/>
    <n v="144.30000000000001"/>
    <n v="216.45"/>
    <s v="Success"/>
  </r>
  <r>
    <s v="TXN64915984"/>
    <x v="2110"/>
    <x v="5"/>
    <x v="1"/>
    <n v="144445"/>
    <x v="0"/>
    <x v="2"/>
    <x v="0"/>
    <n v="5"/>
    <n v="0"/>
    <n v="5"/>
    <s v="Success"/>
  </r>
  <r>
    <s v="TXN13823037"/>
    <x v="2111"/>
    <x v="1"/>
    <x v="4"/>
    <n v="144856"/>
    <x v="0"/>
    <x v="8"/>
    <x v="5"/>
    <n v="1448.56"/>
    <n v="0"/>
    <n v="1448.56"/>
    <s v="Success"/>
  </r>
  <r>
    <s v="TXN69236440"/>
    <x v="2112"/>
    <x v="3"/>
    <x v="1"/>
    <n v="26751"/>
    <x v="0"/>
    <x v="6"/>
    <x v="0"/>
    <n v="5"/>
    <n v="0"/>
    <n v="5"/>
    <s v="Success"/>
  </r>
  <r>
    <s v="TXN77092872"/>
    <x v="2113"/>
    <x v="6"/>
    <x v="2"/>
    <n v="1637"/>
    <x v="0"/>
    <x v="5"/>
    <x v="0"/>
    <n v="0"/>
    <n v="0"/>
    <n v="0"/>
    <s v="Success"/>
  </r>
  <r>
    <s v="TXN24970769"/>
    <x v="2114"/>
    <x v="4"/>
    <x v="2"/>
    <n v="1507"/>
    <x v="0"/>
    <x v="0"/>
    <x v="0"/>
    <n v="0"/>
    <n v="0"/>
    <n v="0"/>
    <s v="Success"/>
  </r>
  <r>
    <s v="TXN19857420"/>
    <x v="2115"/>
    <x v="5"/>
    <x v="4"/>
    <n v="144960"/>
    <x v="0"/>
    <x v="2"/>
    <x v="2"/>
    <n v="1449.6"/>
    <n v="0"/>
    <n v="1449.6"/>
    <s v="Success"/>
  </r>
  <r>
    <s v="TXN97860027"/>
    <x v="2116"/>
    <x v="4"/>
    <x v="3"/>
    <n v="140361"/>
    <x v="0"/>
    <x v="1"/>
    <x v="0"/>
    <n v="0"/>
    <n v="0"/>
    <n v="0"/>
    <s v="Success"/>
  </r>
  <r>
    <s v="TXN68687832"/>
    <x v="2117"/>
    <x v="0"/>
    <x v="0"/>
    <n v="144000"/>
    <x v="0"/>
    <x v="0"/>
    <x v="0"/>
    <n v="2664"/>
    <n v="1065.5999999999999"/>
    <n v="1598.4"/>
    <s v="Success"/>
  </r>
  <r>
    <s v="TXN40504168"/>
    <x v="2118"/>
    <x v="1"/>
    <x v="2"/>
    <n v="2091"/>
    <x v="0"/>
    <x v="4"/>
    <x v="0"/>
    <n v="0"/>
    <n v="0"/>
    <n v="0"/>
    <s v="Success"/>
  </r>
  <r>
    <s v="TXN43899933"/>
    <x v="2119"/>
    <x v="1"/>
    <x v="3"/>
    <n v="22531"/>
    <x v="0"/>
    <x v="3"/>
    <x v="0"/>
    <n v="0"/>
    <n v="0"/>
    <n v="0"/>
    <s v="Success"/>
  </r>
  <r>
    <s v="TXN67033458"/>
    <x v="2120"/>
    <x v="6"/>
    <x v="0"/>
    <n v="178500"/>
    <x v="0"/>
    <x v="3"/>
    <x v="0"/>
    <n v="3302.25"/>
    <n v="1320.9"/>
    <n v="1981.35"/>
    <s v="Success"/>
  </r>
  <r>
    <s v="TXN87948764"/>
    <x v="2121"/>
    <x v="5"/>
    <x v="4"/>
    <n v="127906"/>
    <x v="0"/>
    <x v="5"/>
    <x v="3"/>
    <n v="1279.06"/>
    <n v="0"/>
    <n v="1279.06"/>
    <s v="Success"/>
  </r>
  <r>
    <s v="TXN75255380"/>
    <x v="2122"/>
    <x v="6"/>
    <x v="3"/>
    <n v="120280"/>
    <x v="1"/>
    <x v="6"/>
    <x v="0"/>
    <n v="0"/>
    <n v="0"/>
    <n v="0"/>
    <s v="Success"/>
  </r>
  <r>
    <s v="TXN60402767"/>
    <x v="2123"/>
    <x v="5"/>
    <x v="0"/>
    <n v="66500"/>
    <x v="0"/>
    <x v="6"/>
    <x v="0"/>
    <n v="1230.25"/>
    <n v="492.1"/>
    <n v="738.15"/>
    <s v="Success"/>
  </r>
  <r>
    <s v="TXN29073365"/>
    <x v="2124"/>
    <x v="7"/>
    <x v="3"/>
    <n v="86725"/>
    <x v="0"/>
    <x v="3"/>
    <x v="0"/>
    <n v="0"/>
    <n v="0"/>
    <n v="0"/>
    <s v="Success"/>
  </r>
  <r>
    <s v="TXN74760349"/>
    <x v="2125"/>
    <x v="6"/>
    <x v="3"/>
    <n v="115903"/>
    <x v="0"/>
    <x v="2"/>
    <x v="0"/>
    <n v="0"/>
    <n v="0"/>
    <n v="0"/>
    <s v="Success"/>
  </r>
  <r>
    <s v="TXN23919155"/>
    <x v="2126"/>
    <x v="5"/>
    <x v="2"/>
    <n v="2391"/>
    <x v="0"/>
    <x v="2"/>
    <x v="0"/>
    <n v="0"/>
    <n v="0"/>
    <n v="0"/>
    <s v="Success"/>
  </r>
  <r>
    <s v="TXN80469485"/>
    <x v="2127"/>
    <x v="4"/>
    <x v="4"/>
    <n v="77022"/>
    <x v="0"/>
    <x v="3"/>
    <x v="1"/>
    <n v="770.22"/>
    <n v="0"/>
    <n v="770.22"/>
    <s v="Success"/>
  </r>
  <r>
    <s v="TXN71668418"/>
    <x v="2128"/>
    <x v="4"/>
    <x v="4"/>
    <n v="9297"/>
    <x v="0"/>
    <x v="5"/>
    <x v="5"/>
    <n v="92.97"/>
    <n v="0"/>
    <n v="92.97"/>
    <s v="Success"/>
  </r>
  <r>
    <s v="TXN55266282"/>
    <x v="2129"/>
    <x v="7"/>
    <x v="2"/>
    <n v="1357"/>
    <x v="0"/>
    <x v="5"/>
    <x v="0"/>
    <n v="0"/>
    <n v="0"/>
    <n v="0"/>
    <s v="Success"/>
  </r>
  <r>
    <s v="TXN86738510"/>
    <x v="2130"/>
    <x v="3"/>
    <x v="4"/>
    <n v="97113"/>
    <x v="0"/>
    <x v="8"/>
    <x v="4"/>
    <n v="971.13"/>
    <n v="0"/>
    <n v="971.13"/>
    <s v="Success"/>
  </r>
  <r>
    <s v="TXN19468949"/>
    <x v="2131"/>
    <x v="5"/>
    <x v="1"/>
    <n v="126087"/>
    <x v="0"/>
    <x v="7"/>
    <x v="0"/>
    <n v="5"/>
    <n v="0"/>
    <n v="5"/>
    <s v="Success"/>
  </r>
  <r>
    <s v="TXN95138549"/>
    <x v="2132"/>
    <x v="3"/>
    <x v="1"/>
    <n v="76170"/>
    <x v="0"/>
    <x v="3"/>
    <x v="0"/>
    <n v="5"/>
    <n v="0"/>
    <n v="5"/>
    <s v="Success"/>
  </r>
  <r>
    <s v="TXN25859870"/>
    <x v="2133"/>
    <x v="0"/>
    <x v="4"/>
    <n v="64490"/>
    <x v="1"/>
    <x v="4"/>
    <x v="4"/>
    <n v="644.9"/>
    <n v="0"/>
    <n v="644.9"/>
    <s v="Success"/>
  </r>
  <r>
    <s v="TXN85103820"/>
    <x v="2134"/>
    <x v="6"/>
    <x v="2"/>
    <n v="2196"/>
    <x v="0"/>
    <x v="5"/>
    <x v="0"/>
    <n v="0"/>
    <n v="0"/>
    <n v="0"/>
    <s v="Success"/>
  </r>
  <r>
    <s v="TXN80123218"/>
    <x v="2135"/>
    <x v="7"/>
    <x v="4"/>
    <n v="105156"/>
    <x v="1"/>
    <x v="2"/>
    <x v="3"/>
    <n v="1051.56"/>
    <n v="0"/>
    <n v="1051.56"/>
    <s v="Success"/>
  </r>
  <r>
    <s v="TXN96070334"/>
    <x v="2136"/>
    <x v="1"/>
    <x v="1"/>
    <n v="41506"/>
    <x v="0"/>
    <x v="3"/>
    <x v="0"/>
    <n v="5"/>
    <n v="0"/>
    <n v="5"/>
    <s v="Success"/>
  </r>
  <r>
    <s v="TXN28713174"/>
    <x v="2137"/>
    <x v="7"/>
    <x v="3"/>
    <n v="35320"/>
    <x v="0"/>
    <x v="2"/>
    <x v="0"/>
    <n v="0"/>
    <n v="0"/>
    <n v="0"/>
    <s v="Success"/>
  </r>
  <r>
    <s v="TXN78801182"/>
    <x v="2138"/>
    <x v="0"/>
    <x v="1"/>
    <n v="107674"/>
    <x v="0"/>
    <x v="4"/>
    <x v="0"/>
    <n v="5"/>
    <n v="0"/>
    <n v="5"/>
    <s v="Success"/>
  </r>
  <r>
    <s v="TXN79172422"/>
    <x v="2139"/>
    <x v="0"/>
    <x v="3"/>
    <n v="35203"/>
    <x v="0"/>
    <x v="5"/>
    <x v="0"/>
    <n v="0"/>
    <n v="0"/>
    <n v="0"/>
    <s v="Success"/>
  </r>
  <r>
    <s v="TXN78706366"/>
    <x v="2140"/>
    <x v="2"/>
    <x v="4"/>
    <n v="76379"/>
    <x v="0"/>
    <x v="0"/>
    <x v="4"/>
    <n v="763.79"/>
    <n v="0"/>
    <n v="763.79"/>
    <s v="Success"/>
  </r>
  <r>
    <s v="TXN19274080"/>
    <x v="2141"/>
    <x v="0"/>
    <x v="2"/>
    <n v="3943"/>
    <x v="0"/>
    <x v="6"/>
    <x v="0"/>
    <n v="0"/>
    <n v="0"/>
    <n v="0"/>
    <s v="Failed"/>
  </r>
  <r>
    <s v="TXN81220739"/>
    <x v="2142"/>
    <x v="6"/>
    <x v="1"/>
    <n v="79836"/>
    <x v="1"/>
    <x v="0"/>
    <x v="0"/>
    <n v="5"/>
    <n v="0"/>
    <n v="5"/>
    <s v="Success"/>
  </r>
  <r>
    <s v="TXN74868025"/>
    <x v="2143"/>
    <x v="5"/>
    <x v="0"/>
    <n v="87000"/>
    <x v="0"/>
    <x v="6"/>
    <x v="0"/>
    <n v="1609.5"/>
    <n v="643.79999999999995"/>
    <n v="965.7"/>
    <s v="Success"/>
  </r>
  <r>
    <s v="TXN12992870"/>
    <x v="2144"/>
    <x v="4"/>
    <x v="0"/>
    <n v="203000"/>
    <x v="0"/>
    <x v="4"/>
    <x v="0"/>
    <n v="3755.5"/>
    <n v="1502.2"/>
    <n v="2253.3000000000002"/>
    <s v="Success"/>
  </r>
  <r>
    <s v="TXN19339809"/>
    <x v="2145"/>
    <x v="5"/>
    <x v="4"/>
    <n v="66986"/>
    <x v="0"/>
    <x v="1"/>
    <x v="5"/>
    <n v="669.86"/>
    <n v="0"/>
    <n v="669.86"/>
    <s v="Failed"/>
  </r>
  <r>
    <s v="TXN54483491"/>
    <x v="2146"/>
    <x v="4"/>
    <x v="3"/>
    <n v="6723"/>
    <x v="0"/>
    <x v="0"/>
    <x v="0"/>
    <n v="0"/>
    <n v="0"/>
    <n v="0"/>
    <s v="Success"/>
  </r>
  <r>
    <s v="TXN69024856"/>
    <x v="2147"/>
    <x v="6"/>
    <x v="4"/>
    <n v="11833"/>
    <x v="0"/>
    <x v="0"/>
    <x v="4"/>
    <n v="118.33"/>
    <n v="0"/>
    <n v="118.33"/>
    <s v="Success"/>
  </r>
  <r>
    <s v="TXN50379845"/>
    <x v="2148"/>
    <x v="5"/>
    <x v="2"/>
    <n v="2374"/>
    <x v="0"/>
    <x v="7"/>
    <x v="0"/>
    <n v="0"/>
    <n v="0"/>
    <n v="0"/>
    <s v="Success"/>
  </r>
  <r>
    <s v="TXN67026158"/>
    <x v="2149"/>
    <x v="7"/>
    <x v="1"/>
    <n v="80602"/>
    <x v="1"/>
    <x v="3"/>
    <x v="0"/>
    <n v="5"/>
    <n v="0"/>
    <n v="5"/>
    <s v="Success"/>
  </r>
  <r>
    <s v="TXN97911270"/>
    <x v="2150"/>
    <x v="3"/>
    <x v="2"/>
    <n v="4276"/>
    <x v="0"/>
    <x v="3"/>
    <x v="0"/>
    <n v="0"/>
    <n v="0"/>
    <n v="0"/>
    <s v="Success"/>
  </r>
  <r>
    <s v="TXN43614616"/>
    <x v="2151"/>
    <x v="7"/>
    <x v="0"/>
    <n v="73500"/>
    <x v="0"/>
    <x v="6"/>
    <x v="0"/>
    <n v="1359.75"/>
    <n v="543.9"/>
    <n v="815.85"/>
    <s v="Success"/>
  </r>
  <r>
    <s v="TXN50405140"/>
    <x v="2152"/>
    <x v="6"/>
    <x v="4"/>
    <n v="72740"/>
    <x v="0"/>
    <x v="0"/>
    <x v="3"/>
    <n v="727.4"/>
    <n v="0"/>
    <n v="727.4"/>
    <s v="Success"/>
  </r>
  <r>
    <s v="TXN33833728"/>
    <x v="2153"/>
    <x v="3"/>
    <x v="3"/>
    <n v="75361"/>
    <x v="0"/>
    <x v="4"/>
    <x v="0"/>
    <n v="0"/>
    <n v="0"/>
    <n v="0"/>
    <s v="Success"/>
  </r>
  <r>
    <s v="TXN33005921"/>
    <x v="2154"/>
    <x v="2"/>
    <x v="1"/>
    <n v="76913"/>
    <x v="0"/>
    <x v="5"/>
    <x v="0"/>
    <n v="5"/>
    <n v="0"/>
    <n v="5"/>
    <s v="Failed"/>
  </r>
  <r>
    <s v="TXN71657000"/>
    <x v="2155"/>
    <x v="1"/>
    <x v="1"/>
    <n v="65496"/>
    <x v="0"/>
    <x v="2"/>
    <x v="0"/>
    <n v="5"/>
    <n v="0"/>
    <n v="5"/>
    <s v="Success"/>
  </r>
  <r>
    <s v="TXN10535352"/>
    <x v="2156"/>
    <x v="7"/>
    <x v="3"/>
    <n v="12586"/>
    <x v="0"/>
    <x v="6"/>
    <x v="0"/>
    <n v="0"/>
    <n v="0"/>
    <n v="0"/>
    <s v="Success"/>
  </r>
  <r>
    <s v="TXN48841854"/>
    <x v="2157"/>
    <x v="6"/>
    <x v="1"/>
    <n v="124571"/>
    <x v="1"/>
    <x v="1"/>
    <x v="0"/>
    <n v="5"/>
    <n v="0"/>
    <n v="5"/>
    <s v="Success"/>
  </r>
  <r>
    <s v="TXN30036402"/>
    <x v="2158"/>
    <x v="7"/>
    <x v="0"/>
    <n v="42000"/>
    <x v="0"/>
    <x v="6"/>
    <x v="0"/>
    <n v="777"/>
    <n v="310.8"/>
    <n v="466.2"/>
    <s v="Success"/>
  </r>
  <r>
    <s v="TXN62754727"/>
    <x v="2159"/>
    <x v="1"/>
    <x v="2"/>
    <n v="430"/>
    <x v="0"/>
    <x v="5"/>
    <x v="0"/>
    <n v="0"/>
    <n v="0"/>
    <n v="0"/>
    <s v="Success"/>
  </r>
  <r>
    <s v="TXN17721834"/>
    <x v="2160"/>
    <x v="7"/>
    <x v="2"/>
    <n v="2199"/>
    <x v="0"/>
    <x v="8"/>
    <x v="0"/>
    <n v="0"/>
    <n v="0"/>
    <n v="0"/>
    <s v="Success"/>
  </r>
  <r>
    <s v="TXN78670728"/>
    <x v="2161"/>
    <x v="7"/>
    <x v="0"/>
    <n v="137500"/>
    <x v="0"/>
    <x v="2"/>
    <x v="0"/>
    <n v="2543.75"/>
    <n v="1017.5"/>
    <n v="1526.25"/>
    <s v="Success"/>
  </r>
  <r>
    <s v="TXN97829720"/>
    <x v="2162"/>
    <x v="4"/>
    <x v="1"/>
    <n v="68387"/>
    <x v="0"/>
    <x v="6"/>
    <x v="0"/>
    <n v="5"/>
    <n v="0"/>
    <n v="5"/>
    <s v="Success"/>
  </r>
  <r>
    <s v="TXN98784617"/>
    <x v="2163"/>
    <x v="3"/>
    <x v="0"/>
    <n v="187000"/>
    <x v="0"/>
    <x v="4"/>
    <x v="0"/>
    <n v="3459.5"/>
    <n v="1383.8"/>
    <n v="2075.6999999999998"/>
    <s v="Success"/>
  </r>
  <r>
    <s v="TXN55168038"/>
    <x v="2164"/>
    <x v="1"/>
    <x v="4"/>
    <n v="90546"/>
    <x v="0"/>
    <x v="4"/>
    <x v="5"/>
    <n v="905.46"/>
    <n v="0"/>
    <n v="905.46"/>
    <s v="Success"/>
  </r>
  <r>
    <s v="TXN78588268"/>
    <x v="2165"/>
    <x v="7"/>
    <x v="4"/>
    <n v="103887"/>
    <x v="0"/>
    <x v="7"/>
    <x v="1"/>
    <n v="1038.8699999999999"/>
    <n v="0"/>
    <n v="1038.8699999999999"/>
    <s v="Success"/>
  </r>
  <r>
    <s v="TXN97697676"/>
    <x v="2166"/>
    <x v="7"/>
    <x v="1"/>
    <n v="110441"/>
    <x v="0"/>
    <x v="6"/>
    <x v="0"/>
    <n v="5"/>
    <n v="0"/>
    <n v="5"/>
    <s v="Failed"/>
  </r>
  <r>
    <s v="TXN88515513"/>
    <x v="2167"/>
    <x v="0"/>
    <x v="2"/>
    <n v="430"/>
    <x v="0"/>
    <x v="4"/>
    <x v="0"/>
    <n v="0"/>
    <n v="0"/>
    <n v="0"/>
    <s v="Success"/>
  </r>
  <r>
    <s v="TXN35951471"/>
    <x v="2168"/>
    <x v="1"/>
    <x v="3"/>
    <n v="96291"/>
    <x v="0"/>
    <x v="8"/>
    <x v="0"/>
    <n v="0"/>
    <n v="0"/>
    <n v="0"/>
    <s v="Success"/>
  </r>
  <r>
    <s v="TXN37402233"/>
    <x v="2169"/>
    <x v="1"/>
    <x v="0"/>
    <n v="26500"/>
    <x v="0"/>
    <x v="5"/>
    <x v="0"/>
    <n v="490.25"/>
    <n v="196.1"/>
    <n v="294.14999999999998"/>
    <s v="Success"/>
  </r>
  <r>
    <s v="TXN46126327"/>
    <x v="2170"/>
    <x v="4"/>
    <x v="0"/>
    <n v="102000"/>
    <x v="0"/>
    <x v="3"/>
    <x v="0"/>
    <n v="1887"/>
    <n v="754.8"/>
    <n v="1132.2"/>
    <s v="Success"/>
  </r>
  <r>
    <s v="TXN88748796"/>
    <x v="2171"/>
    <x v="5"/>
    <x v="0"/>
    <n v="87000"/>
    <x v="0"/>
    <x v="0"/>
    <x v="0"/>
    <n v="1609.5"/>
    <n v="643.79999999999995"/>
    <n v="965.7"/>
    <s v="Success"/>
  </r>
  <r>
    <s v="TXN95938481"/>
    <x v="2172"/>
    <x v="3"/>
    <x v="2"/>
    <n v="1434"/>
    <x v="0"/>
    <x v="4"/>
    <x v="0"/>
    <n v="0"/>
    <n v="0"/>
    <n v="0"/>
    <s v="Failed"/>
  </r>
  <r>
    <s v="TXN72549676"/>
    <x v="2173"/>
    <x v="4"/>
    <x v="4"/>
    <n v="113792"/>
    <x v="0"/>
    <x v="5"/>
    <x v="4"/>
    <n v="1137.92"/>
    <n v="0"/>
    <n v="1137.92"/>
    <s v="Success"/>
  </r>
  <r>
    <s v="TXN45066305"/>
    <x v="2174"/>
    <x v="6"/>
    <x v="4"/>
    <n v="73142"/>
    <x v="0"/>
    <x v="0"/>
    <x v="4"/>
    <n v="731.42"/>
    <n v="0"/>
    <n v="731.42"/>
    <s v="Success"/>
  </r>
  <r>
    <s v="TXN70514921"/>
    <x v="2175"/>
    <x v="1"/>
    <x v="1"/>
    <n v="79889"/>
    <x v="0"/>
    <x v="8"/>
    <x v="0"/>
    <n v="5"/>
    <n v="0"/>
    <n v="5"/>
    <s v="Success"/>
  </r>
  <r>
    <s v="TXN14161699"/>
    <x v="2176"/>
    <x v="7"/>
    <x v="1"/>
    <n v="148800"/>
    <x v="0"/>
    <x v="5"/>
    <x v="0"/>
    <n v="5"/>
    <n v="0"/>
    <n v="5"/>
    <s v="Success"/>
  </r>
  <r>
    <s v="TXN72451043"/>
    <x v="2177"/>
    <x v="6"/>
    <x v="1"/>
    <n v="53097"/>
    <x v="0"/>
    <x v="2"/>
    <x v="0"/>
    <n v="5"/>
    <n v="0"/>
    <n v="5"/>
    <s v="Success"/>
  </r>
  <r>
    <s v="TXN59326254"/>
    <x v="2178"/>
    <x v="6"/>
    <x v="0"/>
    <n v="137500"/>
    <x v="1"/>
    <x v="4"/>
    <x v="0"/>
    <n v="2543.75"/>
    <n v="1017.5"/>
    <n v="1526.25"/>
    <s v="Success"/>
  </r>
  <r>
    <s v="TXN30778471"/>
    <x v="2179"/>
    <x v="5"/>
    <x v="0"/>
    <n v="215000"/>
    <x v="0"/>
    <x v="3"/>
    <x v="0"/>
    <n v="3977.5"/>
    <n v="1591"/>
    <n v="2386.5"/>
    <s v="Success"/>
  </r>
  <r>
    <s v="TXN54872878"/>
    <x v="2180"/>
    <x v="1"/>
    <x v="3"/>
    <n v="27191"/>
    <x v="0"/>
    <x v="1"/>
    <x v="0"/>
    <n v="0"/>
    <n v="0"/>
    <n v="0"/>
    <s v="Success"/>
  </r>
  <r>
    <s v="TXN48720200"/>
    <x v="2181"/>
    <x v="2"/>
    <x v="3"/>
    <n v="59674"/>
    <x v="0"/>
    <x v="1"/>
    <x v="0"/>
    <n v="0"/>
    <n v="0"/>
    <n v="0"/>
    <s v="Success"/>
  </r>
  <r>
    <s v="TXN77325964"/>
    <x v="2182"/>
    <x v="3"/>
    <x v="4"/>
    <n v="7951"/>
    <x v="0"/>
    <x v="1"/>
    <x v="5"/>
    <n v="79.510000000000005"/>
    <n v="0"/>
    <n v="79.510000000000005"/>
    <s v="Success"/>
  </r>
  <r>
    <s v="TXN50576821"/>
    <x v="2183"/>
    <x v="0"/>
    <x v="0"/>
    <n v="55500"/>
    <x v="0"/>
    <x v="2"/>
    <x v="0"/>
    <n v="1026.75"/>
    <n v="410.7"/>
    <n v="616.04999999999995"/>
    <s v="Success"/>
  </r>
  <r>
    <s v="TXN82162753"/>
    <x v="2184"/>
    <x v="0"/>
    <x v="1"/>
    <n v="68895"/>
    <x v="0"/>
    <x v="4"/>
    <x v="0"/>
    <n v="5"/>
    <n v="0"/>
    <n v="5"/>
    <s v="Success"/>
  </r>
  <r>
    <s v="TXN19481491"/>
    <x v="2185"/>
    <x v="7"/>
    <x v="4"/>
    <n v="137995"/>
    <x v="0"/>
    <x v="6"/>
    <x v="4"/>
    <n v="1379.95"/>
    <n v="0"/>
    <n v="1379.95"/>
    <s v="Success"/>
  </r>
  <r>
    <s v="TXN46755582"/>
    <x v="2186"/>
    <x v="1"/>
    <x v="4"/>
    <n v="133386"/>
    <x v="0"/>
    <x v="2"/>
    <x v="4"/>
    <n v="1333.86"/>
    <n v="0"/>
    <n v="1333.86"/>
    <s v="Success"/>
  </r>
  <r>
    <s v="TXN82032198"/>
    <x v="2187"/>
    <x v="6"/>
    <x v="3"/>
    <n v="108283"/>
    <x v="1"/>
    <x v="1"/>
    <x v="0"/>
    <n v="0"/>
    <n v="0"/>
    <n v="0"/>
    <s v="Success"/>
  </r>
  <r>
    <s v="TXN81169840"/>
    <x v="2188"/>
    <x v="1"/>
    <x v="0"/>
    <n v="27500"/>
    <x v="0"/>
    <x v="5"/>
    <x v="0"/>
    <n v="508.75"/>
    <n v="203.5"/>
    <n v="305.25"/>
    <s v="Success"/>
  </r>
  <r>
    <s v="TXN53602856"/>
    <x v="2189"/>
    <x v="4"/>
    <x v="3"/>
    <n v="88336"/>
    <x v="0"/>
    <x v="0"/>
    <x v="0"/>
    <n v="0"/>
    <n v="0"/>
    <n v="0"/>
    <s v="Success"/>
  </r>
  <r>
    <s v="TXN98954143"/>
    <x v="2190"/>
    <x v="2"/>
    <x v="4"/>
    <n v="139939"/>
    <x v="1"/>
    <x v="6"/>
    <x v="4"/>
    <n v="1399.39"/>
    <n v="0"/>
    <n v="1399.39"/>
    <s v="Success"/>
  </r>
  <r>
    <s v="TXN94603774"/>
    <x v="2191"/>
    <x v="1"/>
    <x v="4"/>
    <n v="20270"/>
    <x v="0"/>
    <x v="3"/>
    <x v="1"/>
    <n v="202.7"/>
    <n v="0"/>
    <n v="202.7"/>
    <s v="Failed"/>
  </r>
  <r>
    <s v="TXN25953427"/>
    <x v="2192"/>
    <x v="7"/>
    <x v="2"/>
    <n v="2925"/>
    <x v="0"/>
    <x v="5"/>
    <x v="0"/>
    <n v="0"/>
    <n v="0"/>
    <n v="0"/>
    <s v="Success"/>
  </r>
  <r>
    <s v="TXN94803245"/>
    <x v="2193"/>
    <x v="2"/>
    <x v="0"/>
    <n v="12000"/>
    <x v="0"/>
    <x v="1"/>
    <x v="0"/>
    <n v="222"/>
    <n v="88.8"/>
    <n v="133.19999999999999"/>
    <s v="Success"/>
  </r>
  <r>
    <s v="TXN56218310"/>
    <x v="2194"/>
    <x v="5"/>
    <x v="1"/>
    <n v="142422"/>
    <x v="0"/>
    <x v="4"/>
    <x v="0"/>
    <n v="5"/>
    <n v="0"/>
    <n v="5"/>
    <s v="Success"/>
  </r>
  <r>
    <s v="TXN90953340"/>
    <x v="2195"/>
    <x v="7"/>
    <x v="4"/>
    <n v="81245"/>
    <x v="0"/>
    <x v="3"/>
    <x v="5"/>
    <n v="812.45"/>
    <n v="0"/>
    <n v="812.45"/>
    <s v="Success"/>
  </r>
  <r>
    <s v="TXN17534549"/>
    <x v="2196"/>
    <x v="7"/>
    <x v="1"/>
    <n v="125943"/>
    <x v="1"/>
    <x v="4"/>
    <x v="0"/>
    <n v="5"/>
    <n v="0"/>
    <n v="5"/>
    <s v="Success"/>
  </r>
  <r>
    <s v="TXN56939241"/>
    <x v="2197"/>
    <x v="5"/>
    <x v="3"/>
    <n v="1400"/>
    <x v="0"/>
    <x v="2"/>
    <x v="0"/>
    <n v="0"/>
    <n v="0"/>
    <n v="0"/>
    <s v="Success"/>
  </r>
  <r>
    <s v="TXN18048872"/>
    <x v="2198"/>
    <x v="6"/>
    <x v="3"/>
    <n v="123414"/>
    <x v="0"/>
    <x v="7"/>
    <x v="0"/>
    <n v="0"/>
    <n v="0"/>
    <n v="0"/>
    <s v="Success"/>
  </r>
  <r>
    <s v="TXN28131339"/>
    <x v="2199"/>
    <x v="1"/>
    <x v="3"/>
    <n v="149084"/>
    <x v="1"/>
    <x v="0"/>
    <x v="0"/>
    <n v="0"/>
    <n v="0"/>
    <n v="0"/>
    <s v="Success"/>
  </r>
  <r>
    <s v="TXN49693458"/>
    <x v="2200"/>
    <x v="1"/>
    <x v="2"/>
    <n v="1904"/>
    <x v="0"/>
    <x v="3"/>
    <x v="0"/>
    <n v="0"/>
    <n v="0"/>
    <n v="0"/>
    <s v="Success"/>
  </r>
  <r>
    <s v="TXN34315600"/>
    <x v="2201"/>
    <x v="5"/>
    <x v="0"/>
    <n v="225000"/>
    <x v="1"/>
    <x v="0"/>
    <x v="0"/>
    <n v="4162.5"/>
    <n v="1665"/>
    <n v="2497.5"/>
    <s v="Success"/>
  </r>
  <r>
    <s v="TXN41909034"/>
    <x v="2202"/>
    <x v="1"/>
    <x v="3"/>
    <n v="36863"/>
    <x v="0"/>
    <x v="3"/>
    <x v="0"/>
    <n v="0"/>
    <n v="0"/>
    <n v="0"/>
    <s v="Success"/>
  </r>
  <r>
    <s v="TXN30669471"/>
    <x v="2203"/>
    <x v="7"/>
    <x v="0"/>
    <n v="203000"/>
    <x v="0"/>
    <x v="3"/>
    <x v="0"/>
    <n v="3755.5"/>
    <n v="1502.2"/>
    <n v="2253.3000000000002"/>
    <s v="Success"/>
  </r>
  <r>
    <s v="TXN92760744"/>
    <x v="2204"/>
    <x v="7"/>
    <x v="2"/>
    <n v="3999"/>
    <x v="0"/>
    <x v="4"/>
    <x v="0"/>
    <n v="0"/>
    <n v="0"/>
    <n v="0"/>
    <s v="Success"/>
  </r>
  <r>
    <s v="TXN12153939"/>
    <x v="2205"/>
    <x v="4"/>
    <x v="2"/>
    <n v="2893"/>
    <x v="0"/>
    <x v="7"/>
    <x v="0"/>
    <n v="0"/>
    <n v="0"/>
    <n v="0"/>
    <s v="Success"/>
  </r>
  <r>
    <s v="TXN30630107"/>
    <x v="2206"/>
    <x v="4"/>
    <x v="3"/>
    <n v="24215"/>
    <x v="0"/>
    <x v="8"/>
    <x v="0"/>
    <n v="0"/>
    <n v="0"/>
    <n v="0"/>
    <s v="Success"/>
  </r>
  <r>
    <s v="TXN43346734"/>
    <x v="2207"/>
    <x v="2"/>
    <x v="4"/>
    <n v="68442"/>
    <x v="0"/>
    <x v="3"/>
    <x v="2"/>
    <n v="684.42"/>
    <n v="0"/>
    <n v="684.42"/>
    <s v="Success"/>
  </r>
  <r>
    <s v="TXN34589583"/>
    <x v="2208"/>
    <x v="2"/>
    <x v="1"/>
    <n v="89324"/>
    <x v="2"/>
    <x v="5"/>
    <x v="0"/>
    <n v="5"/>
    <n v="0"/>
    <n v="5"/>
    <s v="Success"/>
  </r>
  <r>
    <s v="TXN79830032"/>
    <x v="2209"/>
    <x v="4"/>
    <x v="3"/>
    <n v="84553"/>
    <x v="0"/>
    <x v="5"/>
    <x v="0"/>
    <n v="0"/>
    <n v="0"/>
    <n v="0"/>
    <s v="Success"/>
  </r>
  <r>
    <s v="TXN53034612"/>
    <x v="2210"/>
    <x v="7"/>
    <x v="4"/>
    <n v="125365"/>
    <x v="0"/>
    <x v="3"/>
    <x v="1"/>
    <n v="1253.6500000000001"/>
    <n v="0"/>
    <n v="1253.6500000000001"/>
    <s v="Success"/>
  </r>
  <r>
    <s v="TXN81417139"/>
    <x v="2211"/>
    <x v="6"/>
    <x v="0"/>
    <n v="12500"/>
    <x v="1"/>
    <x v="5"/>
    <x v="0"/>
    <n v="231.25"/>
    <n v="92.5"/>
    <n v="138.75"/>
    <s v="Success"/>
  </r>
  <r>
    <s v="TXN21315121"/>
    <x v="2212"/>
    <x v="3"/>
    <x v="4"/>
    <n v="111363"/>
    <x v="0"/>
    <x v="0"/>
    <x v="5"/>
    <n v="1113.6300000000001"/>
    <n v="0"/>
    <n v="1113.6300000000001"/>
    <s v="Success"/>
  </r>
  <r>
    <s v="TXN71938691"/>
    <x v="2213"/>
    <x v="3"/>
    <x v="1"/>
    <n v="70221"/>
    <x v="2"/>
    <x v="1"/>
    <x v="0"/>
    <n v="5"/>
    <n v="0"/>
    <n v="5"/>
    <s v="Failed"/>
  </r>
  <r>
    <s v="TXN57302881"/>
    <x v="2214"/>
    <x v="0"/>
    <x v="0"/>
    <n v="67500"/>
    <x v="0"/>
    <x v="4"/>
    <x v="0"/>
    <n v="1248.75"/>
    <n v="499.5"/>
    <n v="749.25"/>
    <s v="Success"/>
  </r>
  <r>
    <s v="TXN10387909"/>
    <x v="2215"/>
    <x v="7"/>
    <x v="0"/>
    <n v="197000"/>
    <x v="0"/>
    <x v="5"/>
    <x v="0"/>
    <n v="3644.5"/>
    <n v="1457.8"/>
    <n v="2186.6999999999998"/>
    <s v="Success"/>
  </r>
  <r>
    <s v="TXN16473787"/>
    <x v="2216"/>
    <x v="5"/>
    <x v="1"/>
    <n v="22877"/>
    <x v="0"/>
    <x v="5"/>
    <x v="0"/>
    <n v="5"/>
    <n v="0"/>
    <n v="5"/>
    <s v="Success"/>
  </r>
  <r>
    <s v="TXN79545192"/>
    <x v="2217"/>
    <x v="3"/>
    <x v="4"/>
    <n v="68462"/>
    <x v="0"/>
    <x v="2"/>
    <x v="1"/>
    <n v="684.62"/>
    <n v="0"/>
    <n v="684.62"/>
    <s v="Success"/>
  </r>
  <r>
    <s v="TXN26186194"/>
    <x v="2218"/>
    <x v="4"/>
    <x v="4"/>
    <n v="89365"/>
    <x v="0"/>
    <x v="4"/>
    <x v="4"/>
    <n v="893.65"/>
    <n v="0"/>
    <n v="893.65"/>
    <s v="Success"/>
  </r>
  <r>
    <s v="TXN93746823"/>
    <x v="2219"/>
    <x v="5"/>
    <x v="4"/>
    <n v="79748"/>
    <x v="0"/>
    <x v="7"/>
    <x v="3"/>
    <n v="797.48"/>
    <n v="0"/>
    <n v="797.48"/>
    <s v="Success"/>
  </r>
  <r>
    <s v="TXN60948304"/>
    <x v="2220"/>
    <x v="7"/>
    <x v="3"/>
    <n v="28706"/>
    <x v="0"/>
    <x v="2"/>
    <x v="0"/>
    <n v="0"/>
    <n v="0"/>
    <n v="0"/>
    <s v="Success"/>
  </r>
  <r>
    <s v="TXN24506222"/>
    <x v="2221"/>
    <x v="7"/>
    <x v="4"/>
    <n v="104769"/>
    <x v="1"/>
    <x v="0"/>
    <x v="3"/>
    <n v="1047.69"/>
    <n v="0"/>
    <n v="1047.69"/>
    <s v="Success"/>
  </r>
  <r>
    <s v="TXN78049041"/>
    <x v="2222"/>
    <x v="6"/>
    <x v="3"/>
    <n v="91092"/>
    <x v="0"/>
    <x v="8"/>
    <x v="0"/>
    <n v="0"/>
    <n v="0"/>
    <n v="0"/>
    <s v="Success"/>
  </r>
  <r>
    <s v="TXN27357723"/>
    <x v="2223"/>
    <x v="4"/>
    <x v="0"/>
    <n v="52000"/>
    <x v="0"/>
    <x v="8"/>
    <x v="0"/>
    <n v="962"/>
    <n v="384.8"/>
    <n v="577.20000000000005"/>
    <s v="Success"/>
  </r>
  <r>
    <s v="TXN69444355"/>
    <x v="2224"/>
    <x v="2"/>
    <x v="3"/>
    <n v="458"/>
    <x v="0"/>
    <x v="3"/>
    <x v="0"/>
    <n v="0"/>
    <n v="0"/>
    <n v="0"/>
    <s v="Success"/>
  </r>
  <r>
    <s v="TXN88901865"/>
    <x v="2225"/>
    <x v="6"/>
    <x v="2"/>
    <n v="1956"/>
    <x v="0"/>
    <x v="8"/>
    <x v="0"/>
    <n v="0"/>
    <n v="0"/>
    <n v="0"/>
    <s v="Success"/>
  </r>
  <r>
    <s v="TXN28917705"/>
    <x v="2226"/>
    <x v="4"/>
    <x v="4"/>
    <n v="27475"/>
    <x v="0"/>
    <x v="1"/>
    <x v="2"/>
    <n v="274.75"/>
    <n v="0"/>
    <n v="274.75"/>
    <s v="Success"/>
  </r>
  <r>
    <s v="TXN10701909"/>
    <x v="2227"/>
    <x v="2"/>
    <x v="2"/>
    <n v="3416"/>
    <x v="0"/>
    <x v="4"/>
    <x v="0"/>
    <n v="0"/>
    <n v="0"/>
    <n v="0"/>
    <s v="Success"/>
  </r>
  <r>
    <s v="TXN65682264"/>
    <x v="2228"/>
    <x v="7"/>
    <x v="4"/>
    <n v="45090"/>
    <x v="0"/>
    <x v="4"/>
    <x v="4"/>
    <n v="450.9"/>
    <n v="0"/>
    <n v="450.9"/>
    <s v="Success"/>
  </r>
  <r>
    <s v="TXN58173277"/>
    <x v="2229"/>
    <x v="1"/>
    <x v="0"/>
    <n v="153500"/>
    <x v="0"/>
    <x v="5"/>
    <x v="0"/>
    <n v="2839.75"/>
    <n v="1135.9000000000001"/>
    <n v="1703.85"/>
    <s v="Success"/>
  </r>
  <r>
    <s v="TXN57650749"/>
    <x v="2230"/>
    <x v="3"/>
    <x v="4"/>
    <n v="50198"/>
    <x v="0"/>
    <x v="1"/>
    <x v="3"/>
    <n v="501.98"/>
    <n v="0"/>
    <n v="501.98"/>
    <s v="Success"/>
  </r>
  <r>
    <s v="TXN73899573"/>
    <x v="2231"/>
    <x v="2"/>
    <x v="0"/>
    <n v="176000"/>
    <x v="0"/>
    <x v="5"/>
    <x v="0"/>
    <n v="3256"/>
    <n v="1302.4000000000001"/>
    <n v="1953.6"/>
    <s v="Success"/>
  </r>
  <r>
    <s v="TXN19452165"/>
    <x v="2232"/>
    <x v="3"/>
    <x v="0"/>
    <n v="107500"/>
    <x v="2"/>
    <x v="1"/>
    <x v="0"/>
    <n v="1988.75"/>
    <n v="795.5"/>
    <n v="1193.25"/>
    <s v="Success"/>
  </r>
  <r>
    <s v="TXN21286706"/>
    <x v="2233"/>
    <x v="5"/>
    <x v="4"/>
    <n v="115845"/>
    <x v="1"/>
    <x v="5"/>
    <x v="4"/>
    <n v="1158.45"/>
    <n v="0"/>
    <n v="1158.45"/>
    <s v="Success"/>
  </r>
  <r>
    <s v="TXN30845269"/>
    <x v="2234"/>
    <x v="3"/>
    <x v="3"/>
    <n v="7879"/>
    <x v="0"/>
    <x v="2"/>
    <x v="0"/>
    <n v="0"/>
    <n v="0"/>
    <n v="0"/>
    <s v="Failed"/>
  </r>
  <r>
    <s v="TXN40134957"/>
    <x v="2235"/>
    <x v="6"/>
    <x v="2"/>
    <n v="1703"/>
    <x v="1"/>
    <x v="5"/>
    <x v="0"/>
    <n v="0"/>
    <n v="0"/>
    <n v="0"/>
    <s v="Success"/>
  </r>
  <r>
    <s v="TXN34888300"/>
    <x v="2236"/>
    <x v="5"/>
    <x v="3"/>
    <n v="64281"/>
    <x v="0"/>
    <x v="5"/>
    <x v="0"/>
    <n v="0"/>
    <n v="0"/>
    <n v="0"/>
    <s v="Success"/>
  </r>
  <r>
    <s v="TXN75768125"/>
    <x v="2237"/>
    <x v="0"/>
    <x v="4"/>
    <n v="126128"/>
    <x v="0"/>
    <x v="6"/>
    <x v="2"/>
    <n v="1261.28"/>
    <n v="0"/>
    <n v="1261.28"/>
    <s v="Success"/>
  </r>
  <r>
    <s v="TXN21009657"/>
    <x v="2238"/>
    <x v="6"/>
    <x v="4"/>
    <n v="134304"/>
    <x v="0"/>
    <x v="0"/>
    <x v="1"/>
    <n v="1343.04"/>
    <n v="0"/>
    <n v="1343.04"/>
    <s v="Success"/>
  </r>
  <r>
    <s v="TXN25519974"/>
    <x v="2239"/>
    <x v="6"/>
    <x v="3"/>
    <n v="43465"/>
    <x v="0"/>
    <x v="2"/>
    <x v="0"/>
    <n v="0"/>
    <n v="0"/>
    <n v="0"/>
    <s v="Success"/>
  </r>
  <r>
    <s v="TXN88901582"/>
    <x v="2240"/>
    <x v="5"/>
    <x v="2"/>
    <n v="4678"/>
    <x v="2"/>
    <x v="5"/>
    <x v="0"/>
    <n v="0"/>
    <n v="0"/>
    <n v="0"/>
    <s v="Success"/>
  </r>
  <r>
    <s v="TXN64199897"/>
    <x v="2241"/>
    <x v="1"/>
    <x v="1"/>
    <n v="99299"/>
    <x v="1"/>
    <x v="8"/>
    <x v="0"/>
    <n v="5"/>
    <n v="0"/>
    <n v="5"/>
    <s v="Success"/>
  </r>
  <r>
    <s v="TXN21544858"/>
    <x v="2242"/>
    <x v="2"/>
    <x v="0"/>
    <n v="188500"/>
    <x v="1"/>
    <x v="0"/>
    <x v="0"/>
    <n v="3487.25"/>
    <n v="1394.9"/>
    <n v="2092.35"/>
    <s v="Success"/>
  </r>
  <r>
    <s v="TXN13951791"/>
    <x v="2243"/>
    <x v="4"/>
    <x v="0"/>
    <n v="106000"/>
    <x v="0"/>
    <x v="0"/>
    <x v="0"/>
    <n v="1961"/>
    <n v="784.4"/>
    <n v="1176.5999999999999"/>
    <s v="Success"/>
  </r>
  <r>
    <s v="TXN81540896"/>
    <x v="2244"/>
    <x v="3"/>
    <x v="1"/>
    <n v="108898"/>
    <x v="0"/>
    <x v="3"/>
    <x v="0"/>
    <n v="5"/>
    <n v="0"/>
    <n v="5"/>
    <s v="Success"/>
  </r>
  <r>
    <s v="TXN65475686"/>
    <x v="2245"/>
    <x v="2"/>
    <x v="3"/>
    <n v="46322"/>
    <x v="1"/>
    <x v="1"/>
    <x v="0"/>
    <n v="0"/>
    <n v="0"/>
    <n v="0"/>
    <s v="Success"/>
  </r>
  <r>
    <s v="TXN18397593"/>
    <x v="2246"/>
    <x v="2"/>
    <x v="4"/>
    <n v="66263"/>
    <x v="2"/>
    <x v="3"/>
    <x v="1"/>
    <n v="662.63"/>
    <n v="0"/>
    <n v="662.63"/>
    <s v="Success"/>
  </r>
  <r>
    <s v="TXN11522317"/>
    <x v="2247"/>
    <x v="4"/>
    <x v="1"/>
    <n v="101152"/>
    <x v="0"/>
    <x v="5"/>
    <x v="0"/>
    <n v="5"/>
    <n v="0"/>
    <n v="5"/>
    <s v="Success"/>
  </r>
  <r>
    <s v="TXN63167318"/>
    <x v="2248"/>
    <x v="7"/>
    <x v="1"/>
    <n v="42230"/>
    <x v="0"/>
    <x v="3"/>
    <x v="0"/>
    <n v="5"/>
    <n v="0"/>
    <n v="5"/>
    <s v="Success"/>
  </r>
  <r>
    <s v="TXN95111526"/>
    <x v="2249"/>
    <x v="1"/>
    <x v="2"/>
    <n v="1667"/>
    <x v="1"/>
    <x v="4"/>
    <x v="0"/>
    <n v="0"/>
    <n v="0"/>
    <n v="0"/>
    <s v="Success"/>
  </r>
  <r>
    <s v="TXN65635254"/>
    <x v="2250"/>
    <x v="3"/>
    <x v="0"/>
    <n v="81000"/>
    <x v="0"/>
    <x v="3"/>
    <x v="0"/>
    <n v="1498.5"/>
    <n v="599.4"/>
    <n v="899.1"/>
    <s v="Success"/>
  </r>
  <r>
    <s v="TXN17966411"/>
    <x v="2251"/>
    <x v="7"/>
    <x v="2"/>
    <n v="2571"/>
    <x v="0"/>
    <x v="6"/>
    <x v="0"/>
    <n v="0"/>
    <n v="0"/>
    <n v="0"/>
    <s v="Success"/>
  </r>
  <r>
    <s v="TXN18683886"/>
    <x v="2252"/>
    <x v="3"/>
    <x v="2"/>
    <n v="1441"/>
    <x v="1"/>
    <x v="5"/>
    <x v="0"/>
    <n v="0"/>
    <n v="0"/>
    <n v="0"/>
    <s v="Failed"/>
  </r>
  <r>
    <s v="TXN59017813"/>
    <x v="2253"/>
    <x v="3"/>
    <x v="0"/>
    <n v="195000"/>
    <x v="1"/>
    <x v="5"/>
    <x v="0"/>
    <n v="3607.5"/>
    <n v="1443"/>
    <n v="2164.5"/>
    <s v="Success"/>
  </r>
  <r>
    <s v="TXN93702224"/>
    <x v="2254"/>
    <x v="7"/>
    <x v="2"/>
    <n v="4855"/>
    <x v="0"/>
    <x v="1"/>
    <x v="0"/>
    <n v="0"/>
    <n v="0"/>
    <n v="0"/>
    <s v="Success"/>
  </r>
  <r>
    <s v="TXN12466641"/>
    <x v="2255"/>
    <x v="1"/>
    <x v="3"/>
    <n v="13584"/>
    <x v="0"/>
    <x v="0"/>
    <x v="0"/>
    <n v="0"/>
    <n v="0"/>
    <n v="0"/>
    <s v="Success"/>
  </r>
  <r>
    <s v="TXN16065723"/>
    <x v="2256"/>
    <x v="0"/>
    <x v="3"/>
    <n v="67221"/>
    <x v="0"/>
    <x v="0"/>
    <x v="0"/>
    <n v="0"/>
    <n v="0"/>
    <n v="0"/>
    <s v="Success"/>
  </r>
  <r>
    <s v="TXN27648848"/>
    <x v="2257"/>
    <x v="6"/>
    <x v="1"/>
    <n v="57104"/>
    <x v="0"/>
    <x v="2"/>
    <x v="0"/>
    <n v="5"/>
    <n v="0"/>
    <n v="5"/>
    <s v="Success"/>
  </r>
  <r>
    <s v="TXN49452478"/>
    <x v="2258"/>
    <x v="3"/>
    <x v="1"/>
    <n v="39607"/>
    <x v="0"/>
    <x v="7"/>
    <x v="0"/>
    <n v="5"/>
    <n v="0"/>
    <n v="5"/>
    <s v="Success"/>
  </r>
  <r>
    <s v="TXN97545651"/>
    <x v="2259"/>
    <x v="4"/>
    <x v="1"/>
    <n v="133211"/>
    <x v="0"/>
    <x v="5"/>
    <x v="0"/>
    <n v="5"/>
    <n v="0"/>
    <n v="5"/>
    <s v="Success"/>
  </r>
  <r>
    <s v="TXN49714906"/>
    <x v="2260"/>
    <x v="4"/>
    <x v="4"/>
    <n v="27819"/>
    <x v="2"/>
    <x v="1"/>
    <x v="4"/>
    <n v="278.19"/>
    <n v="0"/>
    <n v="278.19"/>
    <s v="Success"/>
  </r>
  <r>
    <s v="TXN34299797"/>
    <x v="2261"/>
    <x v="0"/>
    <x v="0"/>
    <n v="93000"/>
    <x v="0"/>
    <x v="7"/>
    <x v="0"/>
    <n v="1720.5"/>
    <n v="688.2"/>
    <n v="1032.3"/>
    <s v="Success"/>
  </r>
  <r>
    <s v="TXN23396716"/>
    <x v="2262"/>
    <x v="2"/>
    <x v="3"/>
    <n v="103741"/>
    <x v="0"/>
    <x v="4"/>
    <x v="0"/>
    <n v="0"/>
    <n v="0"/>
    <n v="0"/>
    <s v="Success"/>
  </r>
  <r>
    <s v="TXN24870200"/>
    <x v="2263"/>
    <x v="5"/>
    <x v="2"/>
    <n v="963"/>
    <x v="0"/>
    <x v="5"/>
    <x v="0"/>
    <n v="0"/>
    <n v="0"/>
    <n v="0"/>
    <s v="Success"/>
  </r>
  <r>
    <s v="TXN31256408"/>
    <x v="2264"/>
    <x v="2"/>
    <x v="4"/>
    <n v="148592"/>
    <x v="0"/>
    <x v="5"/>
    <x v="1"/>
    <n v="1485.92"/>
    <n v="0"/>
    <n v="1485.92"/>
    <s v="Success"/>
  </r>
  <r>
    <s v="TXN50284189"/>
    <x v="2265"/>
    <x v="3"/>
    <x v="4"/>
    <n v="135228"/>
    <x v="0"/>
    <x v="2"/>
    <x v="1"/>
    <n v="1352.28"/>
    <n v="0"/>
    <n v="1352.28"/>
    <s v="Success"/>
  </r>
  <r>
    <s v="TXN76508192"/>
    <x v="2266"/>
    <x v="1"/>
    <x v="3"/>
    <n v="49467"/>
    <x v="0"/>
    <x v="0"/>
    <x v="0"/>
    <n v="0"/>
    <n v="0"/>
    <n v="0"/>
    <s v="Success"/>
  </r>
  <r>
    <s v="TXN66161130"/>
    <x v="2267"/>
    <x v="6"/>
    <x v="3"/>
    <n v="113751"/>
    <x v="0"/>
    <x v="2"/>
    <x v="0"/>
    <n v="0"/>
    <n v="0"/>
    <n v="0"/>
    <s v="Success"/>
  </r>
  <r>
    <s v="TXN64627408"/>
    <x v="2268"/>
    <x v="0"/>
    <x v="1"/>
    <n v="63373"/>
    <x v="0"/>
    <x v="3"/>
    <x v="0"/>
    <n v="5"/>
    <n v="0"/>
    <n v="5"/>
    <s v="Success"/>
  </r>
  <r>
    <s v="TXN71075109"/>
    <x v="2269"/>
    <x v="7"/>
    <x v="1"/>
    <n v="41838"/>
    <x v="0"/>
    <x v="3"/>
    <x v="0"/>
    <n v="5"/>
    <n v="0"/>
    <n v="5"/>
    <s v="Failed"/>
  </r>
  <r>
    <s v="TXN35539903"/>
    <x v="2270"/>
    <x v="4"/>
    <x v="0"/>
    <n v="215000"/>
    <x v="0"/>
    <x v="1"/>
    <x v="0"/>
    <n v="3977.5"/>
    <n v="1591"/>
    <n v="2386.5"/>
    <s v="Success"/>
  </r>
  <r>
    <s v="TXN35182170"/>
    <x v="2271"/>
    <x v="4"/>
    <x v="4"/>
    <n v="44034"/>
    <x v="0"/>
    <x v="6"/>
    <x v="2"/>
    <n v="440.34"/>
    <n v="0"/>
    <n v="440.34"/>
    <s v="Success"/>
  </r>
  <r>
    <s v="TXN77443438"/>
    <x v="2272"/>
    <x v="1"/>
    <x v="4"/>
    <n v="139572"/>
    <x v="0"/>
    <x v="1"/>
    <x v="4"/>
    <n v="1395.72"/>
    <n v="0"/>
    <n v="1395.72"/>
    <s v="Success"/>
  </r>
  <r>
    <s v="TXN46531008"/>
    <x v="2273"/>
    <x v="0"/>
    <x v="4"/>
    <n v="27112"/>
    <x v="1"/>
    <x v="3"/>
    <x v="3"/>
    <n v="271.12"/>
    <n v="0"/>
    <n v="271.12"/>
    <s v="Success"/>
  </r>
  <r>
    <s v="TXN50372415"/>
    <x v="2274"/>
    <x v="7"/>
    <x v="1"/>
    <n v="111832"/>
    <x v="1"/>
    <x v="6"/>
    <x v="0"/>
    <n v="5"/>
    <n v="0"/>
    <n v="5"/>
    <s v="Success"/>
  </r>
  <r>
    <s v="TXN35959456"/>
    <x v="2275"/>
    <x v="6"/>
    <x v="2"/>
    <n v="426"/>
    <x v="0"/>
    <x v="2"/>
    <x v="0"/>
    <n v="0"/>
    <n v="0"/>
    <n v="0"/>
    <s v="Success"/>
  </r>
  <r>
    <s v="TXN71816818"/>
    <x v="2276"/>
    <x v="4"/>
    <x v="2"/>
    <n v="4768"/>
    <x v="0"/>
    <x v="6"/>
    <x v="0"/>
    <n v="0"/>
    <n v="0"/>
    <n v="0"/>
    <s v="Success"/>
  </r>
  <r>
    <s v="TXN64603881"/>
    <x v="2277"/>
    <x v="4"/>
    <x v="3"/>
    <n v="19841"/>
    <x v="0"/>
    <x v="0"/>
    <x v="0"/>
    <n v="0"/>
    <n v="0"/>
    <n v="0"/>
    <s v="Success"/>
  </r>
  <r>
    <s v="TXN28417732"/>
    <x v="2278"/>
    <x v="5"/>
    <x v="1"/>
    <n v="122362"/>
    <x v="0"/>
    <x v="1"/>
    <x v="0"/>
    <n v="5"/>
    <n v="0"/>
    <n v="5"/>
    <s v="Success"/>
  </r>
  <r>
    <s v="TXN46097949"/>
    <x v="2279"/>
    <x v="0"/>
    <x v="0"/>
    <n v="164000"/>
    <x v="0"/>
    <x v="1"/>
    <x v="0"/>
    <n v="3034"/>
    <n v="1213.5999999999999"/>
    <n v="1820.4"/>
    <s v="Success"/>
  </r>
  <r>
    <s v="TXN55446315"/>
    <x v="2280"/>
    <x v="3"/>
    <x v="1"/>
    <n v="99917"/>
    <x v="0"/>
    <x v="7"/>
    <x v="0"/>
    <n v="5"/>
    <n v="0"/>
    <n v="5"/>
    <s v="Success"/>
  </r>
  <r>
    <s v="TXN48363616"/>
    <x v="2281"/>
    <x v="6"/>
    <x v="3"/>
    <n v="6657"/>
    <x v="0"/>
    <x v="3"/>
    <x v="0"/>
    <n v="0"/>
    <n v="0"/>
    <n v="0"/>
    <s v="Success"/>
  </r>
  <r>
    <s v="TXN84893385"/>
    <x v="2282"/>
    <x v="0"/>
    <x v="4"/>
    <n v="120280"/>
    <x v="0"/>
    <x v="3"/>
    <x v="5"/>
    <n v="1202.8"/>
    <n v="0"/>
    <n v="1202.8"/>
    <s v="Success"/>
  </r>
  <r>
    <s v="TXN12766309"/>
    <x v="2283"/>
    <x v="6"/>
    <x v="3"/>
    <n v="134613"/>
    <x v="0"/>
    <x v="1"/>
    <x v="0"/>
    <n v="0"/>
    <n v="0"/>
    <n v="0"/>
    <s v="Success"/>
  </r>
  <r>
    <s v="TXN53248674"/>
    <x v="2284"/>
    <x v="5"/>
    <x v="1"/>
    <n v="112967"/>
    <x v="0"/>
    <x v="2"/>
    <x v="0"/>
    <n v="5"/>
    <n v="0"/>
    <n v="5"/>
    <s v="Success"/>
  </r>
  <r>
    <s v="TXN43994410"/>
    <x v="2285"/>
    <x v="5"/>
    <x v="0"/>
    <n v="48500"/>
    <x v="0"/>
    <x v="5"/>
    <x v="0"/>
    <n v="897.25"/>
    <n v="358.9"/>
    <n v="538.35"/>
    <s v="Success"/>
  </r>
  <r>
    <s v="TXN91750946"/>
    <x v="2286"/>
    <x v="1"/>
    <x v="4"/>
    <n v="29206"/>
    <x v="0"/>
    <x v="1"/>
    <x v="4"/>
    <n v="292.06"/>
    <n v="0"/>
    <n v="292.06"/>
    <s v="Failed"/>
  </r>
  <r>
    <s v="TXN49744109"/>
    <x v="2287"/>
    <x v="4"/>
    <x v="0"/>
    <n v="215500"/>
    <x v="0"/>
    <x v="1"/>
    <x v="0"/>
    <n v="3986.75"/>
    <n v="1594.7"/>
    <n v="2392.0500000000002"/>
    <s v="Success"/>
  </r>
  <r>
    <s v="TXN33664371"/>
    <x v="2288"/>
    <x v="2"/>
    <x v="3"/>
    <n v="23948"/>
    <x v="0"/>
    <x v="2"/>
    <x v="0"/>
    <n v="0"/>
    <n v="0"/>
    <n v="0"/>
    <s v="Success"/>
  </r>
  <r>
    <s v="TXN78675396"/>
    <x v="2289"/>
    <x v="7"/>
    <x v="0"/>
    <n v="69000"/>
    <x v="0"/>
    <x v="1"/>
    <x v="0"/>
    <n v="1276.5"/>
    <n v="510.6"/>
    <n v="765.9"/>
    <s v="Success"/>
  </r>
  <r>
    <s v="TXN94590845"/>
    <x v="2290"/>
    <x v="6"/>
    <x v="0"/>
    <n v="49500"/>
    <x v="1"/>
    <x v="2"/>
    <x v="0"/>
    <n v="915.75"/>
    <n v="366.3"/>
    <n v="549.45000000000005"/>
    <s v="Success"/>
  </r>
  <r>
    <s v="TXN13516392"/>
    <x v="2291"/>
    <x v="0"/>
    <x v="3"/>
    <n v="106099"/>
    <x v="0"/>
    <x v="3"/>
    <x v="0"/>
    <n v="0"/>
    <n v="0"/>
    <n v="0"/>
    <s v="Success"/>
  </r>
  <r>
    <s v="TXN81454778"/>
    <x v="2292"/>
    <x v="1"/>
    <x v="0"/>
    <n v="235000"/>
    <x v="0"/>
    <x v="0"/>
    <x v="0"/>
    <n v="4347.5"/>
    <n v="1739"/>
    <n v="2608.5"/>
    <s v="Success"/>
  </r>
  <r>
    <s v="TXN72011615"/>
    <x v="2293"/>
    <x v="1"/>
    <x v="4"/>
    <n v="50559"/>
    <x v="0"/>
    <x v="5"/>
    <x v="3"/>
    <n v="505.59"/>
    <n v="0"/>
    <n v="505.59"/>
    <s v="Success"/>
  </r>
  <r>
    <s v="TXN34115067"/>
    <x v="2294"/>
    <x v="7"/>
    <x v="1"/>
    <n v="90934"/>
    <x v="0"/>
    <x v="1"/>
    <x v="0"/>
    <n v="5"/>
    <n v="0"/>
    <n v="5"/>
    <s v="Success"/>
  </r>
  <r>
    <s v="TXN41697272"/>
    <x v="2295"/>
    <x v="2"/>
    <x v="2"/>
    <n v="455"/>
    <x v="0"/>
    <x v="2"/>
    <x v="0"/>
    <n v="0"/>
    <n v="0"/>
    <n v="0"/>
    <s v="Success"/>
  </r>
  <r>
    <s v="TXN35622893"/>
    <x v="2296"/>
    <x v="0"/>
    <x v="1"/>
    <n v="57251"/>
    <x v="1"/>
    <x v="7"/>
    <x v="0"/>
    <n v="5"/>
    <n v="0"/>
    <n v="5"/>
    <s v="Success"/>
  </r>
  <r>
    <s v="TXN21008894"/>
    <x v="2297"/>
    <x v="1"/>
    <x v="3"/>
    <n v="137201"/>
    <x v="0"/>
    <x v="5"/>
    <x v="0"/>
    <n v="0"/>
    <n v="0"/>
    <n v="0"/>
    <s v="Success"/>
  </r>
  <r>
    <s v="TXN92990283"/>
    <x v="2298"/>
    <x v="2"/>
    <x v="1"/>
    <n v="33058"/>
    <x v="0"/>
    <x v="3"/>
    <x v="0"/>
    <n v="5"/>
    <n v="0"/>
    <n v="5"/>
    <s v="Success"/>
  </r>
  <r>
    <s v="TXN89347899"/>
    <x v="2299"/>
    <x v="0"/>
    <x v="4"/>
    <n v="102718"/>
    <x v="0"/>
    <x v="5"/>
    <x v="3"/>
    <n v="1027.18"/>
    <n v="0"/>
    <n v="1027.18"/>
    <s v="Success"/>
  </r>
  <r>
    <s v="TXN76222486"/>
    <x v="2300"/>
    <x v="6"/>
    <x v="4"/>
    <n v="47377"/>
    <x v="2"/>
    <x v="5"/>
    <x v="1"/>
    <n v="473.77"/>
    <n v="0"/>
    <n v="473.77"/>
    <s v="Success"/>
  </r>
  <r>
    <s v="TXN73610022"/>
    <x v="2301"/>
    <x v="1"/>
    <x v="0"/>
    <n v="23000"/>
    <x v="0"/>
    <x v="5"/>
    <x v="0"/>
    <n v="425.5"/>
    <n v="170.2"/>
    <n v="255.3"/>
    <s v="Success"/>
  </r>
  <r>
    <s v="TXN18140884"/>
    <x v="2302"/>
    <x v="2"/>
    <x v="2"/>
    <n v="1306"/>
    <x v="0"/>
    <x v="6"/>
    <x v="0"/>
    <n v="0"/>
    <n v="0"/>
    <n v="0"/>
    <s v="Success"/>
  </r>
  <r>
    <s v="TXN24300921"/>
    <x v="2303"/>
    <x v="3"/>
    <x v="2"/>
    <n v="764"/>
    <x v="0"/>
    <x v="3"/>
    <x v="0"/>
    <n v="0"/>
    <n v="0"/>
    <n v="0"/>
    <s v="Success"/>
  </r>
  <r>
    <s v="TXN31270600"/>
    <x v="2304"/>
    <x v="7"/>
    <x v="0"/>
    <n v="24500"/>
    <x v="0"/>
    <x v="5"/>
    <x v="0"/>
    <n v="453.25"/>
    <n v="181.3"/>
    <n v="271.95"/>
    <s v="Success"/>
  </r>
  <r>
    <s v="TXN41574298"/>
    <x v="2305"/>
    <x v="5"/>
    <x v="2"/>
    <n v="360"/>
    <x v="0"/>
    <x v="1"/>
    <x v="0"/>
    <n v="0"/>
    <n v="0"/>
    <n v="0"/>
    <s v="Success"/>
  </r>
  <r>
    <s v="TXN89532984"/>
    <x v="2306"/>
    <x v="1"/>
    <x v="1"/>
    <n v="75386"/>
    <x v="1"/>
    <x v="5"/>
    <x v="0"/>
    <n v="5"/>
    <n v="0"/>
    <n v="5"/>
    <s v="Success"/>
  </r>
  <r>
    <s v="TXN80099005"/>
    <x v="2307"/>
    <x v="7"/>
    <x v="0"/>
    <n v="190500"/>
    <x v="0"/>
    <x v="6"/>
    <x v="0"/>
    <n v="3524.25"/>
    <n v="1409.7"/>
    <n v="2114.5500000000002"/>
    <s v="Success"/>
  </r>
  <r>
    <s v="TXN40054264"/>
    <x v="2308"/>
    <x v="2"/>
    <x v="0"/>
    <n v="39500"/>
    <x v="0"/>
    <x v="8"/>
    <x v="0"/>
    <n v="730.75"/>
    <n v="292.3"/>
    <n v="438.45"/>
    <s v="Success"/>
  </r>
  <r>
    <s v="TXN59500383"/>
    <x v="2309"/>
    <x v="6"/>
    <x v="0"/>
    <n v="56500"/>
    <x v="0"/>
    <x v="2"/>
    <x v="0"/>
    <n v="1045.25"/>
    <n v="418.1"/>
    <n v="627.15"/>
    <s v="Success"/>
  </r>
  <r>
    <s v="TXN82743925"/>
    <x v="2310"/>
    <x v="1"/>
    <x v="1"/>
    <n v="149711"/>
    <x v="0"/>
    <x v="3"/>
    <x v="0"/>
    <n v="5"/>
    <n v="0"/>
    <n v="5"/>
    <s v="Success"/>
  </r>
  <r>
    <s v="TXN33042154"/>
    <x v="2311"/>
    <x v="4"/>
    <x v="3"/>
    <n v="147544"/>
    <x v="0"/>
    <x v="4"/>
    <x v="0"/>
    <n v="0"/>
    <n v="0"/>
    <n v="0"/>
    <s v="Success"/>
  </r>
  <r>
    <s v="TXN16925565"/>
    <x v="2312"/>
    <x v="7"/>
    <x v="2"/>
    <n v="3712"/>
    <x v="0"/>
    <x v="6"/>
    <x v="0"/>
    <n v="0"/>
    <n v="0"/>
    <n v="0"/>
    <s v="Success"/>
  </r>
  <r>
    <s v="TXN29100928"/>
    <x v="2313"/>
    <x v="5"/>
    <x v="0"/>
    <n v="38000"/>
    <x v="0"/>
    <x v="1"/>
    <x v="0"/>
    <n v="703"/>
    <n v="281.2"/>
    <n v="421.8"/>
    <s v="Success"/>
  </r>
  <r>
    <s v="TXN54731843"/>
    <x v="2314"/>
    <x v="1"/>
    <x v="4"/>
    <n v="102165"/>
    <x v="0"/>
    <x v="2"/>
    <x v="3"/>
    <n v="1021.65"/>
    <n v="0"/>
    <n v="1021.65"/>
    <s v="Success"/>
  </r>
  <r>
    <s v="TXN54277811"/>
    <x v="2315"/>
    <x v="1"/>
    <x v="3"/>
    <n v="40344"/>
    <x v="1"/>
    <x v="1"/>
    <x v="0"/>
    <n v="0"/>
    <n v="0"/>
    <n v="0"/>
    <s v="Success"/>
  </r>
  <r>
    <s v="TXN39293640"/>
    <x v="2316"/>
    <x v="0"/>
    <x v="3"/>
    <n v="37254"/>
    <x v="0"/>
    <x v="6"/>
    <x v="0"/>
    <n v="0"/>
    <n v="0"/>
    <n v="0"/>
    <s v="Success"/>
  </r>
  <r>
    <s v="TXN28773661"/>
    <x v="2317"/>
    <x v="0"/>
    <x v="1"/>
    <n v="45866"/>
    <x v="1"/>
    <x v="1"/>
    <x v="0"/>
    <n v="5"/>
    <n v="0"/>
    <n v="5"/>
    <s v="Success"/>
  </r>
  <r>
    <s v="TXN60595493"/>
    <x v="2318"/>
    <x v="2"/>
    <x v="0"/>
    <n v="138000"/>
    <x v="0"/>
    <x v="3"/>
    <x v="0"/>
    <n v="2553"/>
    <n v="1021.2"/>
    <n v="1531.8"/>
    <s v="Success"/>
  </r>
  <r>
    <s v="TXN16927272"/>
    <x v="2319"/>
    <x v="6"/>
    <x v="2"/>
    <n v="983"/>
    <x v="0"/>
    <x v="3"/>
    <x v="0"/>
    <n v="0"/>
    <n v="0"/>
    <n v="0"/>
    <s v="Success"/>
  </r>
  <r>
    <s v="TXN97918870"/>
    <x v="2320"/>
    <x v="0"/>
    <x v="0"/>
    <n v="52500"/>
    <x v="1"/>
    <x v="6"/>
    <x v="0"/>
    <n v="971.25"/>
    <n v="388.5"/>
    <n v="582.75"/>
    <s v="Success"/>
  </r>
  <r>
    <s v="TXN22692837"/>
    <x v="2321"/>
    <x v="7"/>
    <x v="2"/>
    <n v="1034"/>
    <x v="0"/>
    <x v="0"/>
    <x v="0"/>
    <n v="0"/>
    <n v="0"/>
    <n v="0"/>
    <s v="Success"/>
  </r>
  <r>
    <s v="TXN10811025"/>
    <x v="2322"/>
    <x v="0"/>
    <x v="3"/>
    <n v="17040"/>
    <x v="0"/>
    <x v="5"/>
    <x v="0"/>
    <n v="0"/>
    <n v="0"/>
    <n v="0"/>
    <s v="Success"/>
  </r>
  <r>
    <s v="TXN77156061"/>
    <x v="2323"/>
    <x v="5"/>
    <x v="2"/>
    <n v="1841"/>
    <x v="1"/>
    <x v="3"/>
    <x v="0"/>
    <n v="0"/>
    <n v="0"/>
    <n v="0"/>
    <s v="Success"/>
  </r>
  <r>
    <s v="TXN78570261"/>
    <x v="2324"/>
    <x v="3"/>
    <x v="1"/>
    <n v="75088"/>
    <x v="0"/>
    <x v="0"/>
    <x v="0"/>
    <n v="5"/>
    <n v="0"/>
    <n v="5"/>
    <s v="Success"/>
  </r>
  <r>
    <s v="TXN78697449"/>
    <x v="2325"/>
    <x v="0"/>
    <x v="4"/>
    <n v="78024"/>
    <x v="1"/>
    <x v="1"/>
    <x v="2"/>
    <n v="780.24"/>
    <n v="0"/>
    <n v="780.24"/>
    <s v="Failed"/>
  </r>
  <r>
    <s v="TXN25121871"/>
    <x v="2326"/>
    <x v="6"/>
    <x v="0"/>
    <n v="229000"/>
    <x v="2"/>
    <x v="5"/>
    <x v="0"/>
    <n v="4236.5"/>
    <n v="1694.6"/>
    <n v="2541.9"/>
    <s v="Success"/>
  </r>
  <r>
    <s v="TXN80529954"/>
    <x v="2327"/>
    <x v="7"/>
    <x v="1"/>
    <n v="1393"/>
    <x v="0"/>
    <x v="5"/>
    <x v="0"/>
    <n v="5"/>
    <n v="0"/>
    <n v="5"/>
    <s v="Success"/>
  </r>
  <r>
    <s v="TXN85745881"/>
    <x v="2328"/>
    <x v="1"/>
    <x v="2"/>
    <n v="3998"/>
    <x v="0"/>
    <x v="5"/>
    <x v="0"/>
    <n v="0"/>
    <n v="0"/>
    <n v="0"/>
    <s v="Success"/>
  </r>
  <r>
    <s v="TXN79764227"/>
    <x v="2329"/>
    <x v="7"/>
    <x v="4"/>
    <n v="26141"/>
    <x v="0"/>
    <x v="5"/>
    <x v="1"/>
    <n v="261.41000000000003"/>
    <n v="0"/>
    <n v="261.41000000000003"/>
    <s v="Success"/>
  </r>
  <r>
    <s v="TXN72684220"/>
    <x v="2330"/>
    <x v="5"/>
    <x v="2"/>
    <n v="3150"/>
    <x v="0"/>
    <x v="3"/>
    <x v="0"/>
    <n v="0"/>
    <n v="0"/>
    <n v="0"/>
    <s v="Success"/>
  </r>
  <r>
    <s v="TXN34518522"/>
    <x v="2331"/>
    <x v="7"/>
    <x v="1"/>
    <n v="122452"/>
    <x v="0"/>
    <x v="1"/>
    <x v="0"/>
    <n v="5"/>
    <n v="0"/>
    <n v="5"/>
    <s v="Success"/>
  </r>
  <r>
    <s v="TXN73712268"/>
    <x v="2332"/>
    <x v="1"/>
    <x v="4"/>
    <n v="2066"/>
    <x v="0"/>
    <x v="7"/>
    <x v="4"/>
    <n v="20.66"/>
    <n v="0"/>
    <n v="20.66"/>
    <s v="Success"/>
  </r>
  <r>
    <s v="TXN27142974"/>
    <x v="2333"/>
    <x v="5"/>
    <x v="1"/>
    <n v="120835"/>
    <x v="0"/>
    <x v="1"/>
    <x v="0"/>
    <n v="5"/>
    <n v="0"/>
    <n v="5"/>
    <s v="Success"/>
  </r>
  <r>
    <s v="TXN18108793"/>
    <x v="2334"/>
    <x v="6"/>
    <x v="4"/>
    <n v="62039"/>
    <x v="0"/>
    <x v="4"/>
    <x v="2"/>
    <n v="620.39"/>
    <n v="0"/>
    <n v="620.39"/>
    <s v="Success"/>
  </r>
  <r>
    <s v="TXN90217429"/>
    <x v="2335"/>
    <x v="2"/>
    <x v="4"/>
    <n v="52540"/>
    <x v="0"/>
    <x v="7"/>
    <x v="3"/>
    <n v="525.4"/>
    <n v="0"/>
    <n v="525.4"/>
    <s v="Success"/>
  </r>
  <r>
    <s v="TXN90728132"/>
    <x v="2336"/>
    <x v="5"/>
    <x v="2"/>
    <n v="2446"/>
    <x v="0"/>
    <x v="6"/>
    <x v="0"/>
    <n v="0"/>
    <n v="0"/>
    <n v="0"/>
    <s v="Success"/>
  </r>
  <r>
    <s v="TXN84723470"/>
    <x v="2337"/>
    <x v="3"/>
    <x v="3"/>
    <n v="109388"/>
    <x v="0"/>
    <x v="1"/>
    <x v="0"/>
    <n v="0"/>
    <n v="0"/>
    <n v="0"/>
    <s v="Success"/>
  </r>
  <r>
    <s v="TXN30977359"/>
    <x v="2338"/>
    <x v="1"/>
    <x v="1"/>
    <n v="49009"/>
    <x v="0"/>
    <x v="0"/>
    <x v="0"/>
    <n v="5"/>
    <n v="0"/>
    <n v="5"/>
    <s v="Success"/>
  </r>
  <r>
    <s v="TXN76473769"/>
    <x v="2339"/>
    <x v="3"/>
    <x v="1"/>
    <n v="52356"/>
    <x v="0"/>
    <x v="5"/>
    <x v="0"/>
    <n v="5"/>
    <n v="0"/>
    <n v="5"/>
    <s v="Success"/>
  </r>
  <r>
    <s v="TXN68096234"/>
    <x v="2340"/>
    <x v="2"/>
    <x v="1"/>
    <n v="141654"/>
    <x v="0"/>
    <x v="0"/>
    <x v="0"/>
    <n v="5"/>
    <n v="0"/>
    <n v="5"/>
    <s v="Success"/>
  </r>
  <r>
    <s v="TXN10676364"/>
    <x v="2341"/>
    <x v="3"/>
    <x v="2"/>
    <n v="1814"/>
    <x v="0"/>
    <x v="8"/>
    <x v="0"/>
    <n v="0"/>
    <n v="0"/>
    <n v="0"/>
    <s v="Success"/>
  </r>
  <r>
    <s v="TXN69810813"/>
    <x v="2342"/>
    <x v="2"/>
    <x v="2"/>
    <n v="163"/>
    <x v="0"/>
    <x v="1"/>
    <x v="0"/>
    <n v="0"/>
    <n v="0"/>
    <n v="0"/>
    <s v="Success"/>
  </r>
  <r>
    <s v="TXN95785850"/>
    <x v="2343"/>
    <x v="0"/>
    <x v="4"/>
    <n v="20136"/>
    <x v="1"/>
    <x v="3"/>
    <x v="1"/>
    <n v="201.36"/>
    <n v="0"/>
    <n v="201.36"/>
    <s v="Success"/>
  </r>
  <r>
    <s v="TXN63402022"/>
    <x v="2344"/>
    <x v="7"/>
    <x v="1"/>
    <n v="121880"/>
    <x v="1"/>
    <x v="5"/>
    <x v="0"/>
    <n v="5"/>
    <n v="0"/>
    <n v="5"/>
    <s v="Success"/>
  </r>
  <r>
    <s v="TXN41965887"/>
    <x v="2345"/>
    <x v="1"/>
    <x v="0"/>
    <n v="158000"/>
    <x v="1"/>
    <x v="3"/>
    <x v="0"/>
    <n v="2923"/>
    <n v="1169.2"/>
    <n v="1753.8"/>
    <s v="Success"/>
  </r>
  <r>
    <s v="TXN26306115"/>
    <x v="2346"/>
    <x v="0"/>
    <x v="1"/>
    <n v="142697"/>
    <x v="1"/>
    <x v="5"/>
    <x v="0"/>
    <n v="5"/>
    <n v="0"/>
    <n v="5"/>
    <s v="Success"/>
  </r>
  <r>
    <s v="TXN98858885"/>
    <x v="2347"/>
    <x v="7"/>
    <x v="1"/>
    <n v="92437"/>
    <x v="1"/>
    <x v="3"/>
    <x v="0"/>
    <n v="5"/>
    <n v="0"/>
    <n v="5"/>
    <s v="Success"/>
  </r>
  <r>
    <s v="TXN92670853"/>
    <x v="2348"/>
    <x v="6"/>
    <x v="3"/>
    <n v="92725"/>
    <x v="0"/>
    <x v="0"/>
    <x v="0"/>
    <n v="0"/>
    <n v="0"/>
    <n v="0"/>
    <s v="Success"/>
  </r>
  <r>
    <s v="TXN77237033"/>
    <x v="2349"/>
    <x v="3"/>
    <x v="3"/>
    <n v="149543"/>
    <x v="0"/>
    <x v="0"/>
    <x v="0"/>
    <n v="0"/>
    <n v="0"/>
    <n v="0"/>
    <s v="Success"/>
  </r>
  <r>
    <s v="TXN77975401"/>
    <x v="2350"/>
    <x v="1"/>
    <x v="4"/>
    <n v="108822"/>
    <x v="0"/>
    <x v="8"/>
    <x v="5"/>
    <n v="1088.22"/>
    <n v="0"/>
    <n v="1088.22"/>
    <s v="Success"/>
  </r>
  <r>
    <s v="TXN15070863"/>
    <x v="2351"/>
    <x v="6"/>
    <x v="4"/>
    <n v="4247"/>
    <x v="2"/>
    <x v="2"/>
    <x v="1"/>
    <n v="42.47"/>
    <n v="0"/>
    <n v="42.47"/>
    <s v="Success"/>
  </r>
  <r>
    <s v="TXN14713194"/>
    <x v="2352"/>
    <x v="0"/>
    <x v="0"/>
    <n v="188500"/>
    <x v="0"/>
    <x v="8"/>
    <x v="0"/>
    <n v="3487.25"/>
    <n v="1394.9"/>
    <n v="2092.35"/>
    <s v="Success"/>
  </r>
  <r>
    <s v="TXN66289136"/>
    <x v="2353"/>
    <x v="4"/>
    <x v="2"/>
    <n v="641"/>
    <x v="0"/>
    <x v="5"/>
    <x v="0"/>
    <n v="0"/>
    <n v="0"/>
    <n v="0"/>
    <s v="Success"/>
  </r>
  <r>
    <s v="TXN42797711"/>
    <x v="2354"/>
    <x v="3"/>
    <x v="1"/>
    <n v="6305"/>
    <x v="0"/>
    <x v="4"/>
    <x v="0"/>
    <n v="5"/>
    <n v="0"/>
    <n v="5"/>
    <s v="Success"/>
  </r>
  <r>
    <s v="TXN46063464"/>
    <x v="2355"/>
    <x v="5"/>
    <x v="3"/>
    <n v="144165"/>
    <x v="0"/>
    <x v="5"/>
    <x v="0"/>
    <n v="0"/>
    <n v="0"/>
    <n v="0"/>
    <s v="Success"/>
  </r>
  <r>
    <s v="TXN73226119"/>
    <x v="2356"/>
    <x v="0"/>
    <x v="4"/>
    <n v="15530"/>
    <x v="0"/>
    <x v="1"/>
    <x v="1"/>
    <n v="155.30000000000001"/>
    <n v="0"/>
    <n v="155.30000000000001"/>
    <s v="Success"/>
  </r>
  <r>
    <s v="TXN57078126"/>
    <x v="2357"/>
    <x v="0"/>
    <x v="0"/>
    <n v="154500"/>
    <x v="0"/>
    <x v="0"/>
    <x v="0"/>
    <n v="2858.25"/>
    <n v="1143.3"/>
    <n v="1714.95"/>
    <s v="Success"/>
  </r>
  <r>
    <s v="TXN13301746"/>
    <x v="2358"/>
    <x v="4"/>
    <x v="3"/>
    <n v="75751"/>
    <x v="0"/>
    <x v="6"/>
    <x v="0"/>
    <n v="0"/>
    <n v="0"/>
    <n v="0"/>
    <s v="Success"/>
  </r>
  <r>
    <s v="TXN41864165"/>
    <x v="2359"/>
    <x v="7"/>
    <x v="4"/>
    <n v="110972"/>
    <x v="0"/>
    <x v="7"/>
    <x v="1"/>
    <n v="1109.72"/>
    <n v="0"/>
    <n v="1109.72"/>
    <s v="Success"/>
  </r>
  <r>
    <s v="TXN97440723"/>
    <x v="2360"/>
    <x v="2"/>
    <x v="0"/>
    <n v="96500"/>
    <x v="0"/>
    <x v="5"/>
    <x v="0"/>
    <n v="1785.25"/>
    <n v="714.1"/>
    <n v="1071.1500000000001"/>
    <s v="Success"/>
  </r>
  <r>
    <s v="TXN27208584"/>
    <x v="2361"/>
    <x v="2"/>
    <x v="4"/>
    <n v="129110"/>
    <x v="0"/>
    <x v="3"/>
    <x v="5"/>
    <n v="1291.0999999999999"/>
    <n v="0"/>
    <n v="1291.0999999999999"/>
    <s v="Success"/>
  </r>
  <r>
    <s v="TXN72274289"/>
    <x v="2362"/>
    <x v="4"/>
    <x v="2"/>
    <n v="2638"/>
    <x v="0"/>
    <x v="4"/>
    <x v="0"/>
    <n v="0"/>
    <n v="0"/>
    <n v="0"/>
    <s v="Success"/>
  </r>
  <r>
    <s v="TXN98762195"/>
    <x v="2363"/>
    <x v="6"/>
    <x v="3"/>
    <n v="11956"/>
    <x v="1"/>
    <x v="8"/>
    <x v="0"/>
    <n v="0"/>
    <n v="0"/>
    <n v="0"/>
    <s v="Success"/>
  </r>
  <r>
    <s v="TXN98003709"/>
    <x v="2364"/>
    <x v="2"/>
    <x v="2"/>
    <n v="3257"/>
    <x v="0"/>
    <x v="6"/>
    <x v="0"/>
    <n v="0"/>
    <n v="0"/>
    <n v="0"/>
    <s v="Success"/>
  </r>
  <r>
    <s v="TXN10271132"/>
    <x v="2365"/>
    <x v="2"/>
    <x v="4"/>
    <n v="81797"/>
    <x v="0"/>
    <x v="0"/>
    <x v="5"/>
    <n v="817.97"/>
    <n v="0"/>
    <n v="817.97"/>
    <s v="Success"/>
  </r>
  <r>
    <s v="TXN19237616"/>
    <x v="2366"/>
    <x v="1"/>
    <x v="1"/>
    <n v="120197"/>
    <x v="0"/>
    <x v="5"/>
    <x v="0"/>
    <n v="5"/>
    <n v="0"/>
    <n v="5"/>
    <s v="Success"/>
  </r>
  <r>
    <s v="TXN38128172"/>
    <x v="2367"/>
    <x v="7"/>
    <x v="2"/>
    <n v="4872"/>
    <x v="0"/>
    <x v="1"/>
    <x v="0"/>
    <n v="0"/>
    <n v="0"/>
    <n v="0"/>
    <s v="Success"/>
  </r>
  <r>
    <s v="TXN11973239"/>
    <x v="2368"/>
    <x v="5"/>
    <x v="2"/>
    <n v="4482"/>
    <x v="0"/>
    <x v="0"/>
    <x v="0"/>
    <n v="0"/>
    <n v="0"/>
    <n v="0"/>
    <s v="Success"/>
  </r>
  <r>
    <s v="TXN18819838"/>
    <x v="2369"/>
    <x v="1"/>
    <x v="4"/>
    <n v="23504"/>
    <x v="0"/>
    <x v="5"/>
    <x v="4"/>
    <n v="235.04"/>
    <n v="0"/>
    <n v="235.04"/>
    <s v="Success"/>
  </r>
  <r>
    <s v="TXN12936395"/>
    <x v="2370"/>
    <x v="1"/>
    <x v="1"/>
    <n v="106159"/>
    <x v="0"/>
    <x v="6"/>
    <x v="0"/>
    <n v="5"/>
    <n v="0"/>
    <n v="5"/>
    <s v="Success"/>
  </r>
  <r>
    <s v="TXN67580697"/>
    <x v="2371"/>
    <x v="5"/>
    <x v="4"/>
    <n v="31877"/>
    <x v="0"/>
    <x v="1"/>
    <x v="2"/>
    <n v="318.77"/>
    <n v="0"/>
    <n v="318.77"/>
    <s v="Success"/>
  </r>
  <r>
    <s v="TXN44413297"/>
    <x v="2372"/>
    <x v="6"/>
    <x v="3"/>
    <n v="94853"/>
    <x v="1"/>
    <x v="6"/>
    <x v="0"/>
    <n v="0"/>
    <n v="0"/>
    <n v="0"/>
    <s v="Success"/>
  </r>
  <r>
    <s v="TXN79826501"/>
    <x v="2373"/>
    <x v="4"/>
    <x v="2"/>
    <n v="3529"/>
    <x v="1"/>
    <x v="5"/>
    <x v="0"/>
    <n v="0"/>
    <n v="0"/>
    <n v="0"/>
    <s v="Success"/>
  </r>
  <r>
    <s v="TXN28567885"/>
    <x v="2374"/>
    <x v="0"/>
    <x v="4"/>
    <n v="106147"/>
    <x v="2"/>
    <x v="6"/>
    <x v="1"/>
    <n v="1061.47"/>
    <n v="0"/>
    <n v="1061.47"/>
    <s v="Success"/>
  </r>
  <r>
    <s v="TXN73678277"/>
    <x v="2375"/>
    <x v="3"/>
    <x v="2"/>
    <n v="1331"/>
    <x v="0"/>
    <x v="1"/>
    <x v="0"/>
    <n v="0"/>
    <n v="0"/>
    <n v="0"/>
    <s v="Success"/>
  </r>
  <r>
    <s v="TXN25106582"/>
    <x v="2376"/>
    <x v="7"/>
    <x v="0"/>
    <n v="144000"/>
    <x v="1"/>
    <x v="0"/>
    <x v="0"/>
    <n v="2664"/>
    <n v="1065.5999999999999"/>
    <n v="1598.4"/>
    <s v="Success"/>
  </r>
  <r>
    <s v="TXN47038929"/>
    <x v="2377"/>
    <x v="6"/>
    <x v="3"/>
    <n v="40150"/>
    <x v="1"/>
    <x v="5"/>
    <x v="0"/>
    <n v="0"/>
    <n v="0"/>
    <n v="0"/>
    <s v="Success"/>
  </r>
  <r>
    <s v="TXN42683900"/>
    <x v="2378"/>
    <x v="2"/>
    <x v="3"/>
    <n v="47399"/>
    <x v="2"/>
    <x v="7"/>
    <x v="0"/>
    <n v="0"/>
    <n v="0"/>
    <n v="0"/>
    <s v="Success"/>
  </r>
  <r>
    <s v="TXN74817005"/>
    <x v="2379"/>
    <x v="0"/>
    <x v="4"/>
    <n v="48727"/>
    <x v="2"/>
    <x v="8"/>
    <x v="5"/>
    <n v="487.27"/>
    <n v="0"/>
    <n v="487.27"/>
    <s v="Success"/>
  </r>
  <r>
    <s v="TXN15811675"/>
    <x v="2380"/>
    <x v="5"/>
    <x v="2"/>
    <n v="2092"/>
    <x v="0"/>
    <x v="8"/>
    <x v="0"/>
    <n v="0"/>
    <n v="0"/>
    <n v="0"/>
    <s v="Success"/>
  </r>
  <r>
    <s v="TXN71655185"/>
    <x v="2381"/>
    <x v="2"/>
    <x v="4"/>
    <n v="106640"/>
    <x v="0"/>
    <x v="8"/>
    <x v="4"/>
    <n v="1066.4000000000001"/>
    <n v="0"/>
    <n v="1066.4000000000001"/>
    <s v="Success"/>
  </r>
  <r>
    <s v="TXN65873615"/>
    <x v="2382"/>
    <x v="7"/>
    <x v="1"/>
    <n v="10015"/>
    <x v="1"/>
    <x v="8"/>
    <x v="0"/>
    <n v="5"/>
    <n v="0"/>
    <n v="5"/>
    <s v="Success"/>
  </r>
  <r>
    <s v="TXN49141245"/>
    <x v="2383"/>
    <x v="5"/>
    <x v="2"/>
    <n v="3835"/>
    <x v="0"/>
    <x v="7"/>
    <x v="0"/>
    <n v="0"/>
    <n v="0"/>
    <n v="0"/>
    <s v="Success"/>
  </r>
  <r>
    <s v="TXN55347886"/>
    <x v="2384"/>
    <x v="7"/>
    <x v="3"/>
    <n v="17911"/>
    <x v="0"/>
    <x v="1"/>
    <x v="0"/>
    <n v="0"/>
    <n v="0"/>
    <n v="0"/>
    <s v="Success"/>
  </r>
  <r>
    <s v="TXN21936008"/>
    <x v="2385"/>
    <x v="4"/>
    <x v="3"/>
    <n v="41053"/>
    <x v="0"/>
    <x v="5"/>
    <x v="0"/>
    <n v="0"/>
    <n v="0"/>
    <n v="0"/>
    <s v="Failed"/>
  </r>
  <r>
    <s v="TXN93123500"/>
    <x v="2386"/>
    <x v="2"/>
    <x v="1"/>
    <n v="134855"/>
    <x v="0"/>
    <x v="6"/>
    <x v="0"/>
    <n v="5"/>
    <n v="0"/>
    <n v="5"/>
    <s v="Success"/>
  </r>
  <r>
    <s v="TXN87139348"/>
    <x v="2387"/>
    <x v="7"/>
    <x v="2"/>
    <n v="4929"/>
    <x v="0"/>
    <x v="7"/>
    <x v="0"/>
    <n v="0"/>
    <n v="0"/>
    <n v="0"/>
    <s v="Success"/>
  </r>
  <r>
    <s v="TXN63864028"/>
    <x v="2388"/>
    <x v="6"/>
    <x v="3"/>
    <n v="10640"/>
    <x v="1"/>
    <x v="8"/>
    <x v="0"/>
    <n v="0"/>
    <n v="0"/>
    <n v="0"/>
    <s v="Success"/>
  </r>
  <r>
    <s v="TXN69688089"/>
    <x v="2389"/>
    <x v="7"/>
    <x v="4"/>
    <n v="38633"/>
    <x v="0"/>
    <x v="8"/>
    <x v="4"/>
    <n v="386.33"/>
    <n v="0"/>
    <n v="386.33"/>
    <s v="Success"/>
  </r>
  <r>
    <s v="TXN62780426"/>
    <x v="2390"/>
    <x v="5"/>
    <x v="0"/>
    <n v="37500"/>
    <x v="0"/>
    <x v="7"/>
    <x v="0"/>
    <n v="693.75"/>
    <n v="277.5"/>
    <n v="416.25"/>
    <s v="Success"/>
  </r>
  <r>
    <s v="TXN42243235"/>
    <x v="2391"/>
    <x v="0"/>
    <x v="2"/>
    <n v="1782"/>
    <x v="0"/>
    <x v="4"/>
    <x v="0"/>
    <n v="0"/>
    <n v="0"/>
    <n v="0"/>
    <s v="Failed"/>
  </r>
  <r>
    <s v="TXN69857613"/>
    <x v="2392"/>
    <x v="3"/>
    <x v="3"/>
    <n v="91726"/>
    <x v="0"/>
    <x v="0"/>
    <x v="0"/>
    <n v="0"/>
    <n v="0"/>
    <n v="0"/>
    <s v="Success"/>
  </r>
  <r>
    <s v="TXN25079461"/>
    <x v="2393"/>
    <x v="0"/>
    <x v="1"/>
    <n v="37476"/>
    <x v="0"/>
    <x v="6"/>
    <x v="0"/>
    <n v="5"/>
    <n v="0"/>
    <n v="5"/>
    <s v="Success"/>
  </r>
  <r>
    <s v="TXN84506706"/>
    <x v="2394"/>
    <x v="0"/>
    <x v="1"/>
    <n v="9100"/>
    <x v="0"/>
    <x v="3"/>
    <x v="0"/>
    <n v="5"/>
    <n v="0"/>
    <n v="5"/>
    <s v="Success"/>
  </r>
  <r>
    <s v="TXN26829568"/>
    <x v="2395"/>
    <x v="1"/>
    <x v="3"/>
    <n v="125645"/>
    <x v="0"/>
    <x v="3"/>
    <x v="0"/>
    <n v="0"/>
    <n v="0"/>
    <n v="0"/>
    <s v="Success"/>
  </r>
  <r>
    <s v="TXN40056470"/>
    <x v="2396"/>
    <x v="3"/>
    <x v="4"/>
    <n v="28783"/>
    <x v="0"/>
    <x v="4"/>
    <x v="2"/>
    <n v="287.83"/>
    <n v="0"/>
    <n v="287.83"/>
    <s v="Success"/>
  </r>
  <r>
    <s v="TXN45526201"/>
    <x v="2397"/>
    <x v="3"/>
    <x v="1"/>
    <n v="10586"/>
    <x v="0"/>
    <x v="6"/>
    <x v="0"/>
    <n v="5"/>
    <n v="0"/>
    <n v="5"/>
    <s v="Success"/>
  </r>
  <r>
    <s v="TXN74478277"/>
    <x v="2398"/>
    <x v="3"/>
    <x v="1"/>
    <n v="35929"/>
    <x v="0"/>
    <x v="0"/>
    <x v="0"/>
    <n v="5"/>
    <n v="0"/>
    <n v="5"/>
    <s v="Success"/>
  </r>
  <r>
    <s v="TXN51589161"/>
    <x v="2399"/>
    <x v="6"/>
    <x v="3"/>
    <n v="31331"/>
    <x v="0"/>
    <x v="1"/>
    <x v="0"/>
    <n v="0"/>
    <n v="0"/>
    <n v="0"/>
    <s v="Success"/>
  </r>
  <r>
    <s v="TXN17756464"/>
    <x v="2400"/>
    <x v="5"/>
    <x v="1"/>
    <n v="89789"/>
    <x v="2"/>
    <x v="5"/>
    <x v="0"/>
    <n v="5"/>
    <n v="0"/>
    <n v="5"/>
    <s v="Success"/>
  </r>
  <r>
    <s v="TXN83848714"/>
    <x v="2401"/>
    <x v="3"/>
    <x v="1"/>
    <n v="63574"/>
    <x v="0"/>
    <x v="1"/>
    <x v="0"/>
    <n v="5"/>
    <n v="0"/>
    <n v="5"/>
    <s v="Success"/>
  </r>
  <r>
    <s v="TXN15608498"/>
    <x v="2402"/>
    <x v="5"/>
    <x v="2"/>
    <n v="185"/>
    <x v="0"/>
    <x v="5"/>
    <x v="0"/>
    <n v="0"/>
    <n v="0"/>
    <n v="0"/>
    <s v="Success"/>
  </r>
  <r>
    <s v="TXN50957199"/>
    <x v="2403"/>
    <x v="7"/>
    <x v="2"/>
    <n v="2043"/>
    <x v="0"/>
    <x v="8"/>
    <x v="0"/>
    <n v="0"/>
    <n v="0"/>
    <n v="0"/>
    <s v="Success"/>
  </r>
  <r>
    <s v="TXN16723326"/>
    <x v="2404"/>
    <x v="4"/>
    <x v="3"/>
    <n v="107015"/>
    <x v="1"/>
    <x v="7"/>
    <x v="0"/>
    <n v="0"/>
    <n v="0"/>
    <n v="0"/>
    <s v="Success"/>
  </r>
  <r>
    <s v="TXN69183546"/>
    <x v="2405"/>
    <x v="2"/>
    <x v="1"/>
    <n v="15465"/>
    <x v="0"/>
    <x v="7"/>
    <x v="0"/>
    <n v="5"/>
    <n v="0"/>
    <n v="5"/>
    <s v="Success"/>
  </r>
  <r>
    <s v="TXN39830767"/>
    <x v="2406"/>
    <x v="4"/>
    <x v="4"/>
    <n v="38262"/>
    <x v="0"/>
    <x v="8"/>
    <x v="5"/>
    <n v="382.62"/>
    <n v="0"/>
    <n v="382.62"/>
    <s v="Success"/>
  </r>
  <r>
    <s v="TXN61371300"/>
    <x v="2407"/>
    <x v="7"/>
    <x v="2"/>
    <n v="4729"/>
    <x v="1"/>
    <x v="1"/>
    <x v="0"/>
    <n v="0"/>
    <n v="0"/>
    <n v="0"/>
    <s v="Success"/>
  </r>
  <r>
    <s v="TXN39914590"/>
    <x v="2408"/>
    <x v="3"/>
    <x v="0"/>
    <n v="74500"/>
    <x v="0"/>
    <x v="8"/>
    <x v="0"/>
    <n v="1378.25"/>
    <n v="551.29999999999995"/>
    <n v="826.95"/>
    <s v="Failed"/>
  </r>
  <r>
    <s v="TXN27237396"/>
    <x v="2409"/>
    <x v="6"/>
    <x v="1"/>
    <n v="30849"/>
    <x v="0"/>
    <x v="1"/>
    <x v="0"/>
    <n v="5"/>
    <n v="0"/>
    <n v="5"/>
    <s v="Success"/>
  </r>
  <r>
    <s v="TXN25402769"/>
    <x v="2410"/>
    <x v="4"/>
    <x v="2"/>
    <n v="1505"/>
    <x v="0"/>
    <x v="7"/>
    <x v="0"/>
    <n v="0"/>
    <n v="0"/>
    <n v="0"/>
    <s v="Success"/>
  </r>
  <r>
    <s v="TXN63466186"/>
    <x v="2411"/>
    <x v="1"/>
    <x v="4"/>
    <n v="41662"/>
    <x v="0"/>
    <x v="2"/>
    <x v="5"/>
    <n v="416.62"/>
    <n v="0"/>
    <n v="416.62"/>
    <s v="Success"/>
  </r>
  <r>
    <s v="TXN48537794"/>
    <x v="2412"/>
    <x v="5"/>
    <x v="2"/>
    <n v="1966"/>
    <x v="0"/>
    <x v="5"/>
    <x v="0"/>
    <n v="0"/>
    <n v="0"/>
    <n v="0"/>
    <s v="Success"/>
  </r>
  <r>
    <s v="TXN93651850"/>
    <x v="2413"/>
    <x v="4"/>
    <x v="3"/>
    <n v="96180"/>
    <x v="0"/>
    <x v="6"/>
    <x v="0"/>
    <n v="0"/>
    <n v="0"/>
    <n v="0"/>
    <s v="Success"/>
  </r>
  <r>
    <s v="TXN73499221"/>
    <x v="2414"/>
    <x v="5"/>
    <x v="4"/>
    <n v="45463"/>
    <x v="0"/>
    <x v="6"/>
    <x v="4"/>
    <n v="454.63"/>
    <n v="0"/>
    <n v="454.63"/>
    <s v="Success"/>
  </r>
  <r>
    <s v="TXN36464636"/>
    <x v="2415"/>
    <x v="6"/>
    <x v="2"/>
    <n v="1217"/>
    <x v="0"/>
    <x v="7"/>
    <x v="0"/>
    <n v="0"/>
    <n v="0"/>
    <n v="0"/>
    <s v="Success"/>
  </r>
  <r>
    <s v="TXN51757146"/>
    <x v="2416"/>
    <x v="4"/>
    <x v="4"/>
    <n v="76024"/>
    <x v="0"/>
    <x v="2"/>
    <x v="5"/>
    <n v="760.24"/>
    <n v="0"/>
    <n v="760.24"/>
    <s v="Success"/>
  </r>
  <r>
    <s v="TXN90738706"/>
    <x v="2417"/>
    <x v="4"/>
    <x v="1"/>
    <n v="111841"/>
    <x v="1"/>
    <x v="1"/>
    <x v="0"/>
    <n v="5"/>
    <n v="0"/>
    <n v="5"/>
    <s v="Success"/>
  </r>
  <r>
    <s v="TXN84900833"/>
    <x v="2418"/>
    <x v="5"/>
    <x v="0"/>
    <n v="104500"/>
    <x v="1"/>
    <x v="2"/>
    <x v="0"/>
    <n v="1933.25"/>
    <n v="773.3"/>
    <n v="1159.95"/>
    <s v="Success"/>
  </r>
  <r>
    <s v="TXN26634121"/>
    <x v="2419"/>
    <x v="6"/>
    <x v="0"/>
    <n v="234500"/>
    <x v="0"/>
    <x v="6"/>
    <x v="0"/>
    <n v="4338.25"/>
    <n v="1735.3"/>
    <n v="2602.9499999999998"/>
    <s v="Success"/>
  </r>
  <r>
    <s v="TXN92664953"/>
    <x v="2420"/>
    <x v="1"/>
    <x v="0"/>
    <n v="107500"/>
    <x v="0"/>
    <x v="2"/>
    <x v="0"/>
    <n v="1988.75"/>
    <n v="795.5"/>
    <n v="1193.25"/>
    <s v="Success"/>
  </r>
  <r>
    <s v="TXN72016813"/>
    <x v="2421"/>
    <x v="5"/>
    <x v="3"/>
    <n v="16994"/>
    <x v="1"/>
    <x v="0"/>
    <x v="0"/>
    <n v="0"/>
    <n v="0"/>
    <n v="0"/>
    <s v="Success"/>
  </r>
  <r>
    <s v="TXN85333443"/>
    <x v="2422"/>
    <x v="7"/>
    <x v="0"/>
    <n v="103000"/>
    <x v="0"/>
    <x v="3"/>
    <x v="0"/>
    <n v="1905.5"/>
    <n v="762.2"/>
    <n v="1143.3"/>
    <s v="Success"/>
  </r>
  <r>
    <s v="TXN54864959"/>
    <x v="2423"/>
    <x v="3"/>
    <x v="3"/>
    <n v="58098"/>
    <x v="1"/>
    <x v="5"/>
    <x v="0"/>
    <n v="0"/>
    <n v="0"/>
    <n v="0"/>
    <s v="Success"/>
  </r>
  <r>
    <s v="TXN43248685"/>
    <x v="2424"/>
    <x v="2"/>
    <x v="4"/>
    <n v="95482"/>
    <x v="0"/>
    <x v="3"/>
    <x v="2"/>
    <n v="954.82"/>
    <n v="0"/>
    <n v="954.82"/>
    <s v="Success"/>
  </r>
  <r>
    <s v="TXN11885138"/>
    <x v="2425"/>
    <x v="0"/>
    <x v="3"/>
    <n v="17118"/>
    <x v="1"/>
    <x v="4"/>
    <x v="0"/>
    <n v="0"/>
    <n v="0"/>
    <n v="0"/>
    <s v="Success"/>
  </r>
  <r>
    <s v="TXN87312308"/>
    <x v="2426"/>
    <x v="2"/>
    <x v="2"/>
    <n v="4192"/>
    <x v="0"/>
    <x v="2"/>
    <x v="0"/>
    <n v="0"/>
    <n v="0"/>
    <n v="0"/>
    <s v="Success"/>
  </r>
  <r>
    <s v="TXN79481295"/>
    <x v="2427"/>
    <x v="5"/>
    <x v="2"/>
    <n v="4120"/>
    <x v="0"/>
    <x v="5"/>
    <x v="0"/>
    <n v="0"/>
    <n v="0"/>
    <n v="0"/>
    <s v="Success"/>
  </r>
  <r>
    <s v="TXN18946977"/>
    <x v="2428"/>
    <x v="4"/>
    <x v="1"/>
    <n v="58216"/>
    <x v="0"/>
    <x v="5"/>
    <x v="0"/>
    <n v="5"/>
    <n v="0"/>
    <n v="5"/>
    <s v="Success"/>
  </r>
  <r>
    <s v="TXN65454506"/>
    <x v="2429"/>
    <x v="1"/>
    <x v="1"/>
    <n v="140277"/>
    <x v="0"/>
    <x v="5"/>
    <x v="0"/>
    <n v="5"/>
    <n v="0"/>
    <n v="5"/>
    <s v="Success"/>
  </r>
  <r>
    <s v="TXN54264798"/>
    <x v="2430"/>
    <x v="6"/>
    <x v="2"/>
    <n v="1583"/>
    <x v="0"/>
    <x v="0"/>
    <x v="0"/>
    <n v="0"/>
    <n v="0"/>
    <n v="0"/>
    <s v="Success"/>
  </r>
  <r>
    <s v="TXN44425616"/>
    <x v="2431"/>
    <x v="0"/>
    <x v="1"/>
    <n v="104438"/>
    <x v="0"/>
    <x v="8"/>
    <x v="0"/>
    <n v="5"/>
    <n v="0"/>
    <n v="5"/>
    <s v="Success"/>
  </r>
  <r>
    <s v="TXN48406131"/>
    <x v="2432"/>
    <x v="0"/>
    <x v="0"/>
    <n v="163000"/>
    <x v="0"/>
    <x v="4"/>
    <x v="0"/>
    <n v="3015.5"/>
    <n v="1206.2"/>
    <n v="1809.3"/>
    <s v="Success"/>
  </r>
  <r>
    <s v="TXN57206636"/>
    <x v="2433"/>
    <x v="5"/>
    <x v="3"/>
    <n v="137467"/>
    <x v="1"/>
    <x v="6"/>
    <x v="0"/>
    <n v="0"/>
    <n v="0"/>
    <n v="0"/>
    <s v="Success"/>
  </r>
  <r>
    <s v="TXN46284628"/>
    <x v="2434"/>
    <x v="2"/>
    <x v="0"/>
    <n v="81500"/>
    <x v="0"/>
    <x v="6"/>
    <x v="0"/>
    <n v="1507.75"/>
    <n v="603.1"/>
    <n v="904.65"/>
    <s v="Success"/>
  </r>
  <r>
    <s v="TXN69365067"/>
    <x v="2435"/>
    <x v="0"/>
    <x v="2"/>
    <n v="3056"/>
    <x v="0"/>
    <x v="5"/>
    <x v="0"/>
    <n v="0"/>
    <n v="0"/>
    <n v="0"/>
    <s v="Success"/>
  </r>
  <r>
    <s v="TXN45591574"/>
    <x v="2436"/>
    <x v="3"/>
    <x v="2"/>
    <n v="4438"/>
    <x v="0"/>
    <x v="5"/>
    <x v="0"/>
    <n v="0"/>
    <n v="0"/>
    <n v="0"/>
    <s v="Success"/>
  </r>
  <r>
    <s v="TXN73837372"/>
    <x v="2437"/>
    <x v="5"/>
    <x v="4"/>
    <n v="82813"/>
    <x v="0"/>
    <x v="5"/>
    <x v="5"/>
    <n v="828.13"/>
    <n v="0"/>
    <n v="828.13"/>
    <s v="Success"/>
  </r>
  <r>
    <s v="TXN11330533"/>
    <x v="2438"/>
    <x v="6"/>
    <x v="1"/>
    <n v="108684"/>
    <x v="0"/>
    <x v="8"/>
    <x v="0"/>
    <n v="5"/>
    <n v="0"/>
    <n v="5"/>
    <s v="Success"/>
  </r>
  <r>
    <s v="TXN48742274"/>
    <x v="2439"/>
    <x v="1"/>
    <x v="3"/>
    <n v="88444"/>
    <x v="0"/>
    <x v="1"/>
    <x v="0"/>
    <n v="0"/>
    <n v="0"/>
    <n v="0"/>
    <s v="Success"/>
  </r>
  <r>
    <s v="TXN59702910"/>
    <x v="2440"/>
    <x v="3"/>
    <x v="2"/>
    <n v="4055"/>
    <x v="0"/>
    <x v="1"/>
    <x v="0"/>
    <n v="0"/>
    <n v="0"/>
    <n v="0"/>
    <s v="Success"/>
  </r>
  <r>
    <s v="TXN91931104"/>
    <x v="2441"/>
    <x v="7"/>
    <x v="1"/>
    <n v="139937"/>
    <x v="2"/>
    <x v="2"/>
    <x v="0"/>
    <n v="5"/>
    <n v="0"/>
    <n v="5"/>
    <s v="Success"/>
  </r>
  <r>
    <s v="TXN19508662"/>
    <x v="2442"/>
    <x v="5"/>
    <x v="1"/>
    <n v="138994"/>
    <x v="0"/>
    <x v="3"/>
    <x v="0"/>
    <n v="5"/>
    <n v="0"/>
    <n v="5"/>
    <s v="Success"/>
  </r>
  <r>
    <s v="TXN18282695"/>
    <x v="2443"/>
    <x v="2"/>
    <x v="4"/>
    <n v="24852"/>
    <x v="0"/>
    <x v="8"/>
    <x v="3"/>
    <n v="248.52"/>
    <n v="0"/>
    <n v="248.52"/>
    <s v="Success"/>
  </r>
  <r>
    <s v="TXN56796096"/>
    <x v="2444"/>
    <x v="6"/>
    <x v="4"/>
    <n v="102880"/>
    <x v="0"/>
    <x v="5"/>
    <x v="3"/>
    <n v="1028.8"/>
    <n v="0"/>
    <n v="1028.8"/>
    <s v="Success"/>
  </r>
  <r>
    <s v="TXN34894993"/>
    <x v="2445"/>
    <x v="4"/>
    <x v="3"/>
    <n v="138238"/>
    <x v="0"/>
    <x v="7"/>
    <x v="0"/>
    <n v="0"/>
    <n v="0"/>
    <n v="0"/>
    <s v="Success"/>
  </r>
  <r>
    <s v="TXN40693623"/>
    <x v="2446"/>
    <x v="6"/>
    <x v="3"/>
    <n v="54611"/>
    <x v="0"/>
    <x v="5"/>
    <x v="0"/>
    <n v="0"/>
    <n v="0"/>
    <n v="0"/>
    <s v="Success"/>
  </r>
  <r>
    <s v="TXN83071012"/>
    <x v="2447"/>
    <x v="1"/>
    <x v="3"/>
    <n v="106424"/>
    <x v="0"/>
    <x v="6"/>
    <x v="0"/>
    <n v="0"/>
    <n v="0"/>
    <n v="0"/>
    <s v="Success"/>
  </r>
  <r>
    <s v="TXN33502661"/>
    <x v="2448"/>
    <x v="5"/>
    <x v="3"/>
    <n v="146623"/>
    <x v="0"/>
    <x v="3"/>
    <x v="0"/>
    <n v="0"/>
    <n v="0"/>
    <n v="0"/>
    <s v="Success"/>
  </r>
  <r>
    <s v="TXN51470974"/>
    <x v="2449"/>
    <x v="4"/>
    <x v="1"/>
    <n v="86990"/>
    <x v="0"/>
    <x v="7"/>
    <x v="0"/>
    <n v="5"/>
    <n v="0"/>
    <n v="5"/>
    <s v="Success"/>
  </r>
  <r>
    <s v="TXN76074551"/>
    <x v="2450"/>
    <x v="4"/>
    <x v="3"/>
    <n v="149173"/>
    <x v="2"/>
    <x v="4"/>
    <x v="0"/>
    <n v="0"/>
    <n v="0"/>
    <n v="0"/>
    <s v="Success"/>
  </r>
  <r>
    <s v="TXN39001091"/>
    <x v="2451"/>
    <x v="6"/>
    <x v="4"/>
    <n v="124129"/>
    <x v="0"/>
    <x v="3"/>
    <x v="4"/>
    <n v="1241.29"/>
    <n v="0"/>
    <n v="1241.29"/>
    <s v="Success"/>
  </r>
  <r>
    <s v="TXN40334359"/>
    <x v="2452"/>
    <x v="3"/>
    <x v="0"/>
    <n v="32000"/>
    <x v="0"/>
    <x v="1"/>
    <x v="0"/>
    <n v="592"/>
    <n v="236.8"/>
    <n v="355.2"/>
    <s v="Success"/>
  </r>
  <r>
    <s v="TXN90221978"/>
    <x v="2453"/>
    <x v="6"/>
    <x v="1"/>
    <n v="53187"/>
    <x v="0"/>
    <x v="8"/>
    <x v="0"/>
    <n v="5"/>
    <n v="0"/>
    <n v="5"/>
    <s v="Success"/>
  </r>
  <r>
    <s v="TXN77885270"/>
    <x v="2454"/>
    <x v="1"/>
    <x v="0"/>
    <n v="89000"/>
    <x v="0"/>
    <x v="5"/>
    <x v="0"/>
    <n v="1646.5"/>
    <n v="658.6"/>
    <n v="987.9"/>
    <s v="Success"/>
  </r>
  <r>
    <s v="TXN70377977"/>
    <x v="2455"/>
    <x v="0"/>
    <x v="2"/>
    <n v="4021"/>
    <x v="0"/>
    <x v="7"/>
    <x v="0"/>
    <n v="0"/>
    <n v="0"/>
    <n v="0"/>
    <s v="Success"/>
  </r>
  <r>
    <s v="TXN99747638"/>
    <x v="2456"/>
    <x v="1"/>
    <x v="0"/>
    <n v="183000"/>
    <x v="0"/>
    <x v="0"/>
    <x v="0"/>
    <n v="3385.5"/>
    <n v="1354.2"/>
    <n v="2031.3"/>
    <s v="Success"/>
  </r>
  <r>
    <s v="TXN79636636"/>
    <x v="2457"/>
    <x v="0"/>
    <x v="1"/>
    <n v="43172"/>
    <x v="1"/>
    <x v="5"/>
    <x v="0"/>
    <n v="5"/>
    <n v="0"/>
    <n v="5"/>
    <s v="Success"/>
  </r>
  <r>
    <s v="TXN96791852"/>
    <x v="2458"/>
    <x v="1"/>
    <x v="2"/>
    <n v="3978"/>
    <x v="1"/>
    <x v="8"/>
    <x v="0"/>
    <n v="0"/>
    <n v="0"/>
    <n v="0"/>
    <s v="Success"/>
  </r>
  <r>
    <s v="TXN94099964"/>
    <x v="2459"/>
    <x v="0"/>
    <x v="4"/>
    <n v="71666"/>
    <x v="0"/>
    <x v="0"/>
    <x v="5"/>
    <n v="716.66"/>
    <n v="0"/>
    <n v="716.66"/>
    <s v="Success"/>
  </r>
  <r>
    <s v="TXN84510728"/>
    <x v="2460"/>
    <x v="0"/>
    <x v="2"/>
    <n v="1358"/>
    <x v="0"/>
    <x v="1"/>
    <x v="0"/>
    <n v="0"/>
    <n v="0"/>
    <n v="0"/>
    <s v="Success"/>
  </r>
  <r>
    <s v="TXN64119389"/>
    <x v="2461"/>
    <x v="1"/>
    <x v="3"/>
    <n v="122574"/>
    <x v="2"/>
    <x v="3"/>
    <x v="0"/>
    <n v="0"/>
    <n v="0"/>
    <n v="0"/>
    <s v="Success"/>
  </r>
  <r>
    <s v="TXN18656253"/>
    <x v="2462"/>
    <x v="2"/>
    <x v="4"/>
    <n v="82350"/>
    <x v="1"/>
    <x v="2"/>
    <x v="1"/>
    <n v="823.5"/>
    <n v="0"/>
    <n v="823.5"/>
    <s v="Success"/>
  </r>
  <r>
    <s v="TXN60813766"/>
    <x v="2463"/>
    <x v="1"/>
    <x v="1"/>
    <n v="131683"/>
    <x v="0"/>
    <x v="5"/>
    <x v="0"/>
    <n v="5"/>
    <n v="0"/>
    <n v="5"/>
    <s v="Success"/>
  </r>
  <r>
    <s v="TXN95862355"/>
    <x v="2464"/>
    <x v="0"/>
    <x v="2"/>
    <n v="3174"/>
    <x v="0"/>
    <x v="0"/>
    <x v="0"/>
    <n v="0"/>
    <n v="0"/>
    <n v="0"/>
    <s v="Success"/>
  </r>
  <r>
    <s v="TXN21337163"/>
    <x v="2465"/>
    <x v="7"/>
    <x v="2"/>
    <n v="1239"/>
    <x v="0"/>
    <x v="2"/>
    <x v="0"/>
    <n v="0"/>
    <n v="0"/>
    <n v="0"/>
    <s v="Success"/>
  </r>
  <r>
    <s v="TXN27702607"/>
    <x v="2466"/>
    <x v="1"/>
    <x v="2"/>
    <n v="4767"/>
    <x v="0"/>
    <x v="7"/>
    <x v="0"/>
    <n v="0"/>
    <n v="0"/>
    <n v="0"/>
    <s v="Success"/>
  </r>
  <r>
    <s v="TXN26863625"/>
    <x v="2467"/>
    <x v="7"/>
    <x v="2"/>
    <n v="376"/>
    <x v="0"/>
    <x v="2"/>
    <x v="0"/>
    <n v="0"/>
    <n v="0"/>
    <n v="0"/>
    <s v="Success"/>
  </r>
  <r>
    <s v="TXN56689154"/>
    <x v="2468"/>
    <x v="2"/>
    <x v="3"/>
    <n v="46880"/>
    <x v="0"/>
    <x v="6"/>
    <x v="0"/>
    <n v="0"/>
    <n v="0"/>
    <n v="0"/>
    <s v="Success"/>
  </r>
  <r>
    <s v="TXN87783878"/>
    <x v="2469"/>
    <x v="7"/>
    <x v="1"/>
    <n v="68987"/>
    <x v="0"/>
    <x v="7"/>
    <x v="0"/>
    <n v="5"/>
    <n v="0"/>
    <n v="5"/>
    <s v="Success"/>
  </r>
  <r>
    <s v="TXN90884870"/>
    <x v="2470"/>
    <x v="1"/>
    <x v="1"/>
    <n v="107696"/>
    <x v="0"/>
    <x v="1"/>
    <x v="0"/>
    <n v="5"/>
    <n v="0"/>
    <n v="5"/>
    <s v="Success"/>
  </r>
  <r>
    <s v="TXN95720447"/>
    <x v="2471"/>
    <x v="6"/>
    <x v="4"/>
    <n v="132878"/>
    <x v="0"/>
    <x v="6"/>
    <x v="4"/>
    <n v="1328.78"/>
    <n v="0"/>
    <n v="1328.78"/>
    <s v="Success"/>
  </r>
  <r>
    <s v="TXN30287961"/>
    <x v="2472"/>
    <x v="3"/>
    <x v="2"/>
    <n v="4895"/>
    <x v="1"/>
    <x v="1"/>
    <x v="0"/>
    <n v="0"/>
    <n v="0"/>
    <n v="0"/>
    <s v="Failed"/>
  </r>
  <r>
    <s v="TXN75409093"/>
    <x v="2473"/>
    <x v="0"/>
    <x v="0"/>
    <n v="29000"/>
    <x v="0"/>
    <x v="6"/>
    <x v="0"/>
    <n v="536.5"/>
    <n v="214.6"/>
    <n v="321.89999999999998"/>
    <s v="Success"/>
  </r>
  <r>
    <s v="TXN14452407"/>
    <x v="2474"/>
    <x v="5"/>
    <x v="1"/>
    <n v="97749"/>
    <x v="1"/>
    <x v="3"/>
    <x v="0"/>
    <n v="5"/>
    <n v="0"/>
    <n v="5"/>
    <s v="Success"/>
  </r>
  <r>
    <s v="TXN74439182"/>
    <x v="2475"/>
    <x v="5"/>
    <x v="2"/>
    <n v="3209"/>
    <x v="0"/>
    <x v="0"/>
    <x v="0"/>
    <n v="0"/>
    <n v="0"/>
    <n v="0"/>
    <s v="Success"/>
  </r>
  <r>
    <s v="TXN31636864"/>
    <x v="2476"/>
    <x v="5"/>
    <x v="0"/>
    <n v="13000"/>
    <x v="1"/>
    <x v="5"/>
    <x v="0"/>
    <n v="240.5"/>
    <n v="96.2"/>
    <n v="144.30000000000001"/>
    <s v="Failed"/>
  </r>
  <r>
    <s v="TXN81599038"/>
    <x v="2477"/>
    <x v="6"/>
    <x v="4"/>
    <n v="78223"/>
    <x v="0"/>
    <x v="5"/>
    <x v="2"/>
    <n v="782.23"/>
    <n v="0"/>
    <n v="782.23"/>
    <s v="Success"/>
  </r>
  <r>
    <s v="TXN95536089"/>
    <x v="2478"/>
    <x v="7"/>
    <x v="3"/>
    <n v="20945"/>
    <x v="2"/>
    <x v="4"/>
    <x v="0"/>
    <n v="0"/>
    <n v="0"/>
    <n v="0"/>
    <s v="Success"/>
  </r>
  <r>
    <s v="TXN75378476"/>
    <x v="2479"/>
    <x v="2"/>
    <x v="3"/>
    <n v="138279"/>
    <x v="0"/>
    <x v="2"/>
    <x v="0"/>
    <n v="0"/>
    <n v="0"/>
    <n v="0"/>
    <s v="Success"/>
  </r>
  <r>
    <s v="TXN49489457"/>
    <x v="2480"/>
    <x v="6"/>
    <x v="0"/>
    <n v="80500"/>
    <x v="0"/>
    <x v="5"/>
    <x v="0"/>
    <n v="1489.25"/>
    <n v="595.70000000000005"/>
    <n v="893.55"/>
    <s v="Success"/>
  </r>
  <r>
    <s v="TXN64350069"/>
    <x v="2481"/>
    <x v="4"/>
    <x v="3"/>
    <n v="77242"/>
    <x v="0"/>
    <x v="7"/>
    <x v="0"/>
    <n v="0"/>
    <n v="0"/>
    <n v="0"/>
    <s v="Success"/>
  </r>
  <r>
    <s v="TXN67238500"/>
    <x v="2482"/>
    <x v="5"/>
    <x v="4"/>
    <n v="75888"/>
    <x v="0"/>
    <x v="4"/>
    <x v="1"/>
    <n v="758.88"/>
    <n v="0"/>
    <n v="758.88"/>
    <s v="Success"/>
  </r>
  <r>
    <s v="TXN87118692"/>
    <x v="2483"/>
    <x v="4"/>
    <x v="4"/>
    <n v="88474"/>
    <x v="2"/>
    <x v="1"/>
    <x v="5"/>
    <n v="884.74"/>
    <n v="0"/>
    <n v="884.74"/>
    <s v="Failed"/>
  </r>
  <r>
    <s v="TXN28644030"/>
    <x v="2484"/>
    <x v="7"/>
    <x v="1"/>
    <n v="20213"/>
    <x v="0"/>
    <x v="3"/>
    <x v="0"/>
    <n v="5"/>
    <n v="0"/>
    <n v="5"/>
    <s v="Success"/>
  </r>
  <r>
    <s v="TXN54310172"/>
    <x v="2485"/>
    <x v="4"/>
    <x v="2"/>
    <n v="2921"/>
    <x v="0"/>
    <x v="7"/>
    <x v="0"/>
    <n v="0"/>
    <n v="0"/>
    <n v="0"/>
    <s v="Success"/>
  </r>
  <r>
    <s v="TXN62648932"/>
    <x v="2486"/>
    <x v="2"/>
    <x v="1"/>
    <n v="95963"/>
    <x v="0"/>
    <x v="8"/>
    <x v="0"/>
    <n v="5"/>
    <n v="0"/>
    <n v="5"/>
    <s v="Success"/>
  </r>
  <r>
    <s v="TXN87731934"/>
    <x v="2487"/>
    <x v="4"/>
    <x v="4"/>
    <n v="145372"/>
    <x v="0"/>
    <x v="8"/>
    <x v="5"/>
    <n v="1453.72"/>
    <n v="0"/>
    <n v="1453.72"/>
    <s v="Success"/>
  </r>
  <r>
    <s v="TXN59977320"/>
    <x v="2488"/>
    <x v="6"/>
    <x v="0"/>
    <n v="177000"/>
    <x v="0"/>
    <x v="2"/>
    <x v="0"/>
    <n v="3274.5"/>
    <n v="1309.8"/>
    <n v="1964.7"/>
    <s v="Success"/>
  </r>
  <r>
    <s v="TXN10961165"/>
    <x v="2489"/>
    <x v="3"/>
    <x v="4"/>
    <n v="98751"/>
    <x v="1"/>
    <x v="7"/>
    <x v="2"/>
    <n v="987.51"/>
    <n v="0"/>
    <n v="987.51"/>
    <s v="Success"/>
  </r>
  <r>
    <s v="TXN77796567"/>
    <x v="2490"/>
    <x v="0"/>
    <x v="2"/>
    <n v="822"/>
    <x v="0"/>
    <x v="6"/>
    <x v="0"/>
    <n v="0"/>
    <n v="0"/>
    <n v="0"/>
    <s v="Success"/>
  </r>
  <r>
    <s v="TXN75812320"/>
    <x v="2491"/>
    <x v="2"/>
    <x v="3"/>
    <n v="128569"/>
    <x v="0"/>
    <x v="1"/>
    <x v="0"/>
    <n v="0"/>
    <n v="0"/>
    <n v="0"/>
    <s v="Success"/>
  </r>
  <r>
    <s v="TXN28048815"/>
    <x v="2492"/>
    <x v="7"/>
    <x v="0"/>
    <n v="31000"/>
    <x v="0"/>
    <x v="6"/>
    <x v="0"/>
    <n v="573.5"/>
    <n v="229.4"/>
    <n v="344.1"/>
    <s v="Success"/>
  </r>
  <r>
    <s v="TXN85218375"/>
    <x v="2493"/>
    <x v="6"/>
    <x v="0"/>
    <n v="114000"/>
    <x v="0"/>
    <x v="5"/>
    <x v="0"/>
    <n v="2109"/>
    <n v="843.6"/>
    <n v="1265.4000000000001"/>
    <s v="Success"/>
  </r>
  <r>
    <s v="TXN14025202"/>
    <x v="2494"/>
    <x v="0"/>
    <x v="0"/>
    <n v="172500"/>
    <x v="0"/>
    <x v="7"/>
    <x v="0"/>
    <n v="3191.25"/>
    <n v="1276.5"/>
    <n v="1914.75"/>
    <s v="Success"/>
  </r>
  <r>
    <s v="TXN73614301"/>
    <x v="2495"/>
    <x v="0"/>
    <x v="3"/>
    <n v="109151"/>
    <x v="0"/>
    <x v="7"/>
    <x v="0"/>
    <n v="0"/>
    <n v="0"/>
    <n v="0"/>
    <s v="Success"/>
  </r>
  <r>
    <s v="TXN48370035"/>
    <x v="2496"/>
    <x v="0"/>
    <x v="1"/>
    <n v="106676"/>
    <x v="1"/>
    <x v="8"/>
    <x v="0"/>
    <n v="5"/>
    <n v="0"/>
    <n v="5"/>
    <s v="Success"/>
  </r>
  <r>
    <s v="TXN82901881"/>
    <x v="2497"/>
    <x v="3"/>
    <x v="2"/>
    <n v="3473"/>
    <x v="0"/>
    <x v="8"/>
    <x v="0"/>
    <n v="0"/>
    <n v="0"/>
    <n v="0"/>
    <s v="Success"/>
  </r>
  <r>
    <s v="TXN33542316"/>
    <x v="2498"/>
    <x v="4"/>
    <x v="0"/>
    <n v="95500"/>
    <x v="0"/>
    <x v="6"/>
    <x v="0"/>
    <n v="1766.75"/>
    <n v="706.7"/>
    <n v="1060.05"/>
    <s v="Failed"/>
  </r>
  <r>
    <s v="TXN54349983"/>
    <x v="2499"/>
    <x v="4"/>
    <x v="0"/>
    <n v="184000"/>
    <x v="1"/>
    <x v="2"/>
    <x v="0"/>
    <n v="3404"/>
    <n v="1361.6"/>
    <n v="2042.4"/>
    <s v="Success"/>
  </r>
  <r>
    <s v="TXN19418132"/>
    <x v="2500"/>
    <x v="1"/>
    <x v="4"/>
    <n v="63533"/>
    <x v="0"/>
    <x v="0"/>
    <x v="3"/>
    <n v="635.33000000000004"/>
    <n v="0"/>
    <n v="635.33000000000004"/>
    <s v="Success"/>
  </r>
  <r>
    <s v="TXN20255746"/>
    <x v="2501"/>
    <x v="6"/>
    <x v="4"/>
    <n v="141323"/>
    <x v="0"/>
    <x v="1"/>
    <x v="2"/>
    <n v="1413.23"/>
    <n v="0"/>
    <n v="1413.23"/>
    <s v="Success"/>
  </r>
  <r>
    <s v="TXN62169000"/>
    <x v="2502"/>
    <x v="7"/>
    <x v="2"/>
    <n v="2326"/>
    <x v="0"/>
    <x v="4"/>
    <x v="0"/>
    <n v="0"/>
    <n v="0"/>
    <n v="0"/>
    <s v="Success"/>
  </r>
  <r>
    <s v="TXN62044480"/>
    <x v="2503"/>
    <x v="6"/>
    <x v="4"/>
    <n v="116656"/>
    <x v="0"/>
    <x v="3"/>
    <x v="5"/>
    <n v="1166.56"/>
    <n v="0"/>
    <n v="1166.56"/>
    <s v="Success"/>
  </r>
  <r>
    <s v="TXN80734244"/>
    <x v="2504"/>
    <x v="3"/>
    <x v="3"/>
    <n v="98065"/>
    <x v="0"/>
    <x v="1"/>
    <x v="0"/>
    <n v="0"/>
    <n v="0"/>
    <n v="0"/>
    <s v="Success"/>
  </r>
  <r>
    <s v="TXN45808949"/>
    <x v="2505"/>
    <x v="7"/>
    <x v="0"/>
    <n v="211000"/>
    <x v="0"/>
    <x v="3"/>
    <x v="0"/>
    <n v="3903.5"/>
    <n v="1561.4"/>
    <n v="2342.1"/>
    <s v="Success"/>
  </r>
  <r>
    <s v="TXN96260647"/>
    <x v="2506"/>
    <x v="6"/>
    <x v="3"/>
    <n v="33917"/>
    <x v="0"/>
    <x v="5"/>
    <x v="0"/>
    <n v="0"/>
    <n v="0"/>
    <n v="0"/>
    <s v="Success"/>
  </r>
  <r>
    <s v="TXN94810164"/>
    <x v="2507"/>
    <x v="7"/>
    <x v="1"/>
    <n v="121621"/>
    <x v="0"/>
    <x v="7"/>
    <x v="0"/>
    <n v="5"/>
    <n v="0"/>
    <n v="5"/>
    <s v="Success"/>
  </r>
  <r>
    <s v="TXN42577872"/>
    <x v="2508"/>
    <x v="3"/>
    <x v="1"/>
    <n v="148435"/>
    <x v="0"/>
    <x v="5"/>
    <x v="0"/>
    <n v="5"/>
    <n v="0"/>
    <n v="5"/>
    <s v="Success"/>
  </r>
  <r>
    <s v="TXN57694912"/>
    <x v="2509"/>
    <x v="4"/>
    <x v="3"/>
    <n v="104309"/>
    <x v="0"/>
    <x v="0"/>
    <x v="0"/>
    <n v="0"/>
    <n v="0"/>
    <n v="0"/>
    <s v="Success"/>
  </r>
  <r>
    <s v="TXN22089714"/>
    <x v="2510"/>
    <x v="7"/>
    <x v="1"/>
    <n v="65964"/>
    <x v="1"/>
    <x v="7"/>
    <x v="0"/>
    <n v="5"/>
    <n v="0"/>
    <n v="5"/>
    <s v="Success"/>
  </r>
  <r>
    <s v="TXN91119607"/>
    <x v="2511"/>
    <x v="4"/>
    <x v="2"/>
    <n v="2331"/>
    <x v="0"/>
    <x v="7"/>
    <x v="0"/>
    <n v="0"/>
    <n v="0"/>
    <n v="0"/>
    <s v="Success"/>
  </r>
  <r>
    <s v="TXN17248423"/>
    <x v="2512"/>
    <x v="6"/>
    <x v="1"/>
    <n v="51121"/>
    <x v="0"/>
    <x v="8"/>
    <x v="0"/>
    <n v="5"/>
    <n v="0"/>
    <n v="5"/>
    <s v="Success"/>
  </r>
  <r>
    <s v="TXN39210855"/>
    <x v="2513"/>
    <x v="1"/>
    <x v="3"/>
    <n v="15776"/>
    <x v="0"/>
    <x v="4"/>
    <x v="0"/>
    <n v="0"/>
    <n v="0"/>
    <n v="0"/>
    <s v="Success"/>
  </r>
  <r>
    <s v="TXN76454223"/>
    <x v="2514"/>
    <x v="3"/>
    <x v="3"/>
    <n v="81484"/>
    <x v="0"/>
    <x v="8"/>
    <x v="0"/>
    <n v="0"/>
    <n v="0"/>
    <n v="0"/>
    <s v="Success"/>
  </r>
  <r>
    <s v="TXN70678184"/>
    <x v="2515"/>
    <x v="6"/>
    <x v="3"/>
    <n v="99153"/>
    <x v="0"/>
    <x v="5"/>
    <x v="0"/>
    <n v="0"/>
    <n v="0"/>
    <n v="0"/>
    <s v="Success"/>
  </r>
  <r>
    <s v="TXN15062253"/>
    <x v="2516"/>
    <x v="3"/>
    <x v="4"/>
    <n v="36883"/>
    <x v="0"/>
    <x v="6"/>
    <x v="3"/>
    <n v="368.83"/>
    <n v="0"/>
    <n v="368.83"/>
    <s v="Success"/>
  </r>
  <r>
    <s v="TXN81634075"/>
    <x v="2517"/>
    <x v="6"/>
    <x v="4"/>
    <n v="33490"/>
    <x v="0"/>
    <x v="0"/>
    <x v="5"/>
    <n v="334.9"/>
    <n v="0"/>
    <n v="334.9"/>
    <s v="Success"/>
  </r>
  <r>
    <s v="TXN60579526"/>
    <x v="2518"/>
    <x v="0"/>
    <x v="4"/>
    <n v="33338"/>
    <x v="0"/>
    <x v="5"/>
    <x v="1"/>
    <n v="333.38"/>
    <n v="0"/>
    <n v="333.38"/>
    <s v="Success"/>
  </r>
  <r>
    <s v="TXN89076446"/>
    <x v="2519"/>
    <x v="4"/>
    <x v="3"/>
    <n v="105510"/>
    <x v="0"/>
    <x v="6"/>
    <x v="0"/>
    <n v="0"/>
    <n v="0"/>
    <n v="0"/>
    <s v="Success"/>
  </r>
  <r>
    <s v="TXN78771861"/>
    <x v="2520"/>
    <x v="4"/>
    <x v="3"/>
    <n v="113383"/>
    <x v="0"/>
    <x v="0"/>
    <x v="0"/>
    <n v="0"/>
    <n v="0"/>
    <n v="0"/>
    <s v="Success"/>
  </r>
  <r>
    <s v="TXN11778331"/>
    <x v="2521"/>
    <x v="3"/>
    <x v="4"/>
    <n v="13826"/>
    <x v="0"/>
    <x v="7"/>
    <x v="5"/>
    <n v="138.26"/>
    <n v="0"/>
    <n v="138.26"/>
    <s v="Success"/>
  </r>
  <r>
    <s v="TXN48257953"/>
    <x v="2522"/>
    <x v="6"/>
    <x v="1"/>
    <n v="130733"/>
    <x v="0"/>
    <x v="0"/>
    <x v="0"/>
    <n v="5"/>
    <n v="0"/>
    <n v="5"/>
    <s v="Success"/>
  </r>
  <r>
    <s v="TXN36243463"/>
    <x v="2523"/>
    <x v="0"/>
    <x v="0"/>
    <n v="55500"/>
    <x v="0"/>
    <x v="6"/>
    <x v="0"/>
    <n v="1026.75"/>
    <n v="410.7"/>
    <n v="616.04999999999995"/>
    <s v="Success"/>
  </r>
  <r>
    <s v="TXN99909970"/>
    <x v="2524"/>
    <x v="5"/>
    <x v="1"/>
    <n v="144208"/>
    <x v="2"/>
    <x v="3"/>
    <x v="0"/>
    <n v="5"/>
    <n v="0"/>
    <n v="5"/>
    <s v="Success"/>
  </r>
  <r>
    <s v="TXN59423703"/>
    <x v="2525"/>
    <x v="0"/>
    <x v="1"/>
    <n v="29606"/>
    <x v="0"/>
    <x v="6"/>
    <x v="0"/>
    <n v="5"/>
    <n v="0"/>
    <n v="5"/>
    <s v="Success"/>
  </r>
  <r>
    <s v="TXN77664110"/>
    <x v="2526"/>
    <x v="7"/>
    <x v="0"/>
    <n v="168000"/>
    <x v="0"/>
    <x v="8"/>
    <x v="0"/>
    <n v="3108"/>
    <n v="1243.2"/>
    <n v="1864.8"/>
    <s v="Success"/>
  </r>
  <r>
    <s v="TXN89124485"/>
    <x v="2527"/>
    <x v="5"/>
    <x v="4"/>
    <n v="139013"/>
    <x v="0"/>
    <x v="6"/>
    <x v="2"/>
    <n v="1390.13"/>
    <n v="0"/>
    <n v="1390.13"/>
    <s v="Success"/>
  </r>
  <r>
    <s v="TXN24089367"/>
    <x v="2528"/>
    <x v="4"/>
    <x v="2"/>
    <n v="2547"/>
    <x v="0"/>
    <x v="5"/>
    <x v="0"/>
    <n v="0"/>
    <n v="0"/>
    <n v="0"/>
    <s v="Success"/>
  </r>
  <r>
    <s v="TXN89801466"/>
    <x v="2529"/>
    <x v="7"/>
    <x v="1"/>
    <n v="122892"/>
    <x v="0"/>
    <x v="5"/>
    <x v="0"/>
    <n v="5"/>
    <n v="0"/>
    <n v="5"/>
    <s v="Success"/>
  </r>
  <r>
    <s v="TXN52121675"/>
    <x v="2530"/>
    <x v="1"/>
    <x v="4"/>
    <n v="23072"/>
    <x v="1"/>
    <x v="6"/>
    <x v="5"/>
    <n v="230.72"/>
    <n v="0"/>
    <n v="230.72"/>
    <s v="Success"/>
  </r>
  <r>
    <s v="TXN86067573"/>
    <x v="2531"/>
    <x v="0"/>
    <x v="4"/>
    <n v="103635"/>
    <x v="0"/>
    <x v="4"/>
    <x v="3"/>
    <n v="1036.3499999999999"/>
    <n v="0"/>
    <n v="1036.3499999999999"/>
    <s v="Success"/>
  </r>
  <r>
    <s v="TXN34939035"/>
    <x v="2532"/>
    <x v="0"/>
    <x v="1"/>
    <n v="120235"/>
    <x v="0"/>
    <x v="3"/>
    <x v="0"/>
    <n v="5"/>
    <n v="0"/>
    <n v="5"/>
    <s v="Failed"/>
  </r>
  <r>
    <s v="TXN14441967"/>
    <x v="2533"/>
    <x v="7"/>
    <x v="1"/>
    <n v="12350"/>
    <x v="0"/>
    <x v="4"/>
    <x v="0"/>
    <n v="5"/>
    <n v="0"/>
    <n v="5"/>
    <s v="Success"/>
  </r>
  <r>
    <s v="TXN59507962"/>
    <x v="2534"/>
    <x v="3"/>
    <x v="4"/>
    <n v="64884"/>
    <x v="0"/>
    <x v="0"/>
    <x v="5"/>
    <n v="648.84"/>
    <n v="0"/>
    <n v="648.84"/>
    <s v="Success"/>
  </r>
  <r>
    <s v="TXN57065350"/>
    <x v="2535"/>
    <x v="3"/>
    <x v="0"/>
    <n v="188500"/>
    <x v="0"/>
    <x v="5"/>
    <x v="0"/>
    <n v="3487.25"/>
    <n v="1394.9"/>
    <n v="2092.35"/>
    <s v="Success"/>
  </r>
  <r>
    <s v="TXN39299034"/>
    <x v="2536"/>
    <x v="5"/>
    <x v="1"/>
    <n v="24917"/>
    <x v="0"/>
    <x v="3"/>
    <x v="0"/>
    <n v="5"/>
    <n v="0"/>
    <n v="5"/>
    <s v="Success"/>
  </r>
  <r>
    <s v="TXN29886242"/>
    <x v="2537"/>
    <x v="4"/>
    <x v="4"/>
    <n v="20254"/>
    <x v="0"/>
    <x v="3"/>
    <x v="4"/>
    <n v="202.54"/>
    <n v="0"/>
    <n v="202.54"/>
    <s v="Success"/>
  </r>
  <r>
    <s v="TXN25161920"/>
    <x v="2538"/>
    <x v="7"/>
    <x v="2"/>
    <n v="2008"/>
    <x v="0"/>
    <x v="3"/>
    <x v="0"/>
    <n v="0"/>
    <n v="0"/>
    <n v="0"/>
    <s v="Failed"/>
  </r>
  <r>
    <s v="TXN49051551"/>
    <x v="2539"/>
    <x v="1"/>
    <x v="2"/>
    <n v="1577"/>
    <x v="1"/>
    <x v="6"/>
    <x v="0"/>
    <n v="0"/>
    <n v="0"/>
    <n v="0"/>
    <s v="Success"/>
  </r>
  <r>
    <s v="TXN57365431"/>
    <x v="2540"/>
    <x v="2"/>
    <x v="0"/>
    <n v="179500"/>
    <x v="0"/>
    <x v="2"/>
    <x v="0"/>
    <n v="3320.75"/>
    <n v="1328.3"/>
    <n v="1992.45"/>
    <s v="Success"/>
  </r>
  <r>
    <s v="TXN97615271"/>
    <x v="2541"/>
    <x v="5"/>
    <x v="0"/>
    <n v="163500"/>
    <x v="0"/>
    <x v="4"/>
    <x v="0"/>
    <n v="3024.75"/>
    <n v="1209.9000000000001"/>
    <n v="1814.85"/>
    <s v="Success"/>
  </r>
  <r>
    <s v="TXN52379401"/>
    <x v="2542"/>
    <x v="4"/>
    <x v="1"/>
    <n v="92858"/>
    <x v="0"/>
    <x v="1"/>
    <x v="0"/>
    <n v="5"/>
    <n v="0"/>
    <n v="5"/>
    <s v="Success"/>
  </r>
  <r>
    <s v="TXN13428900"/>
    <x v="2543"/>
    <x v="7"/>
    <x v="4"/>
    <n v="108497"/>
    <x v="0"/>
    <x v="1"/>
    <x v="3"/>
    <n v="1084.97"/>
    <n v="0"/>
    <n v="1084.97"/>
    <s v="Success"/>
  </r>
  <r>
    <s v="TXN95630258"/>
    <x v="2544"/>
    <x v="6"/>
    <x v="2"/>
    <n v="544"/>
    <x v="0"/>
    <x v="7"/>
    <x v="0"/>
    <n v="0"/>
    <n v="0"/>
    <n v="0"/>
    <s v="Success"/>
  </r>
  <r>
    <s v="TXN35788238"/>
    <x v="2545"/>
    <x v="7"/>
    <x v="0"/>
    <n v="203000"/>
    <x v="0"/>
    <x v="7"/>
    <x v="0"/>
    <n v="3755.5"/>
    <n v="1502.2"/>
    <n v="2253.3000000000002"/>
    <s v="Success"/>
  </r>
  <r>
    <s v="TXN78150028"/>
    <x v="2546"/>
    <x v="1"/>
    <x v="4"/>
    <n v="147796"/>
    <x v="0"/>
    <x v="2"/>
    <x v="2"/>
    <n v="1477.96"/>
    <n v="0"/>
    <n v="1477.96"/>
    <s v="Success"/>
  </r>
  <r>
    <s v="TXN75976619"/>
    <x v="2547"/>
    <x v="2"/>
    <x v="1"/>
    <n v="37593"/>
    <x v="0"/>
    <x v="8"/>
    <x v="0"/>
    <n v="5"/>
    <n v="0"/>
    <n v="5"/>
    <s v="Success"/>
  </r>
  <r>
    <s v="TXN90510594"/>
    <x v="2548"/>
    <x v="1"/>
    <x v="0"/>
    <n v="243000"/>
    <x v="0"/>
    <x v="7"/>
    <x v="0"/>
    <n v="4495.5"/>
    <n v="1798.2"/>
    <n v="2697.3"/>
    <s v="Success"/>
  </r>
  <r>
    <s v="TXN71921519"/>
    <x v="2549"/>
    <x v="3"/>
    <x v="4"/>
    <n v="41477"/>
    <x v="0"/>
    <x v="8"/>
    <x v="1"/>
    <n v="414.77"/>
    <n v="0"/>
    <n v="414.77"/>
    <s v="Success"/>
  </r>
  <r>
    <s v="TXN82509034"/>
    <x v="2550"/>
    <x v="4"/>
    <x v="4"/>
    <n v="141682"/>
    <x v="0"/>
    <x v="4"/>
    <x v="2"/>
    <n v="1416.82"/>
    <n v="0"/>
    <n v="1416.82"/>
    <s v="Success"/>
  </r>
  <r>
    <s v="TXN40816577"/>
    <x v="2551"/>
    <x v="2"/>
    <x v="4"/>
    <n v="12351"/>
    <x v="0"/>
    <x v="2"/>
    <x v="3"/>
    <n v="123.51"/>
    <n v="0"/>
    <n v="123.51"/>
    <s v="Success"/>
  </r>
  <r>
    <s v="TXN99047404"/>
    <x v="2552"/>
    <x v="2"/>
    <x v="2"/>
    <n v="3360"/>
    <x v="0"/>
    <x v="7"/>
    <x v="0"/>
    <n v="0"/>
    <n v="0"/>
    <n v="0"/>
    <s v="Success"/>
  </r>
  <r>
    <s v="TXN92859769"/>
    <x v="2553"/>
    <x v="2"/>
    <x v="1"/>
    <n v="49911"/>
    <x v="0"/>
    <x v="4"/>
    <x v="0"/>
    <n v="5"/>
    <n v="0"/>
    <n v="5"/>
    <s v="Success"/>
  </r>
  <r>
    <s v="TXN16945401"/>
    <x v="2554"/>
    <x v="5"/>
    <x v="1"/>
    <n v="5392"/>
    <x v="0"/>
    <x v="4"/>
    <x v="0"/>
    <n v="5"/>
    <n v="0"/>
    <n v="5"/>
    <s v="Success"/>
  </r>
  <r>
    <s v="TXN60046957"/>
    <x v="2555"/>
    <x v="5"/>
    <x v="1"/>
    <n v="15508"/>
    <x v="0"/>
    <x v="8"/>
    <x v="0"/>
    <n v="5"/>
    <n v="0"/>
    <n v="5"/>
    <s v="Success"/>
  </r>
  <r>
    <s v="TXN54250173"/>
    <x v="2556"/>
    <x v="6"/>
    <x v="2"/>
    <n v="2076"/>
    <x v="0"/>
    <x v="3"/>
    <x v="0"/>
    <n v="0"/>
    <n v="0"/>
    <n v="0"/>
    <s v="Success"/>
  </r>
  <r>
    <s v="TXN53735698"/>
    <x v="2557"/>
    <x v="2"/>
    <x v="0"/>
    <n v="130500"/>
    <x v="1"/>
    <x v="3"/>
    <x v="0"/>
    <n v="2414.25"/>
    <n v="965.7"/>
    <n v="1448.55"/>
    <s v="Success"/>
  </r>
  <r>
    <s v="TXN66214531"/>
    <x v="2558"/>
    <x v="0"/>
    <x v="2"/>
    <n v="3236"/>
    <x v="0"/>
    <x v="7"/>
    <x v="0"/>
    <n v="0"/>
    <n v="0"/>
    <n v="0"/>
    <s v="Success"/>
  </r>
  <r>
    <s v="TXN36672932"/>
    <x v="2559"/>
    <x v="1"/>
    <x v="4"/>
    <n v="30719"/>
    <x v="0"/>
    <x v="6"/>
    <x v="5"/>
    <n v="307.19"/>
    <n v="0"/>
    <n v="307.19"/>
    <s v="Success"/>
  </r>
  <r>
    <s v="TXN78001432"/>
    <x v="2560"/>
    <x v="4"/>
    <x v="0"/>
    <n v="165000"/>
    <x v="1"/>
    <x v="8"/>
    <x v="0"/>
    <n v="3052.5"/>
    <n v="1221"/>
    <n v="1831.5"/>
    <s v="Success"/>
  </r>
  <r>
    <s v="TXN29493986"/>
    <x v="2561"/>
    <x v="6"/>
    <x v="1"/>
    <n v="28684"/>
    <x v="0"/>
    <x v="7"/>
    <x v="0"/>
    <n v="5"/>
    <n v="0"/>
    <n v="5"/>
    <s v="Success"/>
  </r>
  <r>
    <s v="TXN36454157"/>
    <x v="2562"/>
    <x v="0"/>
    <x v="3"/>
    <n v="52768"/>
    <x v="0"/>
    <x v="7"/>
    <x v="0"/>
    <n v="0"/>
    <n v="0"/>
    <n v="0"/>
    <s v="Success"/>
  </r>
  <r>
    <s v="TXN16106868"/>
    <x v="2563"/>
    <x v="5"/>
    <x v="0"/>
    <n v="53500"/>
    <x v="0"/>
    <x v="4"/>
    <x v="0"/>
    <n v="989.75"/>
    <n v="395.9"/>
    <n v="593.85"/>
    <s v="Success"/>
  </r>
  <r>
    <s v="TXN42993389"/>
    <x v="2564"/>
    <x v="5"/>
    <x v="4"/>
    <n v="58638"/>
    <x v="0"/>
    <x v="4"/>
    <x v="5"/>
    <n v="586.38"/>
    <n v="0"/>
    <n v="586.38"/>
    <s v="Success"/>
  </r>
  <r>
    <s v="TXN68996716"/>
    <x v="2565"/>
    <x v="0"/>
    <x v="2"/>
    <n v="3702"/>
    <x v="1"/>
    <x v="5"/>
    <x v="0"/>
    <n v="0"/>
    <n v="0"/>
    <n v="0"/>
    <s v="Success"/>
  </r>
  <r>
    <s v="TXN62821563"/>
    <x v="2566"/>
    <x v="6"/>
    <x v="3"/>
    <n v="36986"/>
    <x v="0"/>
    <x v="2"/>
    <x v="0"/>
    <n v="0"/>
    <n v="0"/>
    <n v="0"/>
    <s v="Success"/>
  </r>
  <r>
    <s v="TXN97503627"/>
    <x v="2567"/>
    <x v="3"/>
    <x v="1"/>
    <n v="51617"/>
    <x v="0"/>
    <x v="0"/>
    <x v="0"/>
    <n v="5"/>
    <n v="0"/>
    <n v="5"/>
    <s v="Success"/>
  </r>
  <r>
    <s v="TXN59453117"/>
    <x v="2568"/>
    <x v="3"/>
    <x v="0"/>
    <n v="143000"/>
    <x v="0"/>
    <x v="3"/>
    <x v="0"/>
    <n v="2645.5"/>
    <n v="1058.2"/>
    <n v="1587.3"/>
    <s v="Success"/>
  </r>
  <r>
    <s v="TXN17891223"/>
    <x v="2569"/>
    <x v="0"/>
    <x v="0"/>
    <n v="46000"/>
    <x v="0"/>
    <x v="0"/>
    <x v="0"/>
    <n v="851"/>
    <n v="340.4"/>
    <n v="510.6"/>
    <s v="Success"/>
  </r>
  <r>
    <s v="TXN40003304"/>
    <x v="2570"/>
    <x v="1"/>
    <x v="3"/>
    <n v="82792"/>
    <x v="1"/>
    <x v="7"/>
    <x v="0"/>
    <n v="0"/>
    <n v="0"/>
    <n v="0"/>
    <s v="Success"/>
  </r>
  <r>
    <s v="TXN51713578"/>
    <x v="2571"/>
    <x v="7"/>
    <x v="1"/>
    <n v="105266"/>
    <x v="0"/>
    <x v="6"/>
    <x v="0"/>
    <n v="5"/>
    <n v="0"/>
    <n v="5"/>
    <s v="Success"/>
  </r>
  <r>
    <s v="TXN50871532"/>
    <x v="2572"/>
    <x v="3"/>
    <x v="4"/>
    <n v="76002"/>
    <x v="0"/>
    <x v="2"/>
    <x v="4"/>
    <n v="760.02"/>
    <n v="0"/>
    <n v="760.02"/>
    <s v="Success"/>
  </r>
  <r>
    <s v="TXN26170950"/>
    <x v="2573"/>
    <x v="3"/>
    <x v="0"/>
    <n v="175500"/>
    <x v="1"/>
    <x v="5"/>
    <x v="0"/>
    <n v="3246.75"/>
    <n v="1298.7"/>
    <n v="1948.05"/>
    <s v="Success"/>
  </r>
  <r>
    <s v="TXN27533714"/>
    <x v="2574"/>
    <x v="0"/>
    <x v="0"/>
    <n v="140500"/>
    <x v="0"/>
    <x v="3"/>
    <x v="0"/>
    <n v="2599.25"/>
    <n v="1039.7"/>
    <n v="1559.55"/>
    <s v="Success"/>
  </r>
  <r>
    <s v="TXN17106754"/>
    <x v="2575"/>
    <x v="4"/>
    <x v="4"/>
    <n v="135033"/>
    <x v="0"/>
    <x v="8"/>
    <x v="4"/>
    <n v="1350.33"/>
    <n v="0"/>
    <n v="1350.33"/>
    <s v="Success"/>
  </r>
  <r>
    <s v="TXN93833426"/>
    <x v="2576"/>
    <x v="0"/>
    <x v="3"/>
    <n v="69010"/>
    <x v="0"/>
    <x v="7"/>
    <x v="0"/>
    <n v="0"/>
    <n v="0"/>
    <n v="0"/>
    <s v="Success"/>
  </r>
  <r>
    <s v="TXN86240329"/>
    <x v="2577"/>
    <x v="2"/>
    <x v="1"/>
    <n v="120279"/>
    <x v="0"/>
    <x v="2"/>
    <x v="0"/>
    <n v="5"/>
    <n v="0"/>
    <n v="5"/>
    <s v="Success"/>
  </r>
  <r>
    <s v="TXN36217359"/>
    <x v="2578"/>
    <x v="0"/>
    <x v="1"/>
    <n v="33596"/>
    <x v="0"/>
    <x v="5"/>
    <x v="0"/>
    <n v="5"/>
    <n v="0"/>
    <n v="5"/>
    <s v="Success"/>
  </r>
  <r>
    <s v="TXN29320776"/>
    <x v="2579"/>
    <x v="5"/>
    <x v="2"/>
    <n v="2401"/>
    <x v="1"/>
    <x v="5"/>
    <x v="0"/>
    <n v="0"/>
    <n v="0"/>
    <n v="0"/>
    <s v="Success"/>
  </r>
  <r>
    <s v="TXN81667693"/>
    <x v="2580"/>
    <x v="3"/>
    <x v="3"/>
    <n v="89423"/>
    <x v="0"/>
    <x v="7"/>
    <x v="0"/>
    <n v="0"/>
    <n v="0"/>
    <n v="0"/>
    <s v="Success"/>
  </r>
  <r>
    <s v="TXN46244592"/>
    <x v="2581"/>
    <x v="3"/>
    <x v="1"/>
    <n v="29447"/>
    <x v="0"/>
    <x v="5"/>
    <x v="0"/>
    <n v="5"/>
    <n v="0"/>
    <n v="5"/>
    <s v="Success"/>
  </r>
  <r>
    <s v="TXN91308956"/>
    <x v="2582"/>
    <x v="4"/>
    <x v="4"/>
    <n v="65449"/>
    <x v="0"/>
    <x v="8"/>
    <x v="3"/>
    <n v="654.49"/>
    <n v="0"/>
    <n v="654.49"/>
    <s v="Success"/>
  </r>
  <r>
    <s v="TXN48377496"/>
    <x v="2583"/>
    <x v="0"/>
    <x v="2"/>
    <n v="259"/>
    <x v="0"/>
    <x v="3"/>
    <x v="0"/>
    <n v="0"/>
    <n v="0"/>
    <n v="0"/>
    <s v="Success"/>
  </r>
  <r>
    <s v="TXN36552900"/>
    <x v="2584"/>
    <x v="4"/>
    <x v="4"/>
    <n v="33869"/>
    <x v="1"/>
    <x v="8"/>
    <x v="3"/>
    <n v="338.69"/>
    <n v="0"/>
    <n v="338.69"/>
    <s v="Success"/>
  </r>
  <r>
    <s v="TXN54080023"/>
    <x v="2585"/>
    <x v="1"/>
    <x v="2"/>
    <n v="1648"/>
    <x v="0"/>
    <x v="4"/>
    <x v="0"/>
    <n v="0"/>
    <n v="0"/>
    <n v="0"/>
    <s v="Success"/>
  </r>
  <r>
    <s v="TXN85306859"/>
    <x v="2586"/>
    <x v="0"/>
    <x v="1"/>
    <n v="85008"/>
    <x v="0"/>
    <x v="7"/>
    <x v="0"/>
    <n v="5"/>
    <n v="0"/>
    <n v="5"/>
    <s v="Success"/>
  </r>
  <r>
    <s v="TXN49208750"/>
    <x v="2587"/>
    <x v="2"/>
    <x v="1"/>
    <n v="61242"/>
    <x v="0"/>
    <x v="6"/>
    <x v="0"/>
    <n v="5"/>
    <n v="0"/>
    <n v="5"/>
    <s v="Failed"/>
  </r>
  <r>
    <s v="TXN98662804"/>
    <x v="2588"/>
    <x v="0"/>
    <x v="3"/>
    <n v="68334"/>
    <x v="0"/>
    <x v="2"/>
    <x v="0"/>
    <n v="0"/>
    <n v="0"/>
    <n v="0"/>
    <s v="Success"/>
  </r>
  <r>
    <s v="TXN49061210"/>
    <x v="2589"/>
    <x v="3"/>
    <x v="0"/>
    <n v="15500"/>
    <x v="0"/>
    <x v="1"/>
    <x v="0"/>
    <n v="286.75"/>
    <n v="114.7"/>
    <n v="172.05"/>
    <s v="Failed"/>
  </r>
  <r>
    <s v="TXN55094678"/>
    <x v="2590"/>
    <x v="5"/>
    <x v="0"/>
    <n v="151500"/>
    <x v="0"/>
    <x v="5"/>
    <x v="0"/>
    <n v="2802.75"/>
    <n v="1121.0999999999999"/>
    <n v="1681.65"/>
    <s v="Success"/>
  </r>
  <r>
    <s v="TXN59469488"/>
    <x v="2591"/>
    <x v="2"/>
    <x v="2"/>
    <n v="932"/>
    <x v="2"/>
    <x v="4"/>
    <x v="0"/>
    <n v="0"/>
    <n v="0"/>
    <n v="0"/>
    <s v="Success"/>
  </r>
  <r>
    <s v="TXN56402173"/>
    <x v="2592"/>
    <x v="5"/>
    <x v="1"/>
    <n v="85031"/>
    <x v="0"/>
    <x v="5"/>
    <x v="0"/>
    <n v="5"/>
    <n v="0"/>
    <n v="5"/>
    <s v="Success"/>
  </r>
  <r>
    <s v="TXN22303558"/>
    <x v="2593"/>
    <x v="6"/>
    <x v="0"/>
    <n v="215500"/>
    <x v="0"/>
    <x v="4"/>
    <x v="0"/>
    <n v="3986.75"/>
    <n v="1594.7"/>
    <n v="2392.0500000000002"/>
    <s v="Success"/>
  </r>
  <r>
    <s v="TXN36151308"/>
    <x v="2594"/>
    <x v="6"/>
    <x v="4"/>
    <n v="46092"/>
    <x v="1"/>
    <x v="4"/>
    <x v="4"/>
    <n v="460.92"/>
    <n v="0"/>
    <n v="460.92"/>
    <s v="Success"/>
  </r>
  <r>
    <s v="TXN12853919"/>
    <x v="2595"/>
    <x v="0"/>
    <x v="1"/>
    <n v="21420"/>
    <x v="0"/>
    <x v="8"/>
    <x v="0"/>
    <n v="5"/>
    <n v="0"/>
    <n v="5"/>
    <s v="Failed"/>
  </r>
  <r>
    <s v="TXN61592857"/>
    <x v="2596"/>
    <x v="5"/>
    <x v="0"/>
    <n v="163500"/>
    <x v="0"/>
    <x v="1"/>
    <x v="0"/>
    <n v="3024.75"/>
    <n v="1209.9000000000001"/>
    <n v="1814.85"/>
    <s v="Success"/>
  </r>
  <r>
    <s v="TXN74859372"/>
    <x v="2597"/>
    <x v="3"/>
    <x v="3"/>
    <n v="28523"/>
    <x v="2"/>
    <x v="7"/>
    <x v="0"/>
    <n v="0"/>
    <n v="0"/>
    <n v="0"/>
    <s v="Success"/>
  </r>
  <r>
    <s v="TXN41960816"/>
    <x v="2598"/>
    <x v="2"/>
    <x v="4"/>
    <n v="40151"/>
    <x v="0"/>
    <x v="1"/>
    <x v="1"/>
    <n v="401.51"/>
    <n v="0"/>
    <n v="401.51"/>
    <s v="Success"/>
  </r>
  <r>
    <s v="TXN15402589"/>
    <x v="2599"/>
    <x v="5"/>
    <x v="2"/>
    <n v="207"/>
    <x v="0"/>
    <x v="7"/>
    <x v="0"/>
    <n v="0"/>
    <n v="0"/>
    <n v="0"/>
    <s v="Success"/>
  </r>
  <r>
    <s v="TXN30966400"/>
    <x v="2600"/>
    <x v="4"/>
    <x v="1"/>
    <n v="143576"/>
    <x v="0"/>
    <x v="8"/>
    <x v="0"/>
    <n v="5"/>
    <n v="0"/>
    <n v="5"/>
    <s v="Success"/>
  </r>
  <r>
    <s v="TXN99289899"/>
    <x v="2601"/>
    <x v="2"/>
    <x v="4"/>
    <n v="14942"/>
    <x v="0"/>
    <x v="5"/>
    <x v="4"/>
    <n v="149.41999999999999"/>
    <n v="0"/>
    <n v="149.41999999999999"/>
    <s v="Success"/>
  </r>
  <r>
    <s v="TXN22140121"/>
    <x v="2602"/>
    <x v="3"/>
    <x v="4"/>
    <n v="30089"/>
    <x v="0"/>
    <x v="0"/>
    <x v="5"/>
    <n v="300.89"/>
    <n v="0"/>
    <n v="300.89"/>
    <s v="Success"/>
  </r>
  <r>
    <s v="TXN61324074"/>
    <x v="2603"/>
    <x v="1"/>
    <x v="4"/>
    <n v="9769"/>
    <x v="0"/>
    <x v="8"/>
    <x v="4"/>
    <n v="97.69"/>
    <n v="0"/>
    <n v="97.69"/>
    <s v="Success"/>
  </r>
  <r>
    <s v="TXN68169141"/>
    <x v="2604"/>
    <x v="3"/>
    <x v="3"/>
    <n v="99768"/>
    <x v="0"/>
    <x v="8"/>
    <x v="0"/>
    <n v="0"/>
    <n v="0"/>
    <n v="0"/>
    <s v="Success"/>
  </r>
  <r>
    <s v="TXN93827229"/>
    <x v="2605"/>
    <x v="4"/>
    <x v="1"/>
    <n v="107541"/>
    <x v="0"/>
    <x v="5"/>
    <x v="0"/>
    <n v="5"/>
    <n v="0"/>
    <n v="5"/>
    <s v="Success"/>
  </r>
  <r>
    <s v="TXN40624207"/>
    <x v="2606"/>
    <x v="6"/>
    <x v="3"/>
    <n v="144883"/>
    <x v="0"/>
    <x v="2"/>
    <x v="0"/>
    <n v="0"/>
    <n v="0"/>
    <n v="0"/>
    <s v="Success"/>
  </r>
  <r>
    <s v="TXN42490374"/>
    <x v="2607"/>
    <x v="2"/>
    <x v="4"/>
    <n v="18177"/>
    <x v="0"/>
    <x v="1"/>
    <x v="3"/>
    <n v="181.77"/>
    <n v="0"/>
    <n v="181.77"/>
    <s v="Success"/>
  </r>
  <r>
    <s v="TXN60305802"/>
    <x v="2608"/>
    <x v="6"/>
    <x v="3"/>
    <n v="146202"/>
    <x v="1"/>
    <x v="3"/>
    <x v="0"/>
    <n v="0"/>
    <n v="0"/>
    <n v="0"/>
    <s v="Success"/>
  </r>
  <r>
    <s v="TXN32584296"/>
    <x v="2609"/>
    <x v="5"/>
    <x v="2"/>
    <n v="556"/>
    <x v="0"/>
    <x v="2"/>
    <x v="0"/>
    <n v="0"/>
    <n v="0"/>
    <n v="0"/>
    <s v="Failed"/>
  </r>
  <r>
    <s v="TXN63561147"/>
    <x v="2610"/>
    <x v="3"/>
    <x v="0"/>
    <n v="147500"/>
    <x v="0"/>
    <x v="7"/>
    <x v="0"/>
    <n v="2728.75"/>
    <n v="1091.5"/>
    <n v="1637.25"/>
    <s v="Success"/>
  </r>
  <r>
    <s v="TXN16411964"/>
    <x v="2611"/>
    <x v="6"/>
    <x v="0"/>
    <n v="1500"/>
    <x v="0"/>
    <x v="6"/>
    <x v="0"/>
    <n v="27.75"/>
    <n v="11.1"/>
    <n v="16.649999999999999"/>
    <s v="Success"/>
  </r>
  <r>
    <s v="TXN19672340"/>
    <x v="2612"/>
    <x v="2"/>
    <x v="2"/>
    <n v="3924"/>
    <x v="0"/>
    <x v="5"/>
    <x v="0"/>
    <n v="0"/>
    <n v="0"/>
    <n v="0"/>
    <s v="Success"/>
  </r>
  <r>
    <s v="TXN37501229"/>
    <x v="2613"/>
    <x v="6"/>
    <x v="4"/>
    <n v="21876"/>
    <x v="0"/>
    <x v="3"/>
    <x v="3"/>
    <n v="218.76"/>
    <n v="0"/>
    <n v="218.76"/>
    <s v="Success"/>
  </r>
  <r>
    <s v="TXN80364136"/>
    <x v="2614"/>
    <x v="3"/>
    <x v="3"/>
    <n v="53331"/>
    <x v="0"/>
    <x v="2"/>
    <x v="0"/>
    <n v="0"/>
    <n v="0"/>
    <n v="0"/>
    <s v="Success"/>
  </r>
  <r>
    <s v="TXN39108075"/>
    <x v="2615"/>
    <x v="4"/>
    <x v="3"/>
    <n v="53382"/>
    <x v="0"/>
    <x v="7"/>
    <x v="0"/>
    <n v="0"/>
    <n v="0"/>
    <n v="0"/>
    <s v="Success"/>
  </r>
  <r>
    <s v="TXN25984288"/>
    <x v="2616"/>
    <x v="5"/>
    <x v="4"/>
    <n v="37243"/>
    <x v="0"/>
    <x v="8"/>
    <x v="2"/>
    <n v="372.43"/>
    <n v="0"/>
    <n v="372.43"/>
    <s v="Success"/>
  </r>
  <r>
    <s v="TXN23336658"/>
    <x v="2617"/>
    <x v="5"/>
    <x v="4"/>
    <n v="40094"/>
    <x v="0"/>
    <x v="7"/>
    <x v="4"/>
    <n v="400.94"/>
    <n v="0"/>
    <n v="400.94"/>
    <s v="Success"/>
  </r>
  <r>
    <s v="TXN50761334"/>
    <x v="2618"/>
    <x v="3"/>
    <x v="3"/>
    <n v="52831"/>
    <x v="0"/>
    <x v="5"/>
    <x v="0"/>
    <n v="0"/>
    <n v="0"/>
    <n v="0"/>
    <s v="Success"/>
  </r>
  <r>
    <s v="TXN79522424"/>
    <x v="2619"/>
    <x v="3"/>
    <x v="1"/>
    <n v="49816"/>
    <x v="0"/>
    <x v="8"/>
    <x v="0"/>
    <n v="5"/>
    <n v="0"/>
    <n v="5"/>
    <s v="Success"/>
  </r>
  <r>
    <s v="TXN60141563"/>
    <x v="2620"/>
    <x v="7"/>
    <x v="3"/>
    <n v="17339"/>
    <x v="0"/>
    <x v="2"/>
    <x v="0"/>
    <n v="0"/>
    <n v="0"/>
    <n v="0"/>
    <s v="Success"/>
  </r>
  <r>
    <s v="TXN27553494"/>
    <x v="2621"/>
    <x v="4"/>
    <x v="1"/>
    <n v="43211"/>
    <x v="1"/>
    <x v="4"/>
    <x v="0"/>
    <n v="5"/>
    <n v="0"/>
    <n v="5"/>
    <s v="Success"/>
  </r>
  <r>
    <s v="TXN32533020"/>
    <x v="2622"/>
    <x v="2"/>
    <x v="0"/>
    <n v="90000"/>
    <x v="1"/>
    <x v="4"/>
    <x v="0"/>
    <n v="1665"/>
    <n v="666"/>
    <n v="999"/>
    <s v="Success"/>
  </r>
  <r>
    <s v="TXN99942893"/>
    <x v="2623"/>
    <x v="0"/>
    <x v="3"/>
    <n v="53013"/>
    <x v="0"/>
    <x v="1"/>
    <x v="0"/>
    <n v="0"/>
    <n v="0"/>
    <n v="0"/>
    <s v="Success"/>
  </r>
  <r>
    <s v="TXN49312495"/>
    <x v="2624"/>
    <x v="0"/>
    <x v="0"/>
    <n v="218000"/>
    <x v="1"/>
    <x v="4"/>
    <x v="0"/>
    <n v="4033"/>
    <n v="1613.2"/>
    <n v="2419.8000000000002"/>
    <s v="Success"/>
  </r>
  <r>
    <s v="TXN60329836"/>
    <x v="2625"/>
    <x v="0"/>
    <x v="2"/>
    <n v="4068"/>
    <x v="0"/>
    <x v="1"/>
    <x v="0"/>
    <n v="0"/>
    <n v="0"/>
    <n v="0"/>
    <s v="Success"/>
  </r>
  <r>
    <s v="TXN38575637"/>
    <x v="2626"/>
    <x v="0"/>
    <x v="1"/>
    <n v="22649"/>
    <x v="1"/>
    <x v="4"/>
    <x v="0"/>
    <n v="5"/>
    <n v="0"/>
    <n v="5"/>
    <s v="Success"/>
  </r>
  <r>
    <s v="TXN46554089"/>
    <x v="2627"/>
    <x v="4"/>
    <x v="0"/>
    <n v="169000"/>
    <x v="0"/>
    <x v="5"/>
    <x v="0"/>
    <n v="3126.5"/>
    <n v="1250.5999999999999"/>
    <n v="1875.9"/>
    <s v="Success"/>
  </r>
  <r>
    <s v="TXN36539673"/>
    <x v="2628"/>
    <x v="7"/>
    <x v="4"/>
    <n v="56013"/>
    <x v="0"/>
    <x v="5"/>
    <x v="3"/>
    <n v="560.13"/>
    <n v="0"/>
    <n v="560.13"/>
    <s v="Success"/>
  </r>
  <r>
    <s v="TXN82848615"/>
    <x v="2629"/>
    <x v="7"/>
    <x v="3"/>
    <n v="80266"/>
    <x v="0"/>
    <x v="6"/>
    <x v="0"/>
    <n v="0"/>
    <n v="0"/>
    <n v="0"/>
    <s v="Success"/>
  </r>
  <r>
    <s v="TXN81303377"/>
    <x v="2630"/>
    <x v="6"/>
    <x v="1"/>
    <n v="114202"/>
    <x v="0"/>
    <x v="8"/>
    <x v="0"/>
    <n v="5"/>
    <n v="0"/>
    <n v="5"/>
    <s v="Success"/>
  </r>
  <r>
    <s v="TXN35286533"/>
    <x v="2631"/>
    <x v="6"/>
    <x v="4"/>
    <n v="76847"/>
    <x v="0"/>
    <x v="4"/>
    <x v="4"/>
    <n v="768.47"/>
    <n v="0"/>
    <n v="768.47"/>
    <s v="Success"/>
  </r>
  <r>
    <s v="TXN19518612"/>
    <x v="2632"/>
    <x v="4"/>
    <x v="3"/>
    <n v="63214"/>
    <x v="0"/>
    <x v="6"/>
    <x v="0"/>
    <n v="0"/>
    <n v="0"/>
    <n v="0"/>
    <s v="Success"/>
  </r>
  <r>
    <s v="TXN87898246"/>
    <x v="2633"/>
    <x v="2"/>
    <x v="0"/>
    <n v="16500"/>
    <x v="1"/>
    <x v="4"/>
    <x v="0"/>
    <n v="305.25"/>
    <n v="122.1"/>
    <n v="183.15"/>
    <s v="Success"/>
  </r>
  <r>
    <s v="TXN28060372"/>
    <x v="2634"/>
    <x v="1"/>
    <x v="3"/>
    <n v="2208"/>
    <x v="0"/>
    <x v="1"/>
    <x v="0"/>
    <n v="0"/>
    <n v="0"/>
    <n v="0"/>
    <s v="Success"/>
  </r>
  <r>
    <s v="TXN74722203"/>
    <x v="2635"/>
    <x v="0"/>
    <x v="4"/>
    <n v="117176"/>
    <x v="1"/>
    <x v="7"/>
    <x v="5"/>
    <n v="1171.76"/>
    <n v="0"/>
    <n v="1171.76"/>
    <s v="Success"/>
  </r>
  <r>
    <s v="TXN84734682"/>
    <x v="2636"/>
    <x v="3"/>
    <x v="1"/>
    <n v="107098"/>
    <x v="0"/>
    <x v="2"/>
    <x v="0"/>
    <n v="5"/>
    <n v="0"/>
    <n v="5"/>
    <s v="Success"/>
  </r>
  <r>
    <s v="TXN50868778"/>
    <x v="2637"/>
    <x v="2"/>
    <x v="0"/>
    <n v="54500"/>
    <x v="0"/>
    <x v="1"/>
    <x v="0"/>
    <n v="1008.25"/>
    <n v="403.3"/>
    <n v="604.95000000000005"/>
    <s v="Success"/>
  </r>
  <r>
    <s v="TXN90475514"/>
    <x v="2638"/>
    <x v="7"/>
    <x v="4"/>
    <n v="61466"/>
    <x v="1"/>
    <x v="1"/>
    <x v="1"/>
    <n v="614.66"/>
    <n v="0"/>
    <n v="614.66"/>
    <s v="Success"/>
  </r>
  <r>
    <s v="TXN86283474"/>
    <x v="2639"/>
    <x v="2"/>
    <x v="4"/>
    <n v="63781"/>
    <x v="0"/>
    <x v="2"/>
    <x v="5"/>
    <n v="637.80999999999995"/>
    <n v="0"/>
    <n v="637.80999999999995"/>
    <s v="Success"/>
  </r>
  <r>
    <s v="TXN68055524"/>
    <x v="2640"/>
    <x v="0"/>
    <x v="2"/>
    <n v="685"/>
    <x v="0"/>
    <x v="2"/>
    <x v="0"/>
    <n v="0"/>
    <n v="0"/>
    <n v="0"/>
    <s v="Success"/>
  </r>
  <r>
    <s v="TXN26864468"/>
    <x v="2641"/>
    <x v="1"/>
    <x v="4"/>
    <n v="71571"/>
    <x v="0"/>
    <x v="0"/>
    <x v="2"/>
    <n v="715.71"/>
    <n v="0"/>
    <n v="715.71"/>
    <s v="Success"/>
  </r>
  <r>
    <s v="TXN84293616"/>
    <x v="2642"/>
    <x v="1"/>
    <x v="0"/>
    <n v="97000"/>
    <x v="1"/>
    <x v="5"/>
    <x v="0"/>
    <n v="1794.5"/>
    <n v="717.8"/>
    <n v="1076.7"/>
    <s v="Success"/>
  </r>
  <r>
    <s v="TXN65137595"/>
    <x v="2643"/>
    <x v="5"/>
    <x v="4"/>
    <n v="72254"/>
    <x v="0"/>
    <x v="3"/>
    <x v="4"/>
    <n v="722.54"/>
    <n v="0"/>
    <n v="722.54"/>
    <s v="Success"/>
  </r>
  <r>
    <s v="TXN65790745"/>
    <x v="2644"/>
    <x v="6"/>
    <x v="0"/>
    <n v="8500"/>
    <x v="0"/>
    <x v="6"/>
    <x v="0"/>
    <n v="157.25"/>
    <n v="62.9"/>
    <n v="94.35"/>
    <s v="Success"/>
  </r>
  <r>
    <s v="TXN95403229"/>
    <x v="2645"/>
    <x v="6"/>
    <x v="0"/>
    <n v="158000"/>
    <x v="0"/>
    <x v="6"/>
    <x v="0"/>
    <n v="2923"/>
    <n v="1169.2"/>
    <n v="1753.8"/>
    <s v="Success"/>
  </r>
  <r>
    <s v="TXN87345506"/>
    <x v="2646"/>
    <x v="0"/>
    <x v="2"/>
    <n v="4331"/>
    <x v="0"/>
    <x v="3"/>
    <x v="0"/>
    <n v="0"/>
    <n v="0"/>
    <n v="0"/>
    <s v="Success"/>
  </r>
  <r>
    <s v="TXN57250477"/>
    <x v="2647"/>
    <x v="5"/>
    <x v="2"/>
    <n v="1684"/>
    <x v="0"/>
    <x v="7"/>
    <x v="0"/>
    <n v="0"/>
    <n v="0"/>
    <n v="0"/>
    <s v="Success"/>
  </r>
  <r>
    <s v="TXN46244555"/>
    <x v="2648"/>
    <x v="1"/>
    <x v="2"/>
    <n v="36"/>
    <x v="0"/>
    <x v="0"/>
    <x v="0"/>
    <n v="0"/>
    <n v="0"/>
    <n v="0"/>
    <s v="Success"/>
  </r>
  <r>
    <s v="TXN63798904"/>
    <x v="2649"/>
    <x v="4"/>
    <x v="1"/>
    <n v="21948"/>
    <x v="0"/>
    <x v="7"/>
    <x v="0"/>
    <n v="5"/>
    <n v="0"/>
    <n v="5"/>
    <s v="Success"/>
  </r>
  <r>
    <s v="TXN83100843"/>
    <x v="2650"/>
    <x v="3"/>
    <x v="2"/>
    <n v="3455"/>
    <x v="0"/>
    <x v="4"/>
    <x v="0"/>
    <n v="0"/>
    <n v="0"/>
    <n v="0"/>
    <s v="Success"/>
  </r>
  <r>
    <s v="TXN13502841"/>
    <x v="2651"/>
    <x v="4"/>
    <x v="4"/>
    <n v="39373"/>
    <x v="0"/>
    <x v="5"/>
    <x v="5"/>
    <n v="393.73"/>
    <n v="0"/>
    <n v="393.73"/>
    <s v="Success"/>
  </r>
  <r>
    <s v="TXN63100416"/>
    <x v="2652"/>
    <x v="3"/>
    <x v="2"/>
    <n v="183"/>
    <x v="0"/>
    <x v="2"/>
    <x v="0"/>
    <n v="0"/>
    <n v="0"/>
    <n v="0"/>
    <s v="Success"/>
  </r>
  <r>
    <s v="TXN87373914"/>
    <x v="2653"/>
    <x v="4"/>
    <x v="2"/>
    <n v="2381"/>
    <x v="0"/>
    <x v="7"/>
    <x v="0"/>
    <n v="0"/>
    <n v="0"/>
    <n v="0"/>
    <s v="Success"/>
  </r>
  <r>
    <s v="TXN97303035"/>
    <x v="2654"/>
    <x v="4"/>
    <x v="4"/>
    <n v="18696"/>
    <x v="1"/>
    <x v="2"/>
    <x v="2"/>
    <n v="186.96"/>
    <n v="0"/>
    <n v="186.96"/>
    <s v="Success"/>
  </r>
  <r>
    <s v="TXN63355730"/>
    <x v="2655"/>
    <x v="1"/>
    <x v="1"/>
    <n v="94598"/>
    <x v="0"/>
    <x v="1"/>
    <x v="0"/>
    <n v="5"/>
    <n v="0"/>
    <n v="5"/>
    <s v="Failed"/>
  </r>
  <r>
    <s v="TXN28785826"/>
    <x v="2656"/>
    <x v="1"/>
    <x v="1"/>
    <n v="28460"/>
    <x v="2"/>
    <x v="1"/>
    <x v="0"/>
    <n v="5"/>
    <n v="0"/>
    <n v="5"/>
    <s v="Success"/>
  </r>
  <r>
    <s v="TXN86093031"/>
    <x v="2657"/>
    <x v="4"/>
    <x v="3"/>
    <n v="13835"/>
    <x v="0"/>
    <x v="4"/>
    <x v="0"/>
    <n v="0"/>
    <n v="0"/>
    <n v="0"/>
    <s v="Success"/>
  </r>
  <r>
    <s v="TXN99038159"/>
    <x v="2658"/>
    <x v="0"/>
    <x v="3"/>
    <n v="122768"/>
    <x v="0"/>
    <x v="0"/>
    <x v="0"/>
    <n v="0"/>
    <n v="0"/>
    <n v="0"/>
    <s v="Success"/>
  </r>
  <r>
    <s v="TXN37402006"/>
    <x v="2659"/>
    <x v="0"/>
    <x v="3"/>
    <n v="51939"/>
    <x v="0"/>
    <x v="5"/>
    <x v="0"/>
    <n v="0"/>
    <n v="0"/>
    <n v="0"/>
    <s v="Failed"/>
  </r>
  <r>
    <s v="TXN33771850"/>
    <x v="2660"/>
    <x v="4"/>
    <x v="1"/>
    <n v="67959"/>
    <x v="0"/>
    <x v="3"/>
    <x v="0"/>
    <n v="5"/>
    <n v="0"/>
    <n v="5"/>
    <s v="Success"/>
  </r>
  <r>
    <s v="TXN66315681"/>
    <x v="2661"/>
    <x v="2"/>
    <x v="1"/>
    <n v="149503"/>
    <x v="0"/>
    <x v="4"/>
    <x v="0"/>
    <n v="5"/>
    <n v="0"/>
    <n v="5"/>
    <s v="Success"/>
  </r>
  <r>
    <s v="TXN70025022"/>
    <x v="2662"/>
    <x v="6"/>
    <x v="0"/>
    <n v="205000"/>
    <x v="0"/>
    <x v="0"/>
    <x v="0"/>
    <n v="3792.5"/>
    <n v="1517"/>
    <n v="2275.5"/>
    <s v="Success"/>
  </r>
  <r>
    <s v="TXN82222976"/>
    <x v="2663"/>
    <x v="1"/>
    <x v="4"/>
    <n v="59233"/>
    <x v="0"/>
    <x v="1"/>
    <x v="5"/>
    <n v="592.33000000000004"/>
    <n v="0"/>
    <n v="592.33000000000004"/>
    <s v="Success"/>
  </r>
  <r>
    <s v="TXN86271771"/>
    <x v="2664"/>
    <x v="4"/>
    <x v="3"/>
    <n v="121767"/>
    <x v="0"/>
    <x v="6"/>
    <x v="0"/>
    <n v="0"/>
    <n v="0"/>
    <n v="0"/>
    <s v="Success"/>
  </r>
  <r>
    <s v="TXN85583774"/>
    <x v="2665"/>
    <x v="5"/>
    <x v="0"/>
    <n v="5000"/>
    <x v="2"/>
    <x v="0"/>
    <x v="0"/>
    <n v="92.5"/>
    <n v="37"/>
    <n v="55.5"/>
    <s v="Success"/>
  </r>
  <r>
    <s v="TXN42787790"/>
    <x v="2666"/>
    <x v="1"/>
    <x v="1"/>
    <n v="53188"/>
    <x v="0"/>
    <x v="2"/>
    <x v="0"/>
    <n v="5"/>
    <n v="0"/>
    <n v="5"/>
    <s v="Success"/>
  </r>
  <r>
    <s v="TXN59436659"/>
    <x v="2667"/>
    <x v="3"/>
    <x v="0"/>
    <n v="184500"/>
    <x v="0"/>
    <x v="5"/>
    <x v="0"/>
    <n v="3413.25"/>
    <n v="1365.3"/>
    <n v="2047.95"/>
    <s v="Success"/>
  </r>
  <r>
    <s v="TXN48765485"/>
    <x v="2668"/>
    <x v="1"/>
    <x v="0"/>
    <n v="204500"/>
    <x v="1"/>
    <x v="7"/>
    <x v="0"/>
    <n v="3783.25"/>
    <n v="1513.3"/>
    <n v="2269.9499999999998"/>
    <s v="Success"/>
  </r>
  <r>
    <s v="TXN36695965"/>
    <x v="2669"/>
    <x v="7"/>
    <x v="4"/>
    <n v="50487"/>
    <x v="0"/>
    <x v="4"/>
    <x v="3"/>
    <n v="504.87"/>
    <n v="0"/>
    <n v="504.87"/>
    <s v="Success"/>
  </r>
  <r>
    <s v="TXN32763215"/>
    <x v="2670"/>
    <x v="4"/>
    <x v="4"/>
    <n v="101932"/>
    <x v="2"/>
    <x v="6"/>
    <x v="2"/>
    <n v="1019.32"/>
    <n v="0"/>
    <n v="1019.32"/>
    <s v="Success"/>
  </r>
  <r>
    <s v="TXN62616265"/>
    <x v="2671"/>
    <x v="7"/>
    <x v="0"/>
    <n v="206500"/>
    <x v="0"/>
    <x v="7"/>
    <x v="0"/>
    <n v="3820.25"/>
    <n v="1528.1"/>
    <n v="2292.15"/>
    <s v="Success"/>
  </r>
  <r>
    <s v="TXN24767667"/>
    <x v="2672"/>
    <x v="0"/>
    <x v="3"/>
    <n v="94261"/>
    <x v="0"/>
    <x v="1"/>
    <x v="0"/>
    <n v="0"/>
    <n v="0"/>
    <n v="0"/>
    <s v="Success"/>
  </r>
  <r>
    <s v="TXN26062768"/>
    <x v="2673"/>
    <x v="0"/>
    <x v="2"/>
    <n v="2930"/>
    <x v="0"/>
    <x v="1"/>
    <x v="0"/>
    <n v="0"/>
    <n v="0"/>
    <n v="0"/>
    <s v="Success"/>
  </r>
  <r>
    <s v="TXN20416784"/>
    <x v="2674"/>
    <x v="6"/>
    <x v="1"/>
    <n v="64346"/>
    <x v="0"/>
    <x v="7"/>
    <x v="0"/>
    <n v="5"/>
    <n v="0"/>
    <n v="5"/>
    <s v="Success"/>
  </r>
  <r>
    <s v="TXN95556919"/>
    <x v="2675"/>
    <x v="1"/>
    <x v="3"/>
    <n v="48591"/>
    <x v="0"/>
    <x v="3"/>
    <x v="0"/>
    <n v="0"/>
    <n v="0"/>
    <n v="0"/>
    <s v="Success"/>
  </r>
  <r>
    <s v="TXN58547832"/>
    <x v="2676"/>
    <x v="3"/>
    <x v="4"/>
    <n v="18434"/>
    <x v="1"/>
    <x v="3"/>
    <x v="1"/>
    <n v="184.34"/>
    <n v="0"/>
    <n v="184.34"/>
    <s v="Success"/>
  </r>
  <r>
    <s v="TXN24351093"/>
    <x v="2677"/>
    <x v="4"/>
    <x v="2"/>
    <n v="387"/>
    <x v="1"/>
    <x v="8"/>
    <x v="0"/>
    <n v="0"/>
    <n v="0"/>
    <n v="0"/>
    <s v="Success"/>
  </r>
  <r>
    <s v="TXN50017016"/>
    <x v="2678"/>
    <x v="2"/>
    <x v="4"/>
    <n v="115361"/>
    <x v="0"/>
    <x v="3"/>
    <x v="1"/>
    <n v="1153.6099999999999"/>
    <n v="0"/>
    <n v="1153.6099999999999"/>
    <s v="Success"/>
  </r>
  <r>
    <s v="TXN24764087"/>
    <x v="2679"/>
    <x v="3"/>
    <x v="4"/>
    <n v="22158"/>
    <x v="0"/>
    <x v="3"/>
    <x v="2"/>
    <n v="221.58"/>
    <n v="0"/>
    <n v="221.58"/>
    <s v="Success"/>
  </r>
  <r>
    <s v="TXN34091324"/>
    <x v="2680"/>
    <x v="3"/>
    <x v="0"/>
    <n v="220500"/>
    <x v="0"/>
    <x v="5"/>
    <x v="0"/>
    <n v="4079.25"/>
    <n v="1631.7"/>
    <n v="2447.5500000000002"/>
    <s v="Success"/>
  </r>
  <r>
    <s v="TXN82165960"/>
    <x v="2681"/>
    <x v="2"/>
    <x v="3"/>
    <n v="127014"/>
    <x v="1"/>
    <x v="5"/>
    <x v="0"/>
    <n v="0"/>
    <n v="0"/>
    <n v="0"/>
    <s v="Success"/>
  </r>
  <r>
    <s v="TXN94761397"/>
    <x v="2682"/>
    <x v="0"/>
    <x v="3"/>
    <n v="35910"/>
    <x v="0"/>
    <x v="0"/>
    <x v="0"/>
    <n v="0"/>
    <n v="0"/>
    <n v="0"/>
    <s v="Success"/>
  </r>
  <r>
    <s v="TXN60925334"/>
    <x v="2683"/>
    <x v="1"/>
    <x v="3"/>
    <n v="37678"/>
    <x v="0"/>
    <x v="8"/>
    <x v="0"/>
    <n v="0"/>
    <n v="0"/>
    <n v="0"/>
    <s v="Failed"/>
  </r>
  <r>
    <s v="TXN17044337"/>
    <x v="2684"/>
    <x v="3"/>
    <x v="3"/>
    <n v="26984"/>
    <x v="0"/>
    <x v="5"/>
    <x v="0"/>
    <n v="0"/>
    <n v="0"/>
    <n v="0"/>
    <s v="Success"/>
  </r>
  <r>
    <s v="TXN71755000"/>
    <x v="2685"/>
    <x v="0"/>
    <x v="1"/>
    <n v="118370"/>
    <x v="2"/>
    <x v="5"/>
    <x v="0"/>
    <n v="5"/>
    <n v="0"/>
    <n v="5"/>
    <s v="Success"/>
  </r>
  <r>
    <s v="TXN72591773"/>
    <x v="2686"/>
    <x v="6"/>
    <x v="2"/>
    <n v="836"/>
    <x v="0"/>
    <x v="7"/>
    <x v="0"/>
    <n v="0"/>
    <n v="0"/>
    <n v="0"/>
    <s v="Success"/>
  </r>
  <r>
    <s v="TXN51810341"/>
    <x v="2687"/>
    <x v="5"/>
    <x v="0"/>
    <n v="204500"/>
    <x v="1"/>
    <x v="7"/>
    <x v="0"/>
    <n v="3783.25"/>
    <n v="1513.3"/>
    <n v="2269.9499999999998"/>
    <s v="Success"/>
  </r>
  <r>
    <s v="TXN97028681"/>
    <x v="2688"/>
    <x v="0"/>
    <x v="0"/>
    <n v="205500"/>
    <x v="0"/>
    <x v="3"/>
    <x v="0"/>
    <n v="3801.75"/>
    <n v="1520.7"/>
    <n v="2281.0500000000002"/>
    <s v="Success"/>
  </r>
  <r>
    <s v="TXN36365542"/>
    <x v="2689"/>
    <x v="3"/>
    <x v="4"/>
    <n v="133368"/>
    <x v="0"/>
    <x v="1"/>
    <x v="2"/>
    <n v="1333.68"/>
    <n v="0"/>
    <n v="1333.68"/>
    <s v="Success"/>
  </r>
  <r>
    <s v="TXN34138863"/>
    <x v="2690"/>
    <x v="3"/>
    <x v="2"/>
    <n v="4502"/>
    <x v="1"/>
    <x v="7"/>
    <x v="0"/>
    <n v="0"/>
    <n v="0"/>
    <n v="0"/>
    <s v="Success"/>
  </r>
  <r>
    <s v="TXN87227173"/>
    <x v="2691"/>
    <x v="3"/>
    <x v="3"/>
    <n v="42107"/>
    <x v="1"/>
    <x v="6"/>
    <x v="0"/>
    <n v="0"/>
    <n v="0"/>
    <n v="0"/>
    <s v="Success"/>
  </r>
  <r>
    <s v="TXN32220233"/>
    <x v="2692"/>
    <x v="1"/>
    <x v="2"/>
    <n v="217"/>
    <x v="0"/>
    <x v="6"/>
    <x v="0"/>
    <n v="0"/>
    <n v="0"/>
    <n v="0"/>
    <s v="Success"/>
  </r>
  <r>
    <s v="TXN61522903"/>
    <x v="2693"/>
    <x v="2"/>
    <x v="1"/>
    <n v="143377"/>
    <x v="0"/>
    <x v="6"/>
    <x v="0"/>
    <n v="5"/>
    <n v="0"/>
    <n v="5"/>
    <s v="Success"/>
  </r>
  <r>
    <s v="TXN96519486"/>
    <x v="2694"/>
    <x v="4"/>
    <x v="0"/>
    <n v="12500"/>
    <x v="0"/>
    <x v="6"/>
    <x v="0"/>
    <n v="231.25"/>
    <n v="92.5"/>
    <n v="138.75"/>
    <s v="Success"/>
  </r>
  <r>
    <s v="TXN39871211"/>
    <x v="2695"/>
    <x v="6"/>
    <x v="0"/>
    <n v="210500"/>
    <x v="0"/>
    <x v="0"/>
    <x v="0"/>
    <n v="3894.25"/>
    <n v="1557.7"/>
    <n v="2336.5500000000002"/>
    <s v="Success"/>
  </r>
  <r>
    <s v="TXN56145517"/>
    <x v="2696"/>
    <x v="4"/>
    <x v="2"/>
    <n v="2465"/>
    <x v="0"/>
    <x v="6"/>
    <x v="0"/>
    <n v="0"/>
    <n v="0"/>
    <n v="0"/>
    <s v="Success"/>
  </r>
  <r>
    <s v="TXN38781188"/>
    <x v="2697"/>
    <x v="3"/>
    <x v="4"/>
    <n v="48389"/>
    <x v="0"/>
    <x v="0"/>
    <x v="5"/>
    <n v="483.89"/>
    <n v="0"/>
    <n v="483.89"/>
    <s v="Success"/>
  </r>
  <r>
    <s v="TXN43166220"/>
    <x v="2698"/>
    <x v="0"/>
    <x v="2"/>
    <n v="1462"/>
    <x v="0"/>
    <x v="5"/>
    <x v="0"/>
    <n v="0"/>
    <n v="0"/>
    <n v="0"/>
    <s v="Success"/>
  </r>
  <r>
    <s v="TXN43396715"/>
    <x v="2699"/>
    <x v="3"/>
    <x v="3"/>
    <n v="117168"/>
    <x v="0"/>
    <x v="5"/>
    <x v="0"/>
    <n v="0"/>
    <n v="0"/>
    <n v="0"/>
    <s v="Success"/>
  </r>
  <r>
    <s v="TXN62212002"/>
    <x v="2700"/>
    <x v="2"/>
    <x v="4"/>
    <n v="78880"/>
    <x v="0"/>
    <x v="6"/>
    <x v="3"/>
    <n v="788.8"/>
    <n v="0"/>
    <n v="788.8"/>
    <s v="Success"/>
  </r>
  <r>
    <s v="TXN30389341"/>
    <x v="2701"/>
    <x v="7"/>
    <x v="3"/>
    <n v="146417"/>
    <x v="0"/>
    <x v="5"/>
    <x v="0"/>
    <n v="0"/>
    <n v="0"/>
    <n v="0"/>
    <s v="Success"/>
  </r>
  <r>
    <s v="TXN63953323"/>
    <x v="2702"/>
    <x v="1"/>
    <x v="4"/>
    <n v="66378"/>
    <x v="0"/>
    <x v="2"/>
    <x v="1"/>
    <n v="663.78"/>
    <n v="0"/>
    <n v="663.78"/>
    <s v="Success"/>
  </r>
  <r>
    <s v="TXN89507739"/>
    <x v="2703"/>
    <x v="3"/>
    <x v="3"/>
    <n v="138349"/>
    <x v="0"/>
    <x v="4"/>
    <x v="0"/>
    <n v="0"/>
    <n v="0"/>
    <n v="0"/>
    <s v="Success"/>
  </r>
  <r>
    <s v="TXN68974786"/>
    <x v="2704"/>
    <x v="4"/>
    <x v="0"/>
    <n v="189000"/>
    <x v="0"/>
    <x v="5"/>
    <x v="0"/>
    <n v="3496.5"/>
    <n v="1398.6"/>
    <n v="2097.9"/>
    <s v="Success"/>
  </r>
  <r>
    <s v="TXN53888531"/>
    <x v="2705"/>
    <x v="0"/>
    <x v="3"/>
    <n v="140094"/>
    <x v="0"/>
    <x v="3"/>
    <x v="0"/>
    <n v="0"/>
    <n v="0"/>
    <n v="0"/>
    <s v="Success"/>
  </r>
  <r>
    <s v="TXN64676537"/>
    <x v="2706"/>
    <x v="6"/>
    <x v="0"/>
    <n v="214500"/>
    <x v="0"/>
    <x v="5"/>
    <x v="0"/>
    <n v="3968.25"/>
    <n v="1587.3"/>
    <n v="2380.9499999999998"/>
    <s v="Success"/>
  </r>
  <r>
    <s v="TXN33646152"/>
    <x v="2707"/>
    <x v="6"/>
    <x v="2"/>
    <n v="4520"/>
    <x v="0"/>
    <x v="6"/>
    <x v="0"/>
    <n v="0"/>
    <n v="0"/>
    <n v="0"/>
    <s v="Success"/>
  </r>
  <r>
    <s v="TXN24979128"/>
    <x v="2708"/>
    <x v="4"/>
    <x v="1"/>
    <n v="119450"/>
    <x v="0"/>
    <x v="0"/>
    <x v="0"/>
    <n v="5"/>
    <n v="0"/>
    <n v="5"/>
    <s v="Success"/>
  </r>
  <r>
    <s v="TXN70184548"/>
    <x v="2709"/>
    <x v="1"/>
    <x v="4"/>
    <n v="134375"/>
    <x v="0"/>
    <x v="8"/>
    <x v="2"/>
    <n v="1343.75"/>
    <n v="0"/>
    <n v="1343.75"/>
    <s v="Success"/>
  </r>
  <r>
    <s v="TXN58283387"/>
    <x v="2710"/>
    <x v="0"/>
    <x v="0"/>
    <n v="45000"/>
    <x v="0"/>
    <x v="5"/>
    <x v="0"/>
    <n v="832.5"/>
    <n v="333"/>
    <n v="499.5"/>
    <s v="Success"/>
  </r>
  <r>
    <s v="TXN91453256"/>
    <x v="2711"/>
    <x v="0"/>
    <x v="1"/>
    <n v="126841"/>
    <x v="2"/>
    <x v="0"/>
    <x v="0"/>
    <n v="5"/>
    <n v="0"/>
    <n v="5"/>
    <s v="Success"/>
  </r>
  <r>
    <s v="TXN89536201"/>
    <x v="2712"/>
    <x v="4"/>
    <x v="1"/>
    <n v="9728"/>
    <x v="0"/>
    <x v="1"/>
    <x v="0"/>
    <n v="5"/>
    <n v="0"/>
    <n v="5"/>
    <s v="Success"/>
  </r>
  <r>
    <s v="TXN25240712"/>
    <x v="2713"/>
    <x v="2"/>
    <x v="4"/>
    <n v="91931"/>
    <x v="0"/>
    <x v="3"/>
    <x v="5"/>
    <n v="919.31"/>
    <n v="0"/>
    <n v="919.31"/>
    <s v="Success"/>
  </r>
  <r>
    <s v="TXN85768850"/>
    <x v="2714"/>
    <x v="3"/>
    <x v="4"/>
    <n v="54093"/>
    <x v="0"/>
    <x v="7"/>
    <x v="5"/>
    <n v="540.92999999999995"/>
    <n v="0"/>
    <n v="540.92999999999995"/>
    <s v="Success"/>
  </r>
  <r>
    <s v="TXN73045790"/>
    <x v="2715"/>
    <x v="5"/>
    <x v="0"/>
    <n v="111000"/>
    <x v="0"/>
    <x v="5"/>
    <x v="0"/>
    <n v="2053.5"/>
    <n v="821.4"/>
    <n v="1232.0999999999999"/>
    <s v="Success"/>
  </r>
  <r>
    <s v="TXN39140556"/>
    <x v="2716"/>
    <x v="4"/>
    <x v="4"/>
    <n v="105371"/>
    <x v="2"/>
    <x v="8"/>
    <x v="1"/>
    <n v="1053.71"/>
    <n v="0"/>
    <n v="1053.71"/>
    <s v="Success"/>
  </r>
  <r>
    <s v="TXN95099424"/>
    <x v="2717"/>
    <x v="2"/>
    <x v="1"/>
    <n v="20989"/>
    <x v="0"/>
    <x v="4"/>
    <x v="0"/>
    <n v="5"/>
    <n v="0"/>
    <n v="5"/>
    <s v="Success"/>
  </r>
  <r>
    <s v="TXN15984181"/>
    <x v="2718"/>
    <x v="1"/>
    <x v="4"/>
    <n v="144560"/>
    <x v="0"/>
    <x v="2"/>
    <x v="2"/>
    <n v="1445.6"/>
    <n v="0"/>
    <n v="1445.6"/>
    <s v="Success"/>
  </r>
  <r>
    <s v="TXN60686181"/>
    <x v="2719"/>
    <x v="6"/>
    <x v="2"/>
    <n v="1140"/>
    <x v="0"/>
    <x v="1"/>
    <x v="0"/>
    <n v="0"/>
    <n v="0"/>
    <n v="0"/>
    <s v="Success"/>
  </r>
  <r>
    <s v="TXN80398066"/>
    <x v="2720"/>
    <x v="4"/>
    <x v="1"/>
    <n v="37232"/>
    <x v="0"/>
    <x v="5"/>
    <x v="0"/>
    <n v="5"/>
    <n v="0"/>
    <n v="5"/>
    <s v="Success"/>
  </r>
  <r>
    <s v="TXN69451768"/>
    <x v="2721"/>
    <x v="0"/>
    <x v="2"/>
    <n v="987"/>
    <x v="0"/>
    <x v="1"/>
    <x v="0"/>
    <n v="0"/>
    <n v="0"/>
    <n v="0"/>
    <s v="Success"/>
  </r>
  <r>
    <s v="TXN20411026"/>
    <x v="2722"/>
    <x v="1"/>
    <x v="3"/>
    <n v="91874"/>
    <x v="1"/>
    <x v="5"/>
    <x v="0"/>
    <n v="0"/>
    <n v="0"/>
    <n v="0"/>
    <s v="Success"/>
  </r>
  <r>
    <s v="TXN43151479"/>
    <x v="2723"/>
    <x v="0"/>
    <x v="0"/>
    <n v="116500"/>
    <x v="0"/>
    <x v="8"/>
    <x v="0"/>
    <n v="2155.25"/>
    <n v="862.1"/>
    <n v="1293.1500000000001"/>
    <s v="Success"/>
  </r>
  <r>
    <s v="TXN40965144"/>
    <x v="2724"/>
    <x v="7"/>
    <x v="0"/>
    <n v="203000"/>
    <x v="0"/>
    <x v="0"/>
    <x v="0"/>
    <n v="3755.5"/>
    <n v="1502.2"/>
    <n v="2253.3000000000002"/>
    <s v="Success"/>
  </r>
  <r>
    <s v="TXN97371501"/>
    <x v="2725"/>
    <x v="6"/>
    <x v="2"/>
    <n v="2329"/>
    <x v="0"/>
    <x v="5"/>
    <x v="0"/>
    <n v="0"/>
    <n v="0"/>
    <n v="0"/>
    <s v="Success"/>
  </r>
  <r>
    <s v="TXN92667883"/>
    <x v="2726"/>
    <x v="4"/>
    <x v="3"/>
    <n v="75610"/>
    <x v="1"/>
    <x v="0"/>
    <x v="0"/>
    <n v="0"/>
    <n v="0"/>
    <n v="0"/>
    <s v="Success"/>
  </r>
  <r>
    <s v="TXN73860714"/>
    <x v="2727"/>
    <x v="1"/>
    <x v="0"/>
    <n v="150000"/>
    <x v="1"/>
    <x v="2"/>
    <x v="0"/>
    <n v="2775"/>
    <n v="1110"/>
    <n v="1665"/>
    <s v="Success"/>
  </r>
  <r>
    <s v="TXN74759671"/>
    <x v="2728"/>
    <x v="0"/>
    <x v="3"/>
    <n v="106834"/>
    <x v="0"/>
    <x v="0"/>
    <x v="0"/>
    <n v="0"/>
    <n v="0"/>
    <n v="0"/>
    <s v="Success"/>
  </r>
  <r>
    <s v="TXN48793332"/>
    <x v="2729"/>
    <x v="3"/>
    <x v="3"/>
    <n v="15107"/>
    <x v="0"/>
    <x v="4"/>
    <x v="0"/>
    <n v="0"/>
    <n v="0"/>
    <n v="0"/>
    <s v="Success"/>
  </r>
  <r>
    <s v="TXN76045370"/>
    <x v="2730"/>
    <x v="7"/>
    <x v="2"/>
    <n v="1186"/>
    <x v="0"/>
    <x v="2"/>
    <x v="0"/>
    <n v="0"/>
    <n v="0"/>
    <n v="0"/>
    <s v="Success"/>
  </r>
  <r>
    <s v="TXN34618714"/>
    <x v="2731"/>
    <x v="3"/>
    <x v="0"/>
    <n v="143000"/>
    <x v="0"/>
    <x v="3"/>
    <x v="0"/>
    <n v="2645.5"/>
    <n v="1058.2"/>
    <n v="1587.3"/>
    <s v="Success"/>
  </r>
  <r>
    <s v="TXN27462265"/>
    <x v="2732"/>
    <x v="0"/>
    <x v="2"/>
    <n v="961"/>
    <x v="0"/>
    <x v="7"/>
    <x v="0"/>
    <n v="0"/>
    <n v="0"/>
    <n v="0"/>
    <s v="Success"/>
  </r>
  <r>
    <s v="TXN25923918"/>
    <x v="2733"/>
    <x v="5"/>
    <x v="2"/>
    <n v="4572"/>
    <x v="1"/>
    <x v="2"/>
    <x v="0"/>
    <n v="0"/>
    <n v="0"/>
    <n v="0"/>
    <s v="Success"/>
  </r>
  <r>
    <s v="TXN15174722"/>
    <x v="2734"/>
    <x v="2"/>
    <x v="3"/>
    <n v="27633"/>
    <x v="0"/>
    <x v="7"/>
    <x v="0"/>
    <n v="0"/>
    <n v="0"/>
    <n v="0"/>
    <s v="Success"/>
  </r>
  <r>
    <s v="TXN71707067"/>
    <x v="2735"/>
    <x v="7"/>
    <x v="1"/>
    <n v="30227"/>
    <x v="1"/>
    <x v="2"/>
    <x v="0"/>
    <n v="5"/>
    <n v="0"/>
    <n v="5"/>
    <s v="Success"/>
  </r>
  <r>
    <s v="TXN58077321"/>
    <x v="2736"/>
    <x v="2"/>
    <x v="1"/>
    <n v="114773"/>
    <x v="0"/>
    <x v="0"/>
    <x v="0"/>
    <n v="5"/>
    <n v="0"/>
    <n v="5"/>
    <s v="Success"/>
  </r>
  <r>
    <s v="TXN57764987"/>
    <x v="2737"/>
    <x v="0"/>
    <x v="4"/>
    <n v="85914"/>
    <x v="0"/>
    <x v="3"/>
    <x v="2"/>
    <n v="859.14"/>
    <n v="0"/>
    <n v="859.14"/>
    <s v="Success"/>
  </r>
  <r>
    <s v="TXN95225640"/>
    <x v="2738"/>
    <x v="3"/>
    <x v="0"/>
    <n v="98500"/>
    <x v="0"/>
    <x v="3"/>
    <x v="0"/>
    <n v="1822.25"/>
    <n v="728.9"/>
    <n v="1093.3499999999999"/>
    <s v="Success"/>
  </r>
  <r>
    <s v="TXN91686356"/>
    <x v="2739"/>
    <x v="1"/>
    <x v="3"/>
    <n v="109038"/>
    <x v="0"/>
    <x v="7"/>
    <x v="0"/>
    <n v="0"/>
    <n v="0"/>
    <n v="0"/>
    <s v="Success"/>
  </r>
  <r>
    <s v="TXN74640001"/>
    <x v="2740"/>
    <x v="1"/>
    <x v="2"/>
    <n v="3370"/>
    <x v="0"/>
    <x v="1"/>
    <x v="0"/>
    <n v="0"/>
    <n v="0"/>
    <n v="0"/>
    <s v="Failed"/>
  </r>
  <r>
    <s v="TXN20739343"/>
    <x v="2741"/>
    <x v="6"/>
    <x v="0"/>
    <n v="247500"/>
    <x v="0"/>
    <x v="4"/>
    <x v="0"/>
    <n v="4578.75"/>
    <n v="1831.5"/>
    <n v="2747.25"/>
    <s v="Success"/>
  </r>
  <r>
    <s v="TXN28319733"/>
    <x v="2742"/>
    <x v="1"/>
    <x v="1"/>
    <n v="20701"/>
    <x v="1"/>
    <x v="2"/>
    <x v="0"/>
    <n v="5"/>
    <n v="0"/>
    <n v="5"/>
    <s v="Success"/>
  </r>
  <r>
    <s v="TXN80383793"/>
    <x v="2743"/>
    <x v="6"/>
    <x v="0"/>
    <n v="54000"/>
    <x v="0"/>
    <x v="7"/>
    <x v="0"/>
    <n v="999"/>
    <n v="399.6"/>
    <n v="599.4"/>
    <s v="Success"/>
  </r>
  <r>
    <s v="TXN89034626"/>
    <x v="2744"/>
    <x v="1"/>
    <x v="2"/>
    <n v="4697"/>
    <x v="0"/>
    <x v="2"/>
    <x v="0"/>
    <n v="0"/>
    <n v="0"/>
    <n v="0"/>
    <s v="Success"/>
  </r>
  <r>
    <s v="TXN13090917"/>
    <x v="2745"/>
    <x v="7"/>
    <x v="3"/>
    <n v="148076"/>
    <x v="0"/>
    <x v="5"/>
    <x v="0"/>
    <n v="0"/>
    <n v="0"/>
    <n v="0"/>
    <s v="Success"/>
  </r>
  <r>
    <s v="TXN26800920"/>
    <x v="2746"/>
    <x v="5"/>
    <x v="2"/>
    <n v="2906"/>
    <x v="0"/>
    <x v="7"/>
    <x v="0"/>
    <n v="0"/>
    <n v="0"/>
    <n v="0"/>
    <s v="Success"/>
  </r>
  <r>
    <s v="TXN78820966"/>
    <x v="2747"/>
    <x v="7"/>
    <x v="4"/>
    <n v="108764"/>
    <x v="1"/>
    <x v="3"/>
    <x v="3"/>
    <n v="1087.6400000000001"/>
    <n v="0"/>
    <n v="1087.6400000000001"/>
    <s v="Failed"/>
  </r>
  <r>
    <s v="TXN68357640"/>
    <x v="2748"/>
    <x v="2"/>
    <x v="2"/>
    <n v="3047"/>
    <x v="0"/>
    <x v="3"/>
    <x v="0"/>
    <n v="0"/>
    <n v="0"/>
    <n v="0"/>
    <s v="Success"/>
  </r>
  <r>
    <s v="TXN74086288"/>
    <x v="2749"/>
    <x v="7"/>
    <x v="2"/>
    <n v="1653"/>
    <x v="0"/>
    <x v="6"/>
    <x v="0"/>
    <n v="0"/>
    <n v="0"/>
    <n v="0"/>
    <s v="Success"/>
  </r>
  <r>
    <s v="TXN92644131"/>
    <x v="2750"/>
    <x v="1"/>
    <x v="1"/>
    <n v="144170"/>
    <x v="0"/>
    <x v="1"/>
    <x v="0"/>
    <n v="5"/>
    <n v="0"/>
    <n v="5"/>
    <s v="Success"/>
  </r>
  <r>
    <s v="TXN25013803"/>
    <x v="2751"/>
    <x v="2"/>
    <x v="1"/>
    <n v="59754"/>
    <x v="0"/>
    <x v="8"/>
    <x v="0"/>
    <n v="5"/>
    <n v="0"/>
    <n v="5"/>
    <s v="Success"/>
  </r>
  <r>
    <s v="TXN49573809"/>
    <x v="2752"/>
    <x v="4"/>
    <x v="1"/>
    <n v="74130"/>
    <x v="0"/>
    <x v="4"/>
    <x v="0"/>
    <n v="5"/>
    <n v="0"/>
    <n v="5"/>
    <s v="Success"/>
  </r>
  <r>
    <s v="TXN48370930"/>
    <x v="2753"/>
    <x v="0"/>
    <x v="0"/>
    <n v="38500"/>
    <x v="0"/>
    <x v="5"/>
    <x v="0"/>
    <n v="712.25"/>
    <n v="284.89999999999998"/>
    <n v="427.35"/>
    <s v="Success"/>
  </r>
  <r>
    <s v="TXN87015398"/>
    <x v="2754"/>
    <x v="4"/>
    <x v="0"/>
    <n v="209000"/>
    <x v="0"/>
    <x v="8"/>
    <x v="0"/>
    <n v="3866.5"/>
    <n v="1546.6"/>
    <n v="2319.9"/>
    <s v="Failed"/>
  </r>
  <r>
    <s v="TXN72462489"/>
    <x v="2755"/>
    <x v="7"/>
    <x v="0"/>
    <n v="218000"/>
    <x v="0"/>
    <x v="4"/>
    <x v="0"/>
    <n v="4033"/>
    <n v="1613.2"/>
    <n v="2419.8000000000002"/>
    <s v="Success"/>
  </r>
  <r>
    <s v="TXN18092296"/>
    <x v="2756"/>
    <x v="7"/>
    <x v="4"/>
    <n v="62122"/>
    <x v="0"/>
    <x v="4"/>
    <x v="2"/>
    <n v="621.22"/>
    <n v="0"/>
    <n v="621.22"/>
    <s v="Success"/>
  </r>
  <r>
    <s v="TXN43043491"/>
    <x v="2757"/>
    <x v="6"/>
    <x v="2"/>
    <n v="4710"/>
    <x v="1"/>
    <x v="4"/>
    <x v="0"/>
    <n v="0"/>
    <n v="0"/>
    <n v="0"/>
    <s v="Success"/>
  </r>
  <r>
    <s v="TXN39897522"/>
    <x v="2758"/>
    <x v="5"/>
    <x v="4"/>
    <n v="4004"/>
    <x v="0"/>
    <x v="6"/>
    <x v="4"/>
    <n v="40.04"/>
    <n v="0"/>
    <n v="40.04"/>
    <s v="Success"/>
  </r>
  <r>
    <s v="TXN14662061"/>
    <x v="2759"/>
    <x v="1"/>
    <x v="3"/>
    <n v="41602"/>
    <x v="0"/>
    <x v="4"/>
    <x v="0"/>
    <n v="0"/>
    <n v="0"/>
    <n v="0"/>
    <s v="Success"/>
  </r>
  <r>
    <s v="TXN15602168"/>
    <x v="2760"/>
    <x v="4"/>
    <x v="1"/>
    <n v="124654"/>
    <x v="0"/>
    <x v="6"/>
    <x v="0"/>
    <n v="5"/>
    <n v="0"/>
    <n v="5"/>
    <s v="Success"/>
  </r>
  <r>
    <s v="TXN19884772"/>
    <x v="2761"/>
    <x v="3"/>
    <x v="3"/>
    <n v="109592"/>
    <x v="0"/>
    <x v="4"/>
    <x v="0"/>
    <n v="0"/>
    <n v="0"/>
    <n v="0"/>
    <s v="Success"/>
  </r>
  <r>
    <s v="TXN18942247"/>
    <x v="2762"/>
    <x v="5"/>
    <x v="3"/>
    <n v="24083"/>
    <x v="0"/>
    <x v="5"/>
    <x v="0"/>
    <n v="0"/>
    <n v="0"/>
    <n v="0"/>
    <s v="Success"/>
  </r>
  <r>
    <s v="TXN85134686"/>
    <x v="2763"/>
    <x v="7"/>
    <x v="0"/>
    <n v="146500"/>
    <x v="0"/>
    <x v="6"/>
    <x v="0"/>
    <n v="2710.25"/>
    <n v="1084.0999999999999"/>
    <n v="1626.15"/>
    <s v="Success"/>
  </r>
  <r>
    <s v="TXN33698976"/>
    <x v="2764"/>
    <x v="3"/>
    <x v="4"/>
    <n v="67237"/>
    <x v="1"/>
    <x v="2"/>
    <x v="2"/>
    <n v="672.37"/>
    <n v="0"/>
    <n v="672.37"/>
    <s v="Success"/>
  </r>
  <r>
    <s v="TXN78692953"/>
    <x v="2765"/>
    <x v="6"/>
    <x v="1"/>
    <n v="134134"/>
    <x v="0"/>
    <x v="8"/>
    <x v="0"/>
    <n v="5"/>
    <n v="0"/>
    <n v="5"/>
    <s v="Success"/>
  </r>
  <r>
    <s v="TXN85599347"/>
    <x v="2766"/>
    <x v="0"/>
    <x v="2"/>
    <n v="1072"/>
    <x v="0"/>
    <x v="7"/>
    <x v="0"/>
    <n v="0"/>
    <n v="0"/>
    <n v="0"/>
    <s v="Success"/>
  </r>
  <r>
    <s v="TXN50863809"/>
    <x v="2767"/>
    <x v="2"/>
    <x v="2"/>
    <n v="4502"/>
    <x v="0"/>
    <x v="7"/>
    <x v="0"/>
    <n v="0"/>
    <n v="0"/>
    <n v="0"/>
    <s v="Failed"/>
  </r>
  <r>
    <s v="TXN66679294"/>
    <x v="2768"/>
    <x v="1"/>
    <x v="2"/>
    <n v="53"/>
    <x v="0"/>
    <x v="3"/>
    <x v="0"/>
    <n v="0"/>
    <n v="0"/>
    <n v="0"/>
    <s v="Success"/>
  </r>
  <r>
    <s v="TXN71522334"/>
    <x v="2769"/>
    <x v="3"/>
    <x v="1"/>
    <n v="59533"/>
    <x v="0"/>
    <x v="5"/>
    <x v="0"/>
    <n v="5"/>
    <n v="0"/>
    <n v="5"/>
    <s v="Success"/>
  </r>
  <r>
    <s v="TXN25541463"/>
    <x v="2770"/>
    <x v="3"/>
    <x v="4"/>
    <n v="41269"/>
    <x v="0"/>
    <x v="7"/>
    <x v="2"/>
    <n v="412.69"/>
    <n v="0"/>
    <n v="412.69"/>
    <s v="Success"/>
  </r>
  <r>
    <s v="TXN36003429"/>
    <x v="2771"/>
    <x v="7"/>
    <x v="1"/>
    <n v="135412"/>
    <x v="0"/>
    <x v="0"/>
    <x v="0"/>
    <n v="5"/>
    <n v="0"/>
    <n v="5"/>
    <s v="Success"/>
  </r>
  <r>
    <s v="TXN28993423"/>
    <x v="2772"/>
    <x v="3"/>
    <x v="4"/>
    <n v="100123"/>
    <x v="0"/>
    <x v="7"/>
    <x v="4"/>
    <n v="1001.23"/>
    <n v="0"/>
    <n v="1001.23"/>
    <s v="Failed"/>
  </r>
  <r>
    <s v="TXN88006484"/>
    <x v="2773"/>
    <x v="3"/>
    <x v="3"/>
    <n v="53589"/>
    <x v="0"/>
    <x v="5"/>
    <x v="0"/>
    <n v="0"/>
    <n v="0"/>
    <n v="0"/>
    <s v="Success"/>
  </r>
  <r>
    <s v="TXN35183001"/>
    <x v="2774"/>
    <x v="7"/>
    <x v="4"/>
    <n v="67294"/>
    <x v="1"/>
    <x v="7"/>
    <x v="5"/>
    <n v="672.94"/>
    <n v="0"/>
    <n v="672.94"/>
    <s v="Success"/>
  </r>
  <r>
    <s v="TXN76388848"/>
    <x v="2775"/>
    <x v="7"/>
    <x v="3"/>
    <n v="141645"/>
    <x v="0"/>
    <x v="5"/>
    <x v="0"/>
    <n v="0"/>
    <n v="0"/>
    <n v="0"/>
    <s v="Success"/>
  </r>
  <r>
    <s v="TXN79709289"/>
    <x v="2776"/>
    <x v="4"/>
    <x v="3"/>
    <n v="44779"/>
    <x v="0"/>
    <x v="5"/>
    <x v="0"/>
    <n v="0"/>
    <n v="0"/>
    <n v="0"/>
    <s v="Success"/>
  </r>
  <r>
    <s v="TXN80174827"/>
    <x v="2777"/>
    <x v="1"/>
    <x v="4"/>
    <n v="148594"/>
    <x v="0"/>
    <x v="6"/>
    <x v="4"/>
    <n v="1485.94"/>
    <n v="0"/>
    <n v="1485.94"/>
    <s v="Success"/>
  </r>
  <r>
    <s v="TXN50554487"/>
    <x v="2778"/>
    <x v="5"/>
    <x v="4"/>
    <n v="90605"/>
    <x v="0"/>
    <x v="4"/>
    <x v="3"/>
    <n v="906.05"/>
    <n v="0"/>
    <n v="906.05"/>
    <s v="Success"/>
  </r>
  <r>
    <s v="TXN46881398"/>
    <x v="2779"/>
    <x v="7"/>
    <x v="1"/>
    <n v="103535"/>
    <x v="0"/>
    <x v="0"/>
    <x v="0"/>
    <n v="5"/>
    <n v="0"/>
    <n v="5"/>
    <s v="Failed"/>
  </r>
  <r>
    <s v="TXN92061506"/>
    <x v="2780"/>
    <x v="7"/>
    <x v="0"/>
    <n v="219000"/>
    <x v="0"/>
    <x v="4"/>
    <x v="0"/>
    <n v="4051.5"/>
    <n v="1620.6"/>
    <n v="2430.9"/>
    <s v="Success"/>
  </r>
  <r>
    <s v="TXN92744348"/>
    <x v="2781"/>
    <x v="4"/>
    <x v="2"/>
    <n v="3599"/>
    <x v="0"/>
    <x v="5"/>
    <x v="0"/>
    <n v="0"/>
    <n v="0"/>
    <n v="0"/>
    <s v="Success"/>
  </r>
  <r>
    <s v="TXN70502917"/>
    <x v="2782"/>
    <x v="0"/>
    <x v="1"/>
    <n v="121872"/>
    <x v="0"/>
    <x v="4"/>
    <x v="0"/>
    <n v="5"/>
    <n v="0"/>
    <n v="5"/>
    <s v="Success"/>
  </r>
  <r>
    <s v="TXN25681105"/>
    <x v="2783"/>
    <x v="2"/>
    <x v="4"/>
    <n v="142758"/>
    <x v="0"/>
    <x v="4"/>
    <x v="2"/>
    <n v="1427.58"/>
    <n v="0"/>
    <n v="1427.58"/>
    <s v="Success"/>
  </r>
  <r>
    <s v="TXN37629825"/>
    <x v="2784"/>
    <x v="4"/>
    <x v="0"/>
    <n v="101500"/>
    <x v="2"/>
    <x v="0"/>
    <x v="0"/>
    <n v="1877.75"/>
    <n v="751.1"/>
    <n v="1126.6500000000001"/>
    <s v="Success"/>
  </r>
  <r>
    <s v="TXN63797857"/>
    <x v="2785"/>
    <x v="6"/>
    <x v="0"/>
    <n v="105000"/>
    <x v="1"/>
    <x v="5"/>
    <x v="0"/>
    <n v="1942.5"/>
    <n v="777"/>
    <n v="1165.5"/>
    <s v="Failed"/>
  </r>
  <r>
    <s v="TXN90432121"/>
    <x v="2786"/>
    <x v="7"/>
    <x v="1"/>
    <n v="122568"/>
    <x v="0"/>
    <x v="1"/>
    <x v="0"/>
    <n v="5"/>
    <n v="0"/>
    <n v="5"/>
    <s v="Success"/>
  </r>
  <r>
    <s v="TXN11998175"/>
    <x v="2787"/>
    <x v="1"/>
    <x v="4"/>
    <n v="74913"/>
    <x v="0"/>
    <x v="4"/>
    <x v="1"/>
    <n v="749.13"/>
    <n v="0"/>
    <n v="749.13"/>
    <s v="Success"/>
  </r>
  <r>
    <s v="TXN51323209"/>
    <x v="2788"/>
    <x v="5"/>
    <x v="1"/>
    <n v="121818"/>
    <x v="0"/>
    <x v="5"/>
    <x v="0"/>
    <n v="5"/>
    <n v="0"/>
    <n v="5"/>
    <s v="Success"/>
  </r>
  <r>
    <s v="TXN33566155"/>
    <x v="2789"/>
    <x v="6"/>
    <x v="2"/>
    <n v="3246"/>
    <x v="0"/>
    <x v="3"/>
    <x v="0"/>
    <n v="0"/>
    <n v="0"/>
    <n v="0"/>
    <s v="Success"/>
  </r>
  <r>
    <s v="TXN58837782"/>
    <x v="2790"/>
    <x v="6"/>
    <x v="3"/>
    <n v="142726"/>
    <x v="0"/>
    <x v="2"/>
    <x v="0"/>
    <n v="0"/>
    <n v="0"/>
    <n v="0"/>
    <s v="Success"/>
  </r>
  <r>
    <s v="TXN77466688"/>
    <x v="2791"/>
    <x v="7"/>
    <x v="2"/>
    <n v="4197"/>
    <x v="0"/>
    <x v="6"/>
    <x v="0"/>
    <n v="0"/>
    <n v="0"/>
    <n v="0"/>
    <s v="Success"/>
  </r>
  <r>
    <s v="TXN52611168"/>
    <x v="2792"/>
    <x v="6"/>
    <x v="0"/>
    <n v="147000"/>
    <x v="0"/>
    <x v="8"/>
    <x v="0"/>
    <n v="2719.5"/>
    <n v="1087.8"/>
    <n v="1631.7"/>
    <s v="Success"/>
  </r>
  <r>
    <s v="TXN15182975"/>
    <x v="2793"/>
    <x v="7"/>
    <x v="0"/>
    <n v="15000"/>
    <x v="0"/>
    <x v="7"/>
    <x v="0"/>
    <n v="277.5"/>
    <n v="111"/>
    <n v="166.5"/>
    <s v="Success"/>
  </r>
  <r>
    <s v="TXN81774257"/>
    <x v="2794"/>
    <x v="4"/>
    <x v="2"/>
    <n v="2982"/>
    <x v="0"/>
    <x v="3"/>
    <x v="0"/>
    <n v="0"/>
    <n v="0"/>
    <n v="0"/>
    <s v="Success"/>
  </r>
  <r>
    <s v="TXN48367378"/>
    <x v="2795"/>
    <x v="3"/>
    <x v="2"/>
    <n v="4846"/>
    <x v="0"/>
    <x v="5"/>
    <x v="0"/>
    <n v="0"/>
    <n v="0"/>
    <n v="0"/>
    <s v="Success"/>
  </r>
  <r>
    <s v="TXN96104198"/>
    <x v="2796"/>
    <x v="4"/>
    <x v="1"/>
    <n v="97419"/>
    <x v="0"/>
    <x v="3"/>
    <x v="0"/>
    <n v="5"/>
    <n v="0"/>
    <n v="5"/>
    <s v="Success"/>
  </r>
  <r>
    <s v="TXN79710983"/>
    <x v="2797"/>
    <x v="1"/>
    <x v="4"/>
    <n v="63075"/>
    <x v="2"/>
    <x v="5"/>
    <x v="3"/>
    <n v="630.75"/>
    <n v="0"/>
    <n v="630.75"/>
    <s v="Success"/>
  </r>
  <r>
    <s v="TXN70991537"/>
    <x v="2798"/>
    <x v="0"/>
    <x v="2"/>
    <n v="2134"/>
    <x v="1"/>
    <x v="6"/>
    <x v="0"/>
    <n v="0"/>
    <n v="0"/>
    <n v="0"/>
    <s v="Success"/>
  </r>
  <r>
    <s v="TXN19002968"/>
    <x v="2799"/>
    <x v="2"/>
    <x v="1"/>
    <n v="112858"/>
    <x v="0"/>
    <x v="0"/>
    <x v="0"/>
    <n v="5"/>
    <n v="0"/>
    <n v="5"/>
    <s v="Success"/>
  </r>
  <r>
    <s v="TXN20141510"/>
    <x v="2800"/>
    <x v="1"/>
    <x v="4"/>
    <n v="127568"/>
    <x v="0"/>
    <x v="0"/>
    <x v="1"/>
    <n v="1275.68"/>
    <n v="0"/>
    <n v="1275.68"/>
    <s v="Success"/>
  </r>
  <r>
    <s v="TXN41781215"/>
    <x v="2801"/>
    <x v="2"/>
    <x v="3"/>
    <n v="122065"/>
    <x v="0"/>
    <x v="7"/>
    <x v="0"/>
    <n v="0"/>
    <n v="0"/>
    <n v="0"/>
    <s v="Success"/>
  </r>
  <r>
    <s v="TXN48885218"/>
    <x v="2802"/>
    <x v="3"/>
    <x v="3"/>
    <n v="82699"/>
    <x v="1"/>
    <x v="5"/>
    <x v="0"/>
    <n v="0"/>
    <n v="0"/>
    <n v="0"/>
    <s v="Success"/>
  </r>
  <r>
    <s v="TXN44840435"/>
    <x v="2803"/>
    <x v="5"/>
    <x v="2"/>
    <n v="610"/>
    <x v="2"/>
    <x v="7"/>
    <x v="0"/>
    <n v="0"/>
    <n v="0"/>
    <n v="0"/>
    <s v="Success"/>
  </r>
  <r>
    <s v="TXN93634215"/>
    <x v="2804"/>
    <x v="6"/>
    <x v="4"/>
    <n v="61271"/>
    <x v="0"/>
    <x v="1"/>
    <x v="2"/>
    <n v="612.71"/>
    <n v="0"/>
    <n v="612.71"/>
    <s v="Success"/>
  </r>
  <r>
    <s v="TXN93557537"/>
    <x v="2805"/>
    <x v="5"/>
    <x v="2"/>
    <n v="560"/>
    <x v="0"/>
    <x v="2"/>
    <x v="0"/>
    <n v="0"/>
    <n v="0"/>
    <n v="0"/>
    <s v="Success"/>
  </r>
  <r>
    <s v="TXN16118649"/>
    <x v="2806"/>
    <x v="3"/>
    <x v="1"/>
    <n v="7780"/>
    <x v="0"/>
    <x v="5"/>
    <x v="0"/>
    <n v="5"/>
    <n v="0"/>
    <n v="5"/>
    <s v="Success"/>
  </r>
  <r>
    <s v="TXN29102290"/>
    <x v="2807"/>
    <x v="0"/>
    <x v="2"/>
    <n v="1096"/>
    <x v="0"/>
    <x v="4"/>
    <x v="0"/>
    <n v="0"/>
    <n v="0"/>
    <n v="0"/>
    <s v="Success"/>
  </r>
  <r>
    <s v="TXN77246264"/>
    <x v="2808"/>
    <x v="1"/>
    <x v="3"/>
    <n v="78952"/>
    <x v="2"/>
    <x v="3"/>
    <x v="0"/>
    <n v="0"/>
    <n v="0"/>
    <n v="0"/>
    <s v="Success"/>
  </r>
  <r>
    <s v="TXN90129452"/>
    <x v="2809"/>
    <x v="3"/>
    <x v="0"/>
    <n v="33000"/>
    <x v="1"/>
    <x v="0"/>
    <x v="0"/>
    <n v="610.5"/>
    <n v="244.2"/>
    <n v="366.3"/>
    <s v="Success"/>
  </r>
  <r>
    <s v="TXN73629832"/>
    <x v="2810"/>
    <x v="0"/>
    <x v="2"/>
    <n v="3489"/>
    <x v="0"/>
    <x v="5"/>
    <x v="0"/>
    <n v="0"/>
    <n v="0"/>
    <n v="0"/>
    <s v="Success"/>
  </r>
  <r>
    <s v="TXN97871852"/>
    <x v="2811"/>
    <x v="4"/>
    <x v="3"/>
    <n v="27235"/>
    <x v="1"/>
    <x v="2"/>
    <x v="0"/>
    <n v="0"/>
    <n v="0"/>
    <n v="0"/>
    <s v="Success"/>
  </r>
  <r>
    <s v="TXN52380972"/>
    <x v="2812"/>
    <x v="6"/>
    <x v="2"/>
    <n v="3157"/>
    <x v="0"/>
    <x v="4"/>
    <x v="0"/>
    <n v="0"/>
    <n v="0"/>
    <n v="0"/>
    <s v="Failed"/>
  </r>
  <r>
    <s v="TXN87133891"/>
    <x v="2813"/>
    <x v="0"/>
    <x v="2"/>
    <n v="645"/>
    <x v="0"/>
    <x v="3"/>
    <x v="0"/>
    <n v="0"/>
    <n v="0"/>
    <n v="0"/>
    <s v="Success"/>
  </r>
  <r>
    <s v="TXN69442876"/>
    <x v="2814"/>
    <x v="3"/>
    <x v="4"/>
    <n v="110331"/>
    <x v="2"/>
    <x v="2"/>
    <x v="1"/>
    <n v="1103.31"/>
    <n v="0"/>
    <n v="1103.31"/>
    <s v="Success"/>
  </r>
  <r>
    <s v="TXN77877588"/>
    <x v="2815"/>
    <x v="1"/>
    <x v="0"/>
    <n v="10000"/>
    <x v="0"/>
    <x v="0"/>
    <x v="0"/>
    <n v="185"/>
    <n v="74"/>
    <n v="111"/>
    <s v="Success"/>
  </r>
  <r>
    <s v="TXN37509127"/>
    <x v="2816"/>
    <x v="6"/>
    <x v="3"/>
    <n v="100114"/>
    <x v="0"/>
    <x v="8"/>
    <x v="0"/>
    <n v="0"/>
    <n v="0"/>
    <n v="0"/>
    <s v="Failed"/>
  </r>
  <r>
    <s v="TXN14216838"/>
    <x v="2817"/>
    <x v="7"/>
    <x v="4"/>
    <n v="97682"/>
    <x v="0"/>
    <x v="5"/>
    <x v="1"/>
    <n v="976.82"/>
    <n v="0"/>
    <n v="976.82"/>
    <s v="Success"/>
  </r>
  <r>
    <s v="TXN38906406"/>
    <x v="2818"/>
    <x v="6"/>
    <x v="1"/>
    <n v="46395"/>
    <x v="0"/>
    <x v="6"/>
    <x v="0"/>
    <n v="5"/>
    <n v="0"/>
    <n v="5"/>
    <s v="Success"/>
  </r>
  <r>
    <s v="TXN54628314"/>
    <x v="2819"/>
    <x v="0"/>
    <x v="3"/>
    <n v="108843"/>
    <x v="0"/>
    <x v="4"/>
    <x v="0"/>
    <n v="0"/>
    <n v="0"/>
    <n v="0"/>
    <s v="Success"/>
  </r>
  <r>
    <s v="TXN36594208"/>
    <x v="2820"/>
    <x v="1"/>
    <x v="4"/>
    <n v="29767"/>
    <x v="0"/>
    <x v="8"/>
    <x v="5"/>
    <n v="297.67"/>
    <n v="0"/>
    <n v="297.67"/>
    <s v="Success"/>
  </r>
  <r>
    <s v="TXN69535248"/>
    <x v="2821"/>
    <x v="1"/>
    <x v="0"/>
    <n v="105000"/>
    <x v="0"/>
    <x v="3"/>
    <x v="0"/>
    <n v="1942.5"/>
    <n v="777"/>
    <n v="1165.5"/>
    <s v="Success"/>
  </r>
  <r>
    <s v="TXN70774239"/>
    <x v="2822"/>
    <x v="3"/>
    <x v="4"/>
    <n v="57309"/>
    <x v="0"/>
    <x v="7"/>
    <x v="5"/>
    <n v="573.09"/>
    <n v="0"/>
    <n v="573.09"/>
    <s v="Success"/>
  </r>
  <r>
    <s v="TXN27199107"/>
    <x v="2823"/>
    <x v="0"/>
    <x v="2"/>
    <n v="1974"/>
    <x v="0"/>
    <x v="7"/>
    <x v="0"/>
    <n v="0"/>
    <n v="0"/>
    <n v="0"/>
    <s v="Success"/>
  </r>
  <r>
    <s v="TXN62732250"/>
    <x v="2824"/>
    <x v="2"/>
    <x v="2"/>
    <n v="1707"/>
    <x v="0"/>
    <x v="6"/>
    <x v="0"/>
    <n v="0"/>
    <n v="0"/>
    <n v="0"/>
    <s v="Success"/>
  </r>
  <r>
    <s v="TXN63785014"/>
    <x v="2825"/>
    <x v="0"/>
    <x v="0"/>
    <n v="162000"/>
    <x v="0"/>
    <x v="6"/>
    <x v="0"/>
    <n v="2997"/>
    <n v="1198.8"/>
    <n v="1798.2"/>
    <s v="Success"/>
  </r>
  <r>
    <s v="TXN11968860"/>
    <x v="2826"/>
    <x v="5"/>
    <x v="1"/>
    <n v="98188"/>
    <x v="0"/>
    <x v="6"/>
    <x v="0"/>
    <n v="5"/>
    <n v="0"/>
    <n v="5"/>
    <s v="Success"/>
  </r>
  <r>
    <s v="TXN50489644"/>
    <x v="2827"/>
    <x v="2"/>
    <x v="3"/>
    <n v="93139"/>
    <x v="0"/>
    <x v="8"/>
    <x v="0"/>
    <n v="0"/>
    <n v="0"/>
    <n v="0"/>
    <s v="Success"/>
  </r>
  <r>
    <s v="TXN45492980"/>
    <x v="2828"/>
    <x v="7"/>
    <x v="3"/>
    <n v="88037"/>
    <x v="0"/>
    <x v="2"/>
    <x v="0"/>
    <n v="0"/>
    <n v="0"/>
    <n v="0"/>
    <s v="Success"/>
  </r>
  <r>
    <s v="TXN48596624"/>
    <x v="2829"/>
    <x v="6"/>
    <x v="0"/>
    <n v="184000"/>
    <x v="0"/>
    <x v="0"/>
    <x v="0"/>
    <n v="3404"/>
    <n v="1361.6"/>
    <n v="2042.4"/>
    <s v="Success"/>
  </r>
  <r>
    <s v="TXN18304191"/>
    <x v="2830"/>
    <x v="7"/>
    <x v="4"/>
    <n v="34442"/>
    <x v="0"/>
    <x v="7"/>
    <x v="4"/>
    <n v="344.42"/>
    <n v="0"/>
    <n v="344.42"/>
    <s v="Success"/>
  </r>
  <r>
    <s v="TXN35000554"/>
    <x v="2831"/>
    <x v="2"/>
    <x v="1"/>
    <n v="129652"/>
    <x v="0"/>
    <x v="2"/>
    <x v="0"/>
    <n v="5"/>
    <n v="0"/>
    <n v="5"/>
    <s v="Success"/>
  </r>
  <r>
    <s v="TXN97849078"/>
    <x v="2832"/>
    <x v="6"/>
    <x v="4"/>
    <n v="79868"/>
    <x v="1"/>
    <x v="7"/>
    <x v="3"/>
    <n v="798.68"/>
    <n v="0"/>
    <n v="798.68"/>
    <s v="Success"/>
  </r>
  <r>
    <s v="TXN23196458"/>
    <x v="2833"/>
    <x v="6"/>
    <x v="3"/>
    <n v="118418"/>
    <x v="0"/>
    <x v="5"/>
    <x v="0"/>
    <n v="0"/>
    <n v="0"/>
    <n v="0"/>
    <s v="Success"/>
  </r>
  <r>
    <s v="TXN91459431"/>
    <x v="2834"/>
    <x v="1"/>
    <x v="0"/>
    <n v="226500"/>
    <x v="0"/>
    <x v="3"/>
    <x v="0"/>
    <n v="4190.25"/>
    <n v="1676.1"/>
    <n v="2514.15"/>
    <s v="Success"/>
  </r>
  <r>
    <s v="TXN13239572"/>
    <x v="2835"/>
    <x v="2"/>
    <x v="2"/>
    <n v="2988"/>
    <x v="0"/>
    <x v="5"/>
    <x v="0"/>
    <n v="0"/>
    <n v="0"/>
    <n v="0"/>
    <s v="Success"/>
  </r>
  <r>
    <s v="TXN64744849"/>
    <x v="2836"/>
    <x v="7"/>
    <x v="1"/>
    <n v="70146"/>
    <x v="0"/>
    <x v="1"/>
    <x v="0"/>
    <n v="5"/>
    <n v="0"/>
    <n v="5"/>
    <s v="Success"/>
  </r>
  <r>
    <s v="TXN48241366"/>
    <x v="2837"/>
    <x v="7"/>
    <x v="2"/>
    <n v="1473"/>
    <x v="1"/>
    <x v="5"/>
    <x v="0"/>
    <n v="0"/>
    <n v="0"/>
    <n v="0"/>
    <s v="Success"/>
  </r>
  <r>
    <s v="TXN23772524"/>
    <x v="2838"/>
    <x v="3"/>
    <x v="3"/>
    <n v="84269"/>
    <x v="0"/>
    <x v="7"/>
    <x v="0"/>
    <n v="0"/>
    <n v="0"/>
    <n v="0"/>
    <s v="Success"/>
  </r>
  <r>
    <s v="TXN82726366"/>
    <x v="2839"/>
    <x v="1"/>
    <x v="1"/>
    <n v="113722"/>
    <x v="1"/>
    <x v="6"/>
    <x v="0"/>
    <n v="5"/>
    <n v="0"/>
    <n v="5"/>
    <s v="Success"/>
  </r>
  <r>
    <s v="TXN79600707"/>
    <x v="2840"/>
    <x v="3"/>
    <x v="3"/>
    <n v="70298"/>
    <x v="1"/>
    <x v="2"/>
    <x v="0"/>
    <n v="0"/>
    <n v="0"/>
    <n v="0"/>
    <s v="Failed"/>
  </r>
  <r>
    <s v="TXN71239650"/>
    <x v="2841"/>
    <x v="2"/>
    <x v="0"/>
    <n v="81500"/>
    <x v="0"/>
    <x v="0"/>
    <x v="0"/>
    <n v="1507.75"/>
    <n v="603.1"/>
    <n v="904.65"/>
    <s v="Success"/>
  </r>
  <r>
    <s v="TXN47890820"/>
    <x v="2842"/>
    <x v="4"/>
    <x v="2"/>
    <n v="1196"/>
    <x v="0"/>
    <x v="5"/>
    <x v="0"/>
    <n v="0"/>
    <n v="0"/>
    <n v="0"/>
    <s v="Success"/>
  </r>
  <r>
    <s v="TXN95916732"/>
    <x v="2843"/>
    <x v="6"/>
    <x v="3"/>
    <n v="141609"/>
    <x v="1"/>
    <x v="5"/>
    <x v="0"/>
    <n v="0"/>
    <n v="0"/>
    <n v="0"/>
    <s v="Success"/>
  </r>
  <r>
    <s v="TXN10352982"/>
    <x v="2844"/>
    <x v="2"/>
    <x v="1"/>
    <n v="2319"/>
    <x v="1"/>
    <x v="2"/>
    <x v="0"/>
    <n v="5"/>
    <n v="0"/>
    <n v="5"/>
    <s v="Success"/>
  </r>
  <r>
    <s v="TXN31396963"/>
    <x v="2845"/>
    <x v="2"/>
    <x v="3"/>
    <n v="11631"/>
    <x v="0"/>
    <x v="1"/>
    <x v="0"/>
    <n v="0"/>
    <n v="0"/>
    <n v="0"/>
    <s v="Success"/>
  </r>
  <r>
    <s v="TXN22219491"/>
    <x v="2846"/>
    <x v="7"/>
    <x v="0"/>
    <n v="124000"/>
    <x v="0"/>
    <x v="2"/>
    <x v="0"/>
    <n v="2294"/>
    <n v="917.6"/>
    <n v="1376.4"/>
    <s v="Success"/>
  </r>
  <r>
    <s v="TXN14400289"/>
    <x v="2847"/>
    <x v="3"/>
    <x v="2"/>
    <n v="4459"/>
    <x v="0"/>
    <x v="5"/>
    <x v="0"/>
    <n v="0"/>
    <n v="0"/>
    <n v="0"/>
    <s v="Success"/>
  </r>
  <r>
    <s v="TXN76695324"/>
    <x v="2848"/>
    <x v="6"/>
    <x v="1"/>
    <n v="53424"/>
    <x v="0"/>
    <x v="7"/>
    <x v="0"/>
    <n v="5"/>
    <n v="0"/>
    <n v="5"/>
    <s v="Success"/>
  </r>
  <r>
    <s v="TXN19295478"/>
    <x v="2849"/>
    <x v="3"/>
    <x v="4"/>
    <n v="95338"/>
    <x v="0"/>
    <x v="6"/>
    <x v="2"/>
    <n v="953.38"/>
    <n v="0"/>
    <n v="953.38"/>
    <s v="Success"/>
  </r>
  <r>
    <s v="TXN28248402"/>
    <x v="2850"/>
    <x v="2"/>
    <x v="3"/>
    <n v="120444"/>
    <x v="0"/>
    <x v="4"/>
    <x v="0"/>
    <n v="0"/>
    <n v="0"/>
    <n v="0"/>
    <s v="Success"/>
  </r>
  <r>
    <s v="TXN27925668"/>
    <x v="2851"/>
    <x v="0"/>
    <x v="2"/>
    <n v="286"/>
    <x v="0"/>
    <x v="7"/>
    <x v="0"/>
    <n v="0"/>
    <n v="0"/>
    <n v="0"/>
    <s v="Success"/>
  </r>
  <r>
    <s v="TXN92409193"/>
    <x v="2852"/>
    <x v="6"/>
    <x v="3"/>
    <n v="15038"/>
    <x v="0"/>
    <x v="2"/>
    <x v="0"/>
    <n v="0"/>
    <n v="0"/>
    <n v="0"/>
    <s v="Success"/>
  </r>
  <r>
    <s v="TXN94143819"/>
    <x v="2853"/>
    <x v="2"/>
    <x v="1"/>
    <n v="65531"/>
    <x v="0"/>
    <x v="1"/>
    <x v="0"/>
    <n v="5"/>
    <n v="0"/>
    <n v="5"/>
    <s v="Success"/>
  </r>
  <r>
    <s v="TXN90695066"/>
    <x v="2854"/>
    <x v="5"/>
    <x v="0"/>
    <n v="183500"/>
    <x v="0"/>
    <x v="6"/>
    <x v="0"/>
    <n v="3394.75"/>
    <n v="1357.9"/>
    <n v="2036.85"/>
    <s v="Success"/>
  </r>
  <r>
    <s v="TXN15149130"/>
    <x v="2855"/>
    <x v="4"/>
    <x v="4"/>
    <n v="15575"/>
    <x v="0"/>
    <x v="4"/>
    <x v="1"/>
    <n v="155.75"/>
    <n v="0"/>
    <n v="155.75"/>
    <s v="Failed"/>
  </r>
  <r>
    <s v="TXN72066669"/>
    <x v="2856"/>
    <x v="3"/>
    <x v="2"/>
    <n v="2597"/>
    <x v="0"/>
    <x v="5"/>
    <x v="0"/>
    <n v="0"/>
    <n v="0"/>
    <n v="0"/>
    <s v="Failed"/>
  </r>
  <r>
    <s v="TXN38186070"/>
    <x v="2857"/>
    <x v="6"/>
    <x v="0"/>
    <n v="90500"/>
    <x v="1"/>
    <x v="7"/>
    <x v="0"/>
    <n v="1674.25"/>
    <n v="669.7"/>
    <n v="1004.55"/>
    <s v="Success"/>
  </r>
  <r>
    <s v="TXN76234236"/>
    <x v="2858"/>
    <x v="7"/>
    <x v="2"/>
    <n v="4316"/>
    <x v="0"/>
    <x v="7"/>
    <x v="0"/>
    <n v="0"/>
    <n v="0"/>
    <n v="0"/>
    <s v="Success"/>
  </r>
  <r>
    <s v="TXN71285079"/>
    <x v="2859"/>
    <x v="5"/>
    <x v="3"/>
    <n v="125531"/>
    <x v="2"/>
    <x v="7"/>
    <x v="0"/>
    <n v="0"/>
    <n v="0"/>
    <n v="0"/>
    <s v="Success"/>
  </r>
  <r>
    <s v="TXN53048775"/>
    <x v="2860"/>
    <x v="4"/>
    <x v="0"/>
    <n v="19000"/>
    <x v="0"/>
    <x v="2"/>
    <x v="0"/>
    <n v="351.5"/>
    <n v="140.6"/>
    <n v="210.9"/>
    <s v="Success"/>
  </r>
  <r>
    <s v="TXN30324908"/>
    <x v="2861"/>
    <x v="2"/>
    <x v="3"/>
    <n v="146372"/>
    <x v="0"/>
    <x v="0"/>
    <x v="0"/>
    <n v="0"/>
    <n v="0"/>
    <n v="0"/>
    <s v="Success"/>
  </r>
  <r>
    <s v="TXN82219053"/>
    <x v="2862"/>
    <x v="5"/>
    <x v="2"/>
    <n v="4526"/>
    <x v="0"/>
    <x v="2"/>
    <x v="0"/>
    <n v="0"/>
    <n v="0"/>
    <n v="0"/>
    <s v="Success"/>
  </r>
  <r>
    <s v="TXN38980638"/>
    <x v="2863"/>
    <x v="3"/>
    <x v="0"/>
    <n v="100000"/>
    <x v="1"/>
    <x v="5"/>
    <x v="0"/>
    <n v="1850"/>
    <n v="740"/>
    <n v="1110"/>
    <s v="Success"/>
  </r>
  <r>
    <s v="TXN12776677"/>
    <x v="2864"/>
    <x v="1"/>
    <x v="0"/>
    <n v="4000"/>
    <x v="1"/>
    <x v="5"/>
    <x v="0"/>
    <n v="74"/>
    <n v="29.6"/>
    <n v="44.4"/>
    <s v="Success"/>
  </r>
  <r>
    <s v="TXN43432841"/>
    <x v="2865"/>
    <x v="6"/>
    <x v="2"/>
    <n v="4593"/>
    <x v="0"/>
    <x v="5"/>
    <x v="0"/>
    <n v="0"/>
    <n v="0"/>
    <n v="0"/>
    <s v="Success"/>
  </r>
  <r>
    <s v="TXN39141283"/>
    <x v="2866"/>
    <x v="1"/>
    <x v="4"/>
    <n v="46136"/>
    <x v="0"/>
    <x v="4"/>
    <x v="1"/>
    <n v="461.36"/>
    <n v="0"/>
    <n v="461.36"/>
    <s v="Success"/>
  </r>
  <r>
    <s v="TXN33102756"/>
    <x v="2867"/>
    <x v="7"/>
    <x v="4"/>
    <n v="2799"/>
    <x v="0"/>
    <x v="3"/>
    <x v="2"/>
    <n v="27.99"/>
    <n v="0"/>
    <n v="27.99"/>
    <s v="Success"/>
  </r>
  <r>
    <s v="TXN37997064"/>
    <x v="2868"/>
    <x v="0"/>
    <x v="0"/>
    <n v="24500"/>
    <x v="1"/>
    <x v="0"/>
    <x v="0"/>
    <n v="453.25"/>
    <n v="181.3"/>
    <n v="271.95"/>
    <s v="Success"/>
  </r>
  <r>
    <s v="TXN58080593"/>
    <x v="2869"/>
    <x v="5"/>
    <x v="2"/>
    <n v="2709"/>
    <x v="0"/>
    <x v="0"/>
    <x v="0"/>
    <n v="0"/>
    <n v="0"/>
    <n v="0"/>
    <s v="Success"/>
  </r>
  <r>
    <s v="TXN50402024"/>
    <x v="2870"/>
    <x v="7"/>
    <x v="1"/>
    <n v="34073"/>
    <x v="0"/>
    <x v="4"/>
    <x v="0"/>
    <n v="5"/>
    <n v="0"/>
    <n v="5"/>
    <s v="Success"/>
  </r>
  <r>
    <s v="TXN61768066"/>
    <x v="2871"/>
    <x v="1"/>
    <x v="2"/>
    <n v="883"/>
    <x v="0"/>
    <x v="2"/>
    <x v="0"/>
    <n v="0"/>
    <n v="0"/>
    <n v="0"/>
    <s v="Success"/>
  </r>
  <r>
    <s v="TXN28312799"/>
    <x v="2872"/>
    <x v="2"/>
    <x v="3"/>
    <n v="112562"/>
    <x v="0"/>
    <x v="5"/>
    <x v="0"/>
    <n v="0"/>
    <n v="0"/>
    <n v="0"/>
    <s v="Success"/>
  </r>
  <r>
    <s v="TXN66796256"/>
    <x v="2873"/>
    <x v="0"/>
    <x v="1"/>
    <n v="39482"/>
    <x v="0"/>
    <x v="7"/>
    <x v="0"/>
    <n v="5"/>
    <n v="0"/>
    <n v="5"/>
    <s v="Success"/>
  </r>
  <r>
    <s v="TXN28164079"/>
    <x v="2874"/>
    <x v="1"/>
    <x v="1"/>
    <n v="53879"/>
    <x v="0"/>
    <x v="8"/>
    <x v="0"/>
    <n v="5"/>
    <n v="0"/>
    <n v="5"/>
    <s v="Success"/>
  </r>
  <r>
    <s v="TXN80148327"/>
    <x v="2875"/>
    <x v="7"/>
    <x v="1"/>
    <n v="57620"/>
    <x v="0"/>
    <x v="6"/>
    <x v="0"/>
    <n v="5"/>
    <n v="0"/>
    <n v="5"/>
    <s v="Success"/>
  </r>
  <r>
    <s v="TXN74142048"/>
    <x v="2876"/>
    <x v="1"/>
    <x v="0"/>
    <n v="130500"/>
    <x v="0"/>
    <x v="2"/>
    <x v="0"/>
    <n v="2414.25"/>
    <n v="965.7"/>
    <n v="1448.55"/>
    <s v="Success"/>
  </r>
  <r>
    <s v="TXN48669106"/>
    <x v="2877"/>
    <x v="0"/>
    <x v="4"/>
    <n v="138396"/>
    <x v="1"/>
    <x v="5"/>
    <x v="5"/>
    <n v="1383.96"/>
    <n v="0"/>
    <n v="1383.96"/>
    <s v="Success"/>
  </r>
  <r>
    <s v="TXN89403576"/>
    <x v="2878"/>
    <x v="1"/>
    <x v="1"/>
    <n v="77053"/>
    <x v="0"/>
    <x v="8"/>
    <x v="0"/>
    <n v="5"/>
    <n v="0"/>
    <n v="5"/>
    <s v="Success"/>
  </r>
  <r>
    <s v="TXN88993066"/>
    <x v="2879"/>
    <x v="7"/>
    <x v="1"/>
    <n v="57786"/>
    <x v="0"/>
    <x v="7"/>
    <x v="0"/>
    <n v="5"/>
    <n v="0"/>
    <n v="5"/>
    <s v="Success"/>
  </r>
  <r>
    <s v="TXN18264422"/>
    <x v="2880"/>
    <x v="1"/>
    <x v="0"/>
    <n v="97500"/>
    <x v="0"/>
    <x v="0"/>
    <x v="0"/>
    <n v="1803.75"/>
    <n v="721.5"/>
    <n v="1082.25"/>
    <s v="Success"/>
  </r>
  <r>
    <s v="TXN39485679"/>
    <x v="2881"/>
    <x v="5"/>
    <x v="4"/>
    <n v="53950"/>
    <x v="1"/>
    <x v="7"/>
    <x v="3"/>
    <n v="539.5"/>
    <n v="0"/>
    <n v="539.5"/>
    <s v="Success"/>
  </r>
  <r>
    <s v="TXN83072389"/>
    <x v="2882"/>
    <x v="3"/>
    <x v="2"/>
    <n v="3541"/>
    <x v="0"/>
    <x v="2"/>
    <x v="0"/>
    <n v="0"/>
    <n v="0"/>
    <n v="0"/>
    <s v="Success"/>
  </r>
  <r>
    <s v="TXN87378107"/>
    <x v="2883"/>
    <x v="2"/>
    <x v="1"/>
    <n v="127891"/>
    <x v="0"/>
    <x v="2"/>
    <x v="0"/>
    <n v="5"/>
    <n v="0"/>
    <n v="5"/>
    <s v="Success"/>
  </r>
  <r>
    <s v="TXN29247552"/>
    <x v="2884"/>
    <x v="7"/>
    <x v="0"/>
    <n v="206000"/>
    <x v="0"/>
    <x v="5"/>
    <x v="0"/>
    <n v="3811"/>
    <n v="1524.4"/>
    <n v="2286.6"/>
    <s v="Success"/>
  </r>
  <r>
    <s v="TXN29144243"/>
    <x v="2885"/>
    <x v="0"/>
    <x v="4"/>
    <n v="107842"/>
    <x v="1"/>
    <x v="0"/>
    <x v="2"/>
    <n v="1078.42"/>
    <n v="0"/>
    <n v="1078.42"/>
    <s v="Success"/>
  </r>
  <r>
    <s v="TXN53846260"/>
    <x v="2886"/>
    <x v="2"/>
    <x v="3"/>
    <n v="34128"/>
    <x v="0"/>
    <x v="1"/>
    <x v="0"/>
    <n v="0"/>
    <n v="0"/>
    <n v="0"/>
    <s v="Success"/>
  </r>
  <r>
    <s v="TXN27255749"/>
    <x v="2887"/>
    <x v="1"/>
    <x v="1"/>
    <n v="125342"/>
    <x v="1"/>
    <x v="3"/>
    <x v="0"/>
    <n v="5"/>
    <n v="0"/>
    <n v="5"/>
    <s v="Success"/>
  </r>
  <r>
    <s v="TXN91023427"/>
    <x v="2888"/>
    <x v="0"/>
    <x v="2"/>
    <n v="571"/>
    <x v="0"/>
    <x v="3"/>
    <x v="0"/>
    <n v="0"/>
    <n v="0"/>
    <n v="0"/>
    <s v="Success"/>
  </r>
  <r>
    <s v="TXN57676071"/>
    <x v="2889"/>
    <x v="2"/>
    <x v="1"/>
    <n v="72377"/>
    <x v="0"/>
    <x v="8"/>
    <x v="0"/>
    <n v="5"/>
    <n v="0"/>
    <n v="5"/>
    <s v="Success"/>
  </r>
  <r>
    <s v="TXN61172269"/>
    <x v="2890"/>
    <x v="5"/>
    <x v="1"/>
    <n v="95177"/>
    <x v="1"/>
    <x v="0"/>
    <x v="0"/>
    <n v="5"/>
    <n v="0"/>
    <n v="5"/>
    <s v="Success"/>
  </r>
  <r>
    <s v="TXN73522523"/>
    <x v="2891"/>
    <x v="4"/>
    <x v="3"/>
    <n v="5676"/>
    <x v="1"/>
    <x v="6"/>
    <x v="0"/>
    <n v="0"/>
    <n v="0"/>
    <n v="0"/>
    <s v="Success"/>
  </r>
  <r>
    <s v="TXN46682682"/>
    <x v="2892"/>
    <x v="7"/>
    <x v="2"/>
    <n v="3219"/>
    <x v="0"/>
    <x v="8"/>
    <x v="0"/>
    <n v="0"/>
    <n v="0"/>
    <n v="0"/>
    <s v="Success"/>
  </r>
  <r>
    <s v="TXN23849272"/>
    <x v="2893"/>
    <x v="4"/>
    <x v="3"/>
    <n v="134258"/>
    <x v="0"/>
    <x v="2"/>
    <x v="0"/>
    <n v="0"/>
    <n v="0"/>
    <n v="0"/>
    <s v="Success"/>
  </r>
  <r>
    <s v="TXN17159545"/>
    <x v="2894"/>
    <x v="3"/>
    <x v="4"/>
    <n v="78029"/>
    <x v="1"/>
    <x v="8"/>
    <x v="4"/>
    <n v="780.29"/>
    <n v="0"/>
    <n v="780.29"/>
    <s v="Failed"/>
  </r>
  <r>
    <s v="TXN75220348"/>
    <x v="2895"/>
    <x v="0"/>
    <x v="3"/>
    <n v="118530"/>
    <x v="0"/>
    <x v="3"/>
    <x v="0"/>
    <n v="0"/>
    <n v="0"/>
    <n v="0"/>
    <s v="Success"/>
  </r>
  <r>
    <s v="TXN74262722"/>
    <x v="2896"/>
    <x v="2"/>
    <x v="0"/>
    <n v="40000"/>
    <x v="0"/>
    <x v="7"/>
    <x v="0"/>
    <n v="740"/>
    <n v="296"/>
    <n v="444"/>
    <s v="Success"/>
  </r>
  <r>
    <s v="TXN83298933"/>
    <x v="2897"/>
    <x v="5"/>
    <x v="4"/>
    <n v="79087"/>
    <x v="0"/>
    <x v="8"/>
    <x v="5"/>
    <n v="790.87"/>
    <n v="0"/>
    <n v="790.87"/>
    <s v="Success"/>
  </r>
  <r>
    <s v="TXN94178753"/>
    <x v="2898"/>
    <x v="4"/>
    <x v="0"/>
    <n v="59000"/>
    <x v="1"/>
    <x v="3"/>
    <x v="0"/>
    <n v="1091.5"/>
    <n v="436.6"/>
    <n v="654.9"/>
    <s v="Success"/>
  </r>
  <r>
    <s v="TXN54402860"/>
    <x v="2899"/>
    <x v="4"/>
    <x v="0"/>
    <n v="234500"/>
    <x v="0"/>
    <x v="1"/>
    <x v="0"/>
    <n v="4338.25"/>
    <n v="1735.3"/>
    <n v="2602.9499999999998"/>
    <s v="Success"/>
  </r>
  <r>
    <s v="TXN56833997"/>
    <x v="2900"/>
    <x v="3"/>
    <x v="1"/>
    <n v="4241"/>
    <x v="2"/>
    <x v="4"/>
    <x v="0"/>
    <n v="5"/>
    <n v="0"/>
    <n v="5"/>
    <s v="Success"/>
  </r>
  <r>
    <s v="TXN71511184"/>
    <x v="2901"/>
    <x v="1"/>
    <x v="0"/>
    <n v="99000"/>
    <x v="0"/>
    <x v="6"/>
    <x v="0"/>
    <n v="1831.5"/>
    <n v="732.6"/>
    <n v="1098.9000000000001"/>
    <s v="Success"/>
  </r>
  <r>
    <s v="TXN25870256"/>
    <x v="2902"/>
    <x v="4"/>
    <x v="3"/>
    <n v="10018"/>
    <x v="0"/>
    <x v="8"/>
    <x v="0"/>
    <n v="0"/>
    <n v="0"/>
    <n v="0"/>
    <s v="Success"/>
  </r>
  <r>
    <s v="TXN20115230"/>
    <x v="2903"/>
    <x v="1"/>
    <x v="2"/>
    <n v="3022"/>
    <x v="0"/>
    <x v="4"/>
    <x v="0"/>
    <n v="0"/>
    <n v="0"/>
    <n v="0"/>
    <s v="Success"/>
  </r>
  <r>
    <s v="TXN82774094"/>
    <x v="2904"/>
    <x v="5"/>
    <x v="3"/>
    <n v="128369"/>
    <x v="0"/>
    <x v="5"/>
    <x v="0"/>
    <n v="0"/>
    <n v="0"/>
    <n v="0"/>
    <s v="Success"/>
  </r>
  <r>
    <s v="TXN15949059"/>
    <x v="2905"/>
    <x v="1"/>
    <x v="2"/>
    <n v="2651"/>
    <x v="1"/>
    <x v="7"/>
    <x v="0"/>
    <n v="0"/>
    <n v="0"/>
    <n v="0"/>
    <s v="Failed"/>
  </r>
  <r>
    <s v="TXN54620672"/>
    <x v="2906"/>
    <x v="0"/>
    <x v="0"/>
    <n v="161500"/>
    <x v="0"/>
    <x v="5"/>
    <x v="0"/>
    <n v="2987.75"/>
    <n v="1195.0999999999999"/>
    <n v="1792.65"/>
    <s v="Success"/>
  </r>
  <r>
    <s v="TXN32699629"/>
    <x v="2907"/>
    <x v="0"/>
    <x v="0"/>
    <n v="202500"/>
    <x v="2"/>
    <x v="8"/>
    <x v="0"/>
    <n v="3746.25"/>
    <n v="1498.5"/>
    <n v="2247.75"/>
    <s v="Success"/>
  </r>
  <r>
    <s v="TXN11943074"/>
    <x v="2908"/>
    <x v="3"/>
    <x v="4"/>
    <n v="121963"/>
    <x v="2"/>
    <x v="5"/>
    <x v="2"/>
    <n v="1219.6300000000001"/>
    <n v="0"/>
    <n v="1219.6300000000001"/>
    <s v="Success"/>
  </r>
  <r>
    <s v="TXN49423999"/>
    <x v="2909"/>
    <x v="3"/>
    <x v="0"/>
    <n v="215000"/>
    <x v="0"/>
    <x v="1"/>
    <x v="0"/>
    <n v="3977.5"/>
    <n v="1591"/>
    <n v="2386.5"/>
    <s v="Success"/>
  </r>
  <r>
    <s v="TXN72618415"/>
    <x v="2910"/>
    <x v="7"/>
    <x v="3"/>
    <n v="100316"/>
    <x v="0"/>
    <x v="5"/>
    <x v="0"/>
    <n v="0"/>
    <n v="0"/>
    <n v="0"/>
    <s v="Success"/>
  </r>
  <r>
    <s v="TXN84127040"/>
    <x v="2911"/>
    <x v="3"/>
    <x v="4"/>
    <n v="95888"/>
    <x v="0"/>
    <x v="1"/>
    <x v="4"/>
    <n v="958.88"/>
    <n v="0"/>
    <n v="958.88"/>
    <s v="Success"/>
  </r>
  <r>
    <s v="TXN70473079"/>
    <x v="2912"/>
    <x v="0"/>
    <x v="1"/>
    <n v="6692"/>
    <x v="0"/>
    <x v="7"/>
    <x v="0"/>
    <n v="5"/>
    <n v="0"/>
    <n v="5"/>
    <s v="Success"/>
  </r>
  <r>
    <s v="TXN94930126"/>
    <x v="2913"/>
    <x v="0"/>
    <x v="0"/>
    <n v="225000"/>
    <x v="1"/>
    <x v="2"/>
    <x v="0"/>
    <n v="4162.5"/>
    <n v="1665"/>
    <n v="2497.5"/>
    <s v="Success"/>
  </r>
  <r>
    <s v="TXN55215453"/>
    <x v="2914"/>
    <x v="2"/>
    <x v="1"/>
    <n v="50631"/>
    <x v="1"/>
    <x v="8"/>
    <x v="0"/>
    <n v="5"/>
    <n v="0"/>
    <n v="5"/>
    <s v="Success"/>
  </r>
  <r>
    <s v="TXN59030997"/>
    <x v="2915"/>
    <x v="4"/>
    <x v="1"/>
    <n v="17755"/>
    <x v="0"/>
    <x v="7"/>
    <x v="0"/>
    <n v="5"/>
    <n v="0"/>
    <n v="5"/>
    <s v="Success"/>
  </r>
  <r>
    <s v="TXN59506247"/>
    <x v="2916"/>
    <x v="6"/>
    <x v="4"/>
    <n v="101207"/>
    <x v="0"/>
    <x v="5"/>
    <x v="1"/>
    <n v="1012.07"/>
    <n v="0"/>
    <n v="1012.07"/>
    <s v="Success"/>
  </r>
  <r>
    <s v="TXN68005111"/>
    <x v="2917"/>
    <x v="7"/>
    <x v="3"/>
    <n v="69313"/>
    <x v="0"/>
    <x v="6"/>
    <x v="0"/>
    <n v="0"/>
    <n v="0"/>
    <n v="0"/>
    <s v="Success"/>
  </r>
  <r>
    <s v="TXN40263061"/>
    <x v="2918"/>
    <x v="2"/>
    <x v="0"/>
    <n v="183000"/>
    <x v="0"/>
    <x v="6"/>
    <x v="0"/>
    <n v="3385.5"/>
    <n v="1354.2"/>
    <n v="2031.3"/>
    <s v="Success"/>
  </r>
  <r>
    <s v="TXN52184357"/>
    <x v="2919"/>
    <x v="4"/>
    <x v="3"/>
    <n v="36329"/>
    <x v="0"/>
    <x v="5"/>
    <x v="0"/>
    <n v="0"/>
    <n v="0"/>
    <n v="0"/>
    <s v="Success"/>
  </r>
  <r>
    <s v="TXN70511232"/>
    <x v="2920"/>
    <x v="4"/>
    <x v="4"/>
    <n v="59163"/>
    <x v="0"/>
    <x v="0"/>
    <x v="5"/>
    <n v="591.63"/>
    <n v="0"/>
    <n v="591.63"/>
    <s v="Success"/>
  </r>
  <r>
    <s v="TXN47116994"/>
    <x v="2921"/>
    <x v="4"/>
    <x v="4"/>
    <n v="16723"/>
    <x v="1"/>
    <x v="7"/>
    <x v="4"/>
    <n v="167.23"/>
    <n v="0"/>
    <n v="167.23"/>
    <s v="Success"/>
  </r>
  <r>
    <s v="TXN22028040"/>
    <x v="2922"/>
    <x v="0"/>
    <x v="2"/>
    <n v="1830"/>
    <x v="0"/>
    <x v="0"/>
    <x v="0"/>
    <n v="0"/>
    <n v="0"/>
    <n v="0"/>
    <s v="Success"/>
  </r>
  <r>
    <s v="TXN73052444"/>
    <x v="2923"/>
    <x v="4"/>
    <x v="4"/>
    <n v="96909"/>
    <x v="0"/>
    <x v="4"/>
    <x v="3"/>
    <n v="969.09"/>
    <n v="0"/>
    <n v="969.09"/>
    <s v="Success"/>
  </r>
  <r>
    <s v="TXN57651954"/>
    <x v="2924"/>
    <x v="7"/>
    <x v="4"/>
    <n v="33183"/>
    <x v="0"/>
    <x v="3"/>
    <x v="5"/>
    <n v="331.83"/>
    <n v="0"/>
    <n v="331.83"/>
    <s v="Success"/>
  </r>
  <r>
    <s v="TXN71999928"/>
    <x v="2925"/>
    <x v="2"/>
    <x v="3"/>
    <n v="1243"/>
    <x v="0"/>
    <x v="2"/>
    <x v="0"/>
    <n v="0"/>
    <n v="0"/>
    <n v="0"/>
    <s v="Success"/>
  </r>
  <r>
    <s v="TXN94985484"/>
    <x v="2926"/>
    <x v="1"/>
    <x v="4"/>
    <n v="119306"/>
    <x v="0"/>
    <x v="8"/>
    <x v="5"/>
    <n v="1193.06"/>
    <n v="0"/>
    <n v="1193.06"/>
    <s v="Success"/>
  </r>
  <r>
    <s v="TXN87074666"/>
    <x v="2927"/>
    <x v="4"/>
    <x v="0"/>
    <n v="169500"/>
    <x v="0"/>
    <x v="0"/>
    <x v="0"/>
    <n v="3135.75"/>
    <n v="1254.3"/>
    <n v="1881.45"/>
    <s v="Success"/>
  </r>
  <r>
    <s v="TXN49029581"/>
    <x v="2928"/>
    <x v="6"/>
    <x v="4"/>
    <n v="20787"/>
    <x v="0"/>
    <x v="5"/>
    <x v="4"/>
    <n v="207.87"/>
    <n v="0"/>
    <n v="207.87"/>
    <s v="Success"/>
  </r>
  <r>
    <s v="TXN89637463"/>
    <x v="2929"/>
    <x v="7"/>
    <x v="2"/>
    <n v="2338"/>
    <x v="0"/>
    <x v="7"/>
    <x v="0"/>
    <n v="0"/>
    <n v="0"/>
    <n v="0"/>
    <s v="Success"/>
  </r>
  <r>
    <s v="TXN11037693"/>
    <x v="2930"/>
    <x v="5"/>
    <x v="0"/>
    <n v="97500"/>
    <x v="0"/>
    <x v="5"/>
    <x v="0"/>
    <n v="1803.75"/>
    <n v="721.5"/>
    <n v="1082.25"/>
    <s v="Failed"/>
  </r>
  <r>
    <s v="TXN54953357"/>
    <x v="2931"/>
    <x v="6"/>
    <x v="4"/>
    <n v="7079"/>
    <x v="0"/>
    <x v="8"/>
    <x v="3"/>
    <n v="70.790000000000006"/>
    <n v="0"/>
    <n v="70.790000000000006"/>
    <s v="Success"/>
  </r>
  <r>
    <s v="TXN40471496"/>
    <x v="2932"/>
    <x v="6"/>
    <x v="2"/>
    <n v="2152"/>
    <x v="0"/>
    <x v="5"/>
    <x v="0"/>
    <n v="0"/>
    <n v="0"/>
    <n v="0"/>
    <s v="Success"/>
  </r>
  <r>
    <s v="TXN67678344"/>
    <x v="2933"/>
    <x v="2"/>
    <x v="3"/>
    <n v="76410"/>
    <x v="1"/>
    <x v="0"/>
    <x v="0"/>
    <n v="0"/>
    <n v="0"/>
    <n v="0"/>
    <s v="Success"/>
  </r>
  <r>
    <s v="TXN83110199"/>
    <x v="2934"/>
    <x v="4"/>
    <x v="0"/>
    <n v="77000"/>
    <x v="1"/>
    <x v="2"/>
    <x v="0"/>
    <n v="1424.5"/>
    <n v="569.79999999999995"/>
    <n v="854.7"/>
    <s v="Success"/>
  </r>
  <r>
    <s v="TXN42016677"/>
    <x v="2935"/>
    <x v="5"/>
    <x v="2"/>
    <n v="4850"/>
    <x v="0"/>
    <x v="1"/>
    <x v="0"/>
    <n v="0"/>
    <n v="0"/>
    <n v="0"/>
    <s v="Success"/>
  </r>
  <r>
    <s v="TXN55188515"/>
    <x v="2936"/>
    <x v="5"/>
    <x v="2"/>
    <n v="2455"/>
    <x v="0"/>
    <x v="7"/>
    <x v="0"/>
    <n v="0"/>
    <n v="0"/>
    <n v="0"/>
    <s v="Success"/>
  </r>
  <r>
    <s v="TXN57567616"/>
    <x v="2937"/>
    <x v="5"/>
    <x v="1"/>
    <n v="32055"/>
    <x v="0"/>
    <x v="4"/>
    <x v="0"/>
    <n v="5"/>
    <n v="0"/>
    <n v="5"/>
    <s v="Success"/>
  </r>
  <r>
    <s v="TXN44779526"/>
    <x v="2938"/>
    <x v="1"/>
    <x v="3"/>
    <n v="144242"/>
    <x v="0"/>
    <x v="5"/>
    <x v="0"/>
    <n v="0"/>
    <n v="0"/>
    <n v="0"/>
    <s v="Success"/>
  </r>
  <r>
    <s v="TXN83220665"/>
    <x v="2939"/>
    <x v="4"/>
    <x v="0"/>
    <n v="102500"/>
    <x v="0"/>
    <x v="4"/>
    <x v="0"/>
    <n v="1896.25"/>
    <n v="758.5"/>
    <n v="1137.75"/>
    <s v="Success"/>
  </r>
  <r>
    <s v="TXN65187142"/>
    <x v="2940"/>
    <x v="2"/>
    <x v="3"/>
    <n v="60628"/>
    <x v="1"/>
    <x v="1"/>
    <x v="0"/>
    <n v="0"/>
    <n v="0"/>
    <n v="0"/>
    <s v="Success"/>
  </r>
  <r>
    <s v="TXN89918979"/>
    <x v="2941"/>
    <x v="5"/>
    <x v="3"/>
    <n v="101004"/>
    <x v="0"/>
    <x v="4"/>
    <x v="0"/>
    <n v="0"/>
    <n v="0"/>
    <n v="0"/>
    <s v="Success"/>
  </r>
  <r>
    <s v="TXN12052784"/>
    <x v="2942"/>
    <x v="4"/>
    <x v="0"/>
    <n v="107000"/>
    <x v="2"/>
    <x v="7"/>
    <x v="0"/>
    <n v="1979.5"/>
    <n v="791.8"/>
    <n v="1187.7"/>
    <s v="Success"/>
  </r>
  <r>
    <s v="TXN24219232"/>
    <x v="2943"/>
    <x v="7"/>
    <x v="4"/>
    <n v="87710"/>
    <x v="1"/>
    <x v="5"/>
    <x v="4"/>
    <n v="877.1"/>
    <n v="0"/>
    <n v="877.1"/>
    <s v="Failed"/>
  </r>
  <r>
    <s v="TXN71645430"/>
    <x v="2944"/>
    <x v="7"/>
    <x v="4"/>
    <n v="781"/>
    <x v="0"/>
    <x v="5"/>
    <x v="5"/>
    <n v="7.81"/>
    <n v="0"/>
    <n v="7.81"/>
    <s v="Success"/>
  </r>
  <r>
    <s v="TXN74331908"/>
    <x v="2945"/>
    <x v="5"/>
    <x v="0"/>
    <n v="130500"/>
    <x v="0"/>
    <x v="8"/>
    <x v="0"/>
    <n v="2414.25"/>
    <n v="965.7"/>
    <n v="1448.55"/>
    <s v="Success"/>
  </r>
  <r>
    <s v="TXN53201518"/>
    <x v="2946"/>
    <x v="5"/>
    <x v="3"/>
    <n v="6279"/>
    <x v="0"/>
    <x v="5"/>
    <x v="0"/>
    <n v="0"/>
    <n v="0"/>
    <n v="0"/>
    <s v="Success"/>
  </r>
  <r>
    <s v="TXN40047596"/>
    <x v="2947"/>
    <x v="4"/>
    <x v="0"/>
    <n v="113000"/>
    <x v="0"/>
    <x v="5"/>
    <x v="0"/>
    <n v="2090.5"/>
    <n v="836.2"/>
    <n v="1254.3"/>
    <s v="Success"/>
  </r>
  <r>
    <s v="TXN56975837"/>
    <x v="2948"/>
    <x v="5"/>
    <x v="0"/>
    <n v="118000"/>
    <x v="0"/>
    <x v="1"/>
    <x v="0"/>
    <n v="2183"/>
    <n v="873.2"/>
    <n v="1309.8"/>
    <s v="Success"/>
  </r>
  <r>
    <s v="TXN40881710"/>
    <x v="2949"/>
    <x v="0"/>
    <x v="0"/>
    <n v="16500"/>
    <x v="0"/>
    <x v="5"/>
    <x v="0"/>
    <n v="305.25"/>
    <n v="122.1"/>
    <n v="183.15"/>
    <s v="Success"/>
  </r>
  <r>
    <s v="TXN69817616"/>
    <x v="2950"/>
    <x v="4"/>
    <x v="3"/>
    <n v="113572"/>
    <x v="0"/>
    <x v="4"/>
    <x v="0"/>
    <n v="0"/>
    <n v="0"/>
    <n v="0"/>
    <s v="Success"/>
  </r>
  <r>
    <s v="TXN17050768"/>
    <x v="2951"/>
    <x v="6"/>
    <x v="1"/>
    <n v="104898"/>
    <x v="0"/>
    <x v="0"/>
    <x v="0"/>
    <n v="5"/>
    <n v="0"/>
    <n v="5"/>
    <s v="Success"/>
  </r>
  <r>
    <s v="TXN86765394"/>
    <x v="2952"/>
    <x v="0"/>
    <x v="3"/>
    <n v="7961"/>
    <x v="0"/>
    <x v="3"/>
    <x v="0"/>
    <n v="0"/>
    <n v="0"/>
    <n v="0"/>
    <s v="Success"/>
  </r>
  <r>
    <s v="TXN92642367"/>
    <x v="2953"/>
    <x v="4"/>
    <x v="0"/>
    <n v="32500"/>
    <x v="1"/>
    <x v="1"/>
    <x v="0"/>
    <n v="601.25"/>
    <n v="240.5"/>
    <n v="360.75"/>
    <s v="Success"/>
  </r>
  <r>
    <s v="TXN42494691"/>
    <x v="2954"/>
    <x v="0"/>
    <x v="2"/>
    <n v="3545"/>
    <x v="1"/>
    <x v="6"/>
    <x v="0"/>
    <n v="0"/>
    <n v="0"/>
    <n v="0"/>
    <s v="Success"/>
  </r>
  <r>
    <s v="TXN80747091"/>
    <x v="2955"/>
    <x v="3"/>
    <x v="4"/>
    <n v="77287"/>
    <x v="0"/>
    <x v="0"/>
    <x v="3"/>
    <n v="772.87"/>
    <n v="0"/>
    <n v="772.87"/>
    <s v="Success"/>
  </r>
  <r>
    <s v="TXN84311506"/>
    <x v="2956"/>
    <x v="3"/>
    <x v="3"/>
    <n v="118235"/>
    <x v="0"/>
    <x v="2"/>
    <x v="0"/>
    <n v="0"/>
    <n v="0"/>
    <n v="0"/>
    <s v="Success"/>
  </r>
  <r>
    <s v="TXN56644039"/>
    <x v="2957"/>
    <x v="3"/>
    <x v="4"/>
    <n v="9075"/>
    <x v="0"/>
    <x v="1"/>
    <x v="1"/>
    <n v="90.75"/>
    <n v="0"/>
    <n v="90.75"/>
    <s v="Success"/>
  </r>
  <r>
    <s v="TXN54268526"/>
    <x v="2958"/>
    <x v="1"/>
    <x v="2"/>
    <n v="1977"/>
    <x v="0"/>
    <x v="3"/>
    <x v="0"/>
    <n v="0"/>
    <n v="0"/>
    <n v="0"/>
    <s v="Success"/>
  </r>
  <r>
    <s v="TXN53252855"/>
    <x v="2959"/>
    <x v="1"/>
    <x v="3"/>
    <n v="134462"/>
    <x v="0"/>
    <x v="4"/>
    <x v="0"/>
    <n v="0"/>
    <n v="0"/>
    <n v="0"/>
    <s v="Success"/>
  </r>
  <r>
    <s v="TXN16778874"/>
    <x v="2960"/>
    <x v="6"/>
    <x v="0"/>
    <n v="93500"/>
    <x v="0"/>
    <x v="0"/>
    <x v="0"/>
    <n v="1729.75"/>
    <n v="691.9"/>
    <n v="1037.8499999999999"/>
    <s v="Success"/>
  </r>
  <r>
    <s v="TXN18512922"/>
    <x v="2961"/>
    <x v="3"/>
    <x v="4"/>
    <n v="10868"/>
    <x v="0"/>
    <x v="1"/>
    <x v="1"/>
    <n v="108.68"/>
    <n v="0"/>
    <n v="108.68"/>
    <s v="Success"/>
  </r>
  <r>
    <s v="TXN20214703"/>
    <x v="2962"/>
    <x v="3"/>
    <x v="1"/>
    <n v="55029"/>
    <x v="0"/>
    <x v="1"/>
    <x v="0"/>
    <n v="5"/>
    <n v="0"/>
    <n v="5"/>
    <s v="Success"/>
  </r>
  <r>
    <s v="TXN30576521"/>
    <x v="2963"/>
    <x v="2"/>
    <x v="4"/>
    <n v="54119"/>
    <x v="0"/>
    <x v="1"/>
    <x v="1"/>
    <n v="541.19000000000005"/>
    <n v="0"/>
    <n v="541.19000000000005"/>
    <s v="Success"/>
  </r>
  <r>
    <s v="TXN77942026"/>
    <x v="2964"/>
    <x v="4"/>
    <x v="4"/>
    <n v="117635"/>
    <x v="0"/>
    <x v="8"/>
    <x v="2"/>
    <n v="1176.3499999999999"/>
    <n v="0"/>
    <n v="1176.3499999999999"/>
    <s v="Success"/>
  </r>
  <r>
    <s v="TXN10227807"/>
    <x v="2965"/>
    <x v="2"/>
    <x v="2"/>
    <n v="3914"/>
    <x v="0"/>
    <x v="2"/>
    <x v="0"/>
    <n v="0"/>
    <n v="0"/>
    <n v="0"/>
    <s v="Success"/>
  </r>
  <r>
    <s v="TXN68863335"/>
    <x v="2966"/>
    <x v="3"/>
    <x v="1"/>
    <n v="55883"/>
    <x v="0"/>
    <x v="5"/>
    <x v="0"/>
    <n v="5"/>
    <n v="0"/>
    <n v="5"/>
    <s v="Success"/>
  </r>
  <r>
    <s v="TXN91273098"/>
    <x v="2967"/>
    <x v="0"/>
    <x v="0"/>
    <n v="226000"/>
    <x v="0"/>
    <x v="7"/>
    <x v="0"/>
    <n v="4181"/>
    <n v="1672.4"/>
    <n v="2508.6"/>
    <s v="Failed"/>
  </r>
  <r>
    <s v="TXN36842964"/>
    <x v="2968"/>
    <x v="4"/>
    <x v="0"/>
    <n v="111000"/>
    <x v="0"/>
    <x v="6"/>
    <x v="0"/>
    <n v="2053.5"/>
    <n v="821.4"/>
    <n v="1232.0999999999999"/>
    <s v="Success"/>
  </r>
  <r>
    <s v="TXN37852308"/>
    <x v="2969"/>
    <x v="2"/>
    <x v="4"/>
    <n v="106443"/>
    <x v="0"/>
    <x v="3"/>
    <x v="1"/>
    <n v="1064.43"/>
    <n v="0"/>
    <n v="1064.43"/>
    <s v="Success"/>
  </r>
  <r>
    <s v="TXN83637902"/>
    <x v="2970"/>
    <x v="6"/>
    <x v="4"/>
    <n v="73742"/>
    <x v="0"/>
    <x v="4"/>
    <x v="2"/>
    <n v="737.42"/>
    <n v="0"/>
    <n v="737.42"/>
    <s v="Success"/>
  </r>
  <r>
    <s v="TXN51896612"/>
    <x v="2971"/>
    <x v="5"/>
    <x v="1"/>
    <n v="51553"/>
    <x v="0"/>
    <x v="1"/>
    <x v="0"/>
    <n v="5"/>
    <n v="0"/>
    <n v="5"/>
    <s v="Success"/>
  </r>
  <r>
    <s v="TXN32364156"/>
    <x v="2972"/>
    <x v="5"/>
    <x v="2"/>
    <n v="247"/>
    <x v="0"/>
    <x v="0"/>
    <x v="0"/>
    <n v="0"/>
    <n v="0"/>
    <n v="0"/>
    <s v="Success"/>
  </r>
  <r>
    <s v="TXN70863741"/>
    <x v="2973"/>
    <x v="6"/>
    <x v="2"/>
    <n v="637"/>
    <x v="0"/>
    <x v="5"/>
    <x v="0"/>
    <n v="0"/>
    <n v="0"/>
    <n v="0"/>
    <s v="Success"/>
  </r>
  <r>
    <s v="TXN96204434"/>
    <x v="2974"/>
    <x v="1"/>
    <x v="4"/>
    <n v="21966"/>
    <x v="0"/>
    <x v="5"/>
    <x v="1"/>
    <n v="219.66"/>
    <n v="0"/>
    <n v="219.66"/>
    <s v="Success"/>
  </r>
  <r>
    <s v="TXN50678253"/>
    <x v="2975"/>
    <x v="2"/>
    <x v="2"/>
    <n v="2909"/>
    <x v="0"/>
    <x v="5"/>
    <x v="0"/>
    <n v="0"/>
    <n v="0"/>
    <n v="0"/>
    <s v="Success"/>
  </r>
  <r>
    <s v="TXN92365878"/>
    <x v="2976"/>
    <x v="6"/>
    <x v="4"/>
    <n v="18356"/>
    <x v="0"/>
    <x v="5"/>
    <x v="3"/>
    <n v="183.56"/>
    <n v="0"/>
    <n v="183.56"/>
    <s v="Success"/>
  </r>
  <r>
    <s v="TXN82167579"/>
    <x v="2977"/>
    <x v="1"/>
    <x v="0"/>
    <n v="115500"/>
    <x v="0"/>
    <x v="0"/>
    <x v="0"/>
    <n v="2136.75"/>
    <n v="854.7"/>
    <n v="1282.05"/>
    <s v="Success"/>
  </r>
  <r>
    <s v="TXN74991580"/>
    <x v="2978"/>
    <x v="7"/>
    <x v="4"/>
    <n v="121507"/>
    <x v="0"/>
    <x v="5"/>
    <x v="4"/>
    <n v="1215.07"/>
    <n v="0"/>
    <n v="1215.07"/>
    <s v="Success"/>
  </r>
  <r>
    <s v="TXN40661541"/>
    <x v="2979"/>
    <x v="0"/>
    <x v="3"/>
    <n v="80572"/>
    <x v="0"/>
    <x v="2"/>
    <x v="0"/>
    <n v="0"/>
    <n v="0"/>
    <n v="0"/>
    <s v="Success"/>
  </r>
  <r>
    <s v="TXN41162389"/>
    <x v="2980"/>
    <x v="3"/>
    <x v="4"/>
    <n v="91892"/>
    <x v="0"/>
    <x v="5"/>
    <x v="4"/>
    <n v="918.92"/>
    <n v="0"/>
    <n v="918.92"/>
    <s v="Success"/>
  </r>
  <r>
    <s v="TXN82712864"/>
    <x v="2981"/>
    <x v="6"/>
    <x v="2"/>
    <n v="202"/>
    <x v="0"/>
    <x v="2"/>
    <x v="0"/>
    <n v="0"/>
    <n v="0"/>
    <n v="0"/>
    <s v="Success"/>
  </r>
  <r>
    <s v="TXN81293580"/>
    <x v="2982"/>
    <x v="4"/>
    <x v="0"/>
    <n v="28000"/>
    <x v="0"/>
    <x v="6"/>
    <x v="0"/>
    <n v="518"/>
    <n v="207.2"/>
    <n v="310.8"/>
    <s v="Success"/>
  </r>
  <r>
    <s v="TXN58499325"/>
    <x v="2983"/>
    <x v="6"/>
    <x v="0"/>
    <n v="144000"/>
    <x v="0"/>
    <x v="0"/>
    <x v="0"/>
    <n v="2664"/>
    <n v="1065.5999999999999"/>
    <n v="1598.4"/>
    <s v="Success"/>
  </r>
  <r>
    <s v="TXN63502981"/>
    <x v="2984"/>
    <x v="2"/>
    <x v="3"/>
    <n v="49238"/>
    <x v="0"/>
    <x v="8"/>
    <x v="0"/>
    <n v="0"/>
    <n v="0"/>
    <n v="0"/>
    <s v="Success"/>
  </r>
  <r>
    <s v="TXN69233166"/>
    <x v="2985"/>
    <x v="0"/>
    <x v="1"/>
    <n v="100012"/>
    <x v="0"/>
    <x v="7"/>
    <x v="0"/>
    <n v="5"/>
    <n v="0"/>
    <n v="5"/>
    <s v="Success"/>
  </r>
  <r>
    <s v="TXN71913510"/>
    <x v="2986"/>
    <x v="5"/>
    <x v="3"/>
    <n v="12058"/>
    <x v="0"/>
    <x v="4"/>
    <x v="0"/>
    <n v="0"/>
    <n v="0"/>
    <n v="0"/>
    <s v="Success"/>
  </r>
  <r>
    <s v="TXN14892781"/>
    <x v="2987"/>
    <x v="6"/>
    <x v="2"/>
    <n v="3303"/>
    <x v="0"/>
    <x v="8"/>
    <x v="0"/>
    <n v="0"/>
    <n v="0"/>
    <n v="0"/>
    <s v="Failed"/>
  </r>
  <r>
    <s v="TXN81968239"/>
    <x v="2988"/>
    <x v="2"/>
    <x v="0"/>
    <n v="249500"/>
    <x v="0"/>
    <x v="1"/>
    <x v="0"/>
    <n v="4615.75"/>
    <n v="1846.3"/>
    <n v="2769.45"/>
    <s v="Success"/>
  </r>
  <r>
    <s v="TXN15231683"/>
    <x v="2989"/>
    <x v="2"/>
    <x v="1"/>
    <n v="112667"/>
    <x v="2"/>
    <x v="8"/>
    <x v="0"/>
    <n v="5"/>
    <n v="0"/>
    <n v="5"/>
    <s v="Success"/>
  </r>
  <r>
    <s v="TXN50182063"/>
    <x v="2990"/>
    <x v="6"/>
    <x v="0"/>
    <n v="183000"/>
    <x v="0"/>
    <x v="0"/>
    <x v="0"/>
    <n v="3385.5"/>
    <n v="1354.2"/>
    <n v="2031.3"/>
    <s v="Success"/>
  </r>
  <r>
    <s v="TXN94004062"/>
    <x v="2991"/>
    <x v="0"/>
    <x v="3"/>
    <n v="147821"/>
    <x v="0"/>
    <x v="4"/>
    <x v="0"/>
    <n v="0"/>
    <n v="0"/>
    <n v="0"/>
    <s v="Success"/>
  </r>
  <r>
    <s v="TXN83557541"/>
    <x v="2992"/>
    <x v="4"/>
    <x v="2"/>
    <n v="3040"/>
    <x v="0"/>
    <x v="1"/>
    <x v="0"/>
    <n v="0"/>
    <n v="0"/>
    <n v="0"/>
    <s v="Success"/>
  </r>
  <r>
    <s v="TXN65343065"/>
    <x v="2993"/>
    <x v="7"/>
    <x v="2"/>
    <n v="4800"/>
    <x v="0"/>
    <x v="2"/>
    <x v="0"/>
    <n v="0"/>
    <n v="0"/>
    <n v="0"/>
    <s v="Success"/>
  </r>
  <r>
    <s v="TXN41911689"/>
    <x v="2994"/>
    <x v="5"/>
    <x v="4"/>
    <n v="94817"/>
    <x v="1"/>
    <x v="5"/>
    <x v="5"/>
    <n v="948.17"/>
    <n v="0"/>
    <n v="948.17"/>
    <s v="Success"/>
  </r>
  <r>
    <s v="TXN35934702"/>
    <x v="2995"/>
    <x v="4"/>
    <x v="1"/>
    <n v="45172"/>
    <x v="0"/>
    <x v="3"/>
    <x v="0"/>
    <n v="5"/>
    <n v="0"/>
    <n v="5"/>
    <s v="Failed"/>
  </r>
  <r>
    <s v="TXN52451485"/>
    <x v="2996"/>
    <x v="2"/>
    <x v="3"/>
    <n v="79658"/>
    <x v="0"/>
    <x v="8"/>
    <x v="0"/>
    <n v="0"/>
    <n v="0"/>
    <n v="0"/>
    <s v="Success"/>
  </r>
  <r>
    <s v="TXN40650771"/>
    <x v="2997"/>
    <x v="4"/>
    <x v="0"/>
    <n v="105500"/>
    <x v="0"/>
    <x v="5"/>
    <x v="0"/>
    <n v="1951.75"/>
    <n v="780.7"/>
    <n v="1171.05"/>
    <s v="Success"/>
  </r>
  <r>
    <s v="TXN37346526"/>
    <x v="2998"/>
    <x v="4"/>
    <x v="1"/>
    <n v="89852"/>
    <x v="0"/>
    <x v="5"/>
    <x v="0"/>
    <n v="5"/>
    <n v="0"/>
    <n v="5"/>
    <s v="Success"/>
  </r>
  <r>
    <s v="TXN85857397"/>
    <x v="2999"/>
    <x v="1"/>
    <x v="3"/>
    <n v="30507"/>
    <x v="0"/>
    <x v="5"/>
    <x v="0"/>
    <n v="0"/>
    <n v="0"/>
    <n v="0"/>
    <s v="Success"/>
  </r>
  <r>
    <s v="TXN20220204"/>
    <x v="3000"/>
    <x v="3"/>
    <x v="0"/>
    <n v="189500"/>
    <x v="1"/>
    <x v="4"/>
    <x v="0"/>
    <n v="3505.75"/>
    <n v="1402.3"/>
    <n v="2103.4499999999998"/>
    <s v="Success"/>
  </r>
  <r>
    <s v="TXN65158034"/>
    <x v="3001"/>
    <x v="5"/>
    <x v="2"/>
    <n v="1053"/>
    <x v="0"/>
    <x v="7"/>
    <x v="0"/>
    <n v="0"/>
    <n v="0"/>
    <n v="0"/>
    <s v="Success"/>
  </r>
  <r>
    <s v="TXN14250529"/>
    <x v="3002"/>
    <x v="4"/>
    <x v="3"/>
    <n v="25240"/>
    <x v="0"/>
    <x v="5"/>
    <x v="0"/>
    <n v="0"/>
    <n v="0"/>
    <n v="0"/>
    <s v="Success"/>
  </r>
  <r>
    <s v="TXN53453407"/>
    <x v="3003"/>
    <x v="3"/>
    <x v="2"/>
    <n v="2135"/>
    <x v="0"/>
    <x v="2"/>
    <x v="0"/>
    <n v="0"/>
    <n v="0"/>
    <n v="0"/>
    <s v="Success"/>
  </r>
  <r>
    <s v="TXN67608563"/>
    <x v="3004"/>
    <x v="3"/>
    <x v="1"/>
    <n v="27063"/>
    <x v="1"/>
    <x v="6"/>
    <x v="0"/>
    <n v="5"/>
    <n v="0"/>
    <n v="5"/>
    <s v="Success"/>
  </r>
  <r>
    <s v="TXN11234899"/>
    <x v="3005"/>
    <x v="2"/>
    <x v="4"/>
    <n v="92007"/>
    <x v="0"/>
    <x v="1"/>
    <x v="1"/>
    <n v="920.07"/>
    <n v="0"/>
    <n v="920.07"/>
    <s v="Success"/>
  </r>
  <r>
    <s v="TXN92430721"/>
    <x v="3006"/>
    <x v="4"/>
    <x v="3"/>
    <n v="29934"/>
    <x v="0"/>
    <x v="1"/>
    <x v="0"/>
    <n v="0"/>
    <n v="0"/>
    <n v="0"/>
    <s v="Success"/>
  </r>
  <r>
    <s v="TXN85631425"/>
    <x v="3007"/>
    <x v="0"/>
    <x v="2"/>
    <n v="397"/>
    <x v="1"/>
    <x v="5"/>
    <x v="0"/>
    <n v="0"/>
    <n v="0"/>
    <n v="0"/>
    <s v="Success"/>
  </r>
  <r>
    <s v="TXN60375638"/>
    <x v="3008"/>
    <x v="5"/>
    <x v="1"/>
    <n v="60828"/>
    <x v="0"/>
    <x v="4"/>
    <x v="0"/>
    <n v="5"/>
    <n v="0"/>
    <n v="5"/>
    <s v="Success"/>
  </r>
  <r>
    <s v="TXN61051125"/>
    <x v="3009"/>
    <x v="4"/>
    <x v="1"/>
    <n v="89640"/>
    <x v="0"/>
    <x v="6"/>
    <x v="0"/>
    <n v="5"/>
    <n v="0"/>
    <n v="5"/>
    <s v="Success"/>
  </r>
  <r>
    <s v="TXN23591366"/>
    <x v="3010"/>
    <x v="1"/>
    <x v="2"/>
    <n v="2312"/>
    <x v="0"/>
    <x v="0"/>
    <x v="0"/>
    <n v="0"/>
    <n v="0"/>
    <n v="0"/>
    <s v="Success"/>
  </r>
  <r>
    <s v="TXN36138273"/>
    <x v="3011"/>
    <x v="4"/>
    <x v="1"/>
    <n v="27634"/>
    <x v="0"/>
    <x v="1"/>
    <x v="0"/>
    <n v="5"/>
    <n v="0"/>
    <n v="5"/>
    <s v="Success"/>
  </r>
  <r>
    <s v="TXN56400261"/>
    <x v="3012"/>
    <x v="6"/>
    <x v="3"/>
    <n v="123752"/>
    <x v="0"/>
    <x v="1"/>
    <x v="0"/>
    <n v="0"/>
    <n v="0"/>
    <n v="0"/>
    <s v="Success"/>
  </r>
  <r>
    <s v="TXN64049356"/>
    <x v="3013"/>
    <x v="5"/>
    <x v="0"/>
    <n v="107500"/>
    <x v="0"/>
    <x v="2"/>
    <x v="0"/>
    <n v="1988.75"/>
    <n v="795.5"/>
    <n v="1193.25"/>
    <s v="Success"/>
  </r>
  <r>
    <s v="TXN88326922"/>
    <x v="3014"/>
    <x v="2"/>
    <x v="0"/>
    <n v="58000"/>
    <x v="0"/>
    <x v="8"/>
    <x v="0"/>
    <n v="1073"/>
    <n v="429.2"/>
    <n v="643.79999999999995"/>
    <s v="Success"/>
  </r>
  <r>
    <s v="TXN95684148"/>
    <x v="3015"/>
    <x v="6"/>
    <x v="3"/>
    <n v="89324"/>
    <x v="0"/>
    <x v="5"/>
    <x v="0"/>
    <n v="0"/>
    <n v="0"/>
    <n v="0"/>
    <s v="Success"/>
  </r>
  <r>
    <s v="TXN87728105"/>
    <x v="3016"/>
    <x v="4"/>
    <x v="1"/>
    <n v="32488"/>
    <x v="0"/>
    <x v="1"/>
    <x v="0"/>
    <n v="5"/>
    <n v="0"/>
    <n v="5"/>
    <s v="Success"/>
  </r>
  <r>
    <s v="TXN20658134"/>
    <x v="3017"/>
    <x v="3"/>
    <x v="2"/>
    <n v="2743"/>
    <x v="0"/>
    <x v="6"/>
    <x v="0"/>
    <n v="0"/>
    <n v="0"/>
    <n v="0"/>
    <s v="Success"/>
  </r>
  <r>
    <s v="TXN39249706"/>
    <x v="3018"/>
    <x v="6"/>
    <x v="1"/>
    <n v="135166"/>
    <x v="0"/>
    <x v="6"/>
    <x v="0"/>
    <n v="5"/>
    <n v="0"/>
    <n v="5"/>
    <s v="Success"/>
  </r>
  <r>
    <s v="TXN71405912"/>
    <x v="3019"/>
    <x v="4"/>
    <x v="4"/>
    <n v="7709"/>
    <x v="0"/>
    <x v="3"/>
    <x v="2"/>
    <n v="77.09"/>
    <n v="0"/>
    <n v="77.09"/>
    <s v="Success"/>
  </r>
  <r>
    <s v="TXN18588480"/>
    <x v="3020"/>
    <x v="2"/>
    <x v="0"/>
    <n v="19000"/>
    <x v="0"/>
    <x v="2"/>
    <x v="0"/>
    <n v="351.5"/>
    <n v="140.6"/>
    <n v="210.9"/>
    <s v="Success"/>
  </r>
  <r>
    <s v="TXN26861004"/>
    <x v="3021"/>
    <x v="0"/>
    <x v="2"/>
    <n v="4290"/>
    <x v="0"/>
    <x v="4"/>
    <x v="0"/>
    <n v="0"/>
    <n v="0"/>
    <n v="0"/>
    <s v="Success"/>
  </r>
  <r>
    <s v="TXN46422311"/>
    <x v="3022"/>
    <x v="0"/>
    <x v="4"/>
    <n v="145918"/>
    <x v="0"/>
    <x v="2"/>
    <x v="1"/>
    <n v="1459.18"/>
    <n v="0"/>
    <n v="1459.18"/>
    <s v="Success"/>
  </r>
  <r>
    <s v="TXN55941880"/>
    <x v="3023"/>
    <x v="6"/>
    <x v="1"/>
    <n v="32671"/>
    <x v="0"/>
    <x v="1"/>
    <x v="0"/>
    <n v="5"/>
    <n v="0"/>
    <n v="5"/>
    <s v="Success"/>
  </r>
  <r>
    <s v="TXN59005335"/>
    <x v="3024"/>
    <x v="5"/>
    <x v="4"/>
    <n v="82105"/>
    <x v="0"/>
    <x v="2"/>
    <x v="1"/>
    <n v="821.05"/>
    <n v="0"/>
    <n v="821.05"/>
    <s v="Success"/>
  </r>
  <r>
    <s v="TXN78591431"/>
    <x v="3025"/>
    <x v="2"/>
    <x v="2"/>
    <n v="774"/>
    <x v="0"/>
    <x v="2"/>
    <x v="0"/>
    <n v="0"/>
    <n v="0"/>
    <n v="0"/>
    <s v="Success"/>
  </r>
  <r>
    <s v="TXN56353746"/>
    <x v="3026"/>
    <x v="7"/>
    <x v="3"/>
    <n v="83772"/>
    <x v="0"/>
    <x v="3"/>
    <x v="0"/>
    <n v="0"/>
    <n v="0"/>
    <n v="0"/>
    <s v="Success"/>
  </r>
  <r>
    <s v="TXN29735108"/>
    <x v="3027"/>
    <x v="5"/>
    <x v="2"/>
    <n v="1203"/>
    <x v="0"/>
    <x v="1"/>
    <x v="0"/>
    <n v="0"/>
    <n v="0"/>
    <n v="0"/>
    <s v="Success"/>
  </r>
  <r>
    <s v="TXN94720786"/>
    <x v="3028"/>
    <x v="1"/>
    <x v="0"/>
    <n v="43000"/>
    <x v="0"/>
    <x v="8"/>
    <x v="0"/>
    <n v="795.5"/>
    <n v="318.2"/>
    <n v="477.3"/>
    <s v="Success"/>
  </r>
  <r>
    <s v="TXN71967427"/>
    <x v="3029"/>
    <x v="2"/>
    <x v="2"/>
    <n v="4223"/>
    <x v="1"/>
    <x v="6"/>
    <x v="0"/>
    <n v="0"/>
    <n v="0"/>
    <n v="0"/>
    <s v="Success"/>
  </r>
  <r>
    <s v="TXN41732876"/>
    <x v="3030"/>
    <x v="2"/>
    <x v="1"/>
    <n v="3223"/>
    <x v="0"/>
    <x v="5"/>
    <x v="0"/>
    <n v="5"/>
    <n v="0"/>
    <n v="5"/>
    <s v="Success"/>
  </r>
  <r>
    <s v="TXN54153681"/>
    <x v="3031"/>
    <x v="7"/>
    <x v="2"/>
    <n v="4119"/>
    <x v="0"/>
    <x v="2"/>
    <x v="0"/>
    <n v="0"/>
    <n v="0"/>
    <n v="0"/>
    <s v="Success"/>
  </r>
  <r>
    <s v="TXN47775636"/>
    <x v="3032"/>
    <x v="4"/>
    <x v="0"/>
    <n v="231000"/>
    <x v="0"/>
    <x v="6"/>
    <x v="0"/>
    <n v="4273.5"/>
    <n v="1709.4"/>
    <n v="2564.1"/>
    <s v="Failed"/>
  </r>
  <r>
    <s v="TXN54066014"/>
    <x v="3033"/>
    <x v="4"/>
    <x v="0"/>
    <n v="146500"/>
    <x v="0"/>
    <x v="4"/>
    <x v="0"/>
    <n v="2710.25"/>
    <n v="1084.0999999999999"/>
    <n v="1626.15"/>
    <s v="Success"/>
  </r>
  <r>
    <s v="TXN11710006"/>
    <x v="3034"/>
    <x v="2"/>
    <x v="0"/>
    <n v="222000"/>
    <x v="0"/>
    <x v="4"/>
    <x v="0"/>
    <n v="4107"/>
    <n v="1642.8"/>
    <n v="2464.1999999999998"/>
    <s v="Success"/>
  </r>
  <r>
    <s v="TXN92902984"/>
    <x v="3035"/>
    <x v="3"/>
    <x v="3"/>
    <n v="76908"/>
    <x v="0"/>
    <x v="7"/>
    <x v="0"/>
    <n v="0"/>
    <n v="0"/>
    <n v="0"/>
    <s v="Success"/>
  </r>
  <r>
    <s v="TXN86253819"/>
    <x v="3036"/>
    <x v="1"/>
    <x v="4"/>
    <n v="91764"/>
    <x v="1"/>
    <x v="4"/>
    <x v="1"/>
    <n v="917.64"/>
    <n v="0"/>
    <n v="917.64"/>
    <s v="Failed"/>
  </r>
  <r>
    <s v="TXN69848725"/>
    <x v="3037"/>
    <x v="2"/>
    <x v="2"/>
    <n v="3597"/>
    <x v="0"/>
    <x v="2"/>
    <x v="0"/>
    <n v="0"/>
    <n v="0"/>
    <n v="0"/>
    <s v="Success"/>
  </r>
  <r>
    <s v="TXN97007331"/>
    <x v="3038"/>
    <x v="2"/>
    <x v="0"/>
    <n v="47500"/>
    <x v="0"/>
    <x v="5"/>
    <x v="0"/>
    <n v="878.75"/>
    <n v="351.5"/>
    <n v="527.25"/>
    <s v="Success"/>
  </r>
  <r>
    <s v="TXN79251237"/>
    <x v="3039"/>
    <x v="2"/>
    <x v="1"/>
    <n v="503"/>
    <x v="0"/>
    <x v="8"/>
    <x v="0"/>
    <n v="5"/>
    <n v="0"/>
    <n v="5"/>
    <s v="Failed"/>
  </r>
  <r>
    <s v="TXN37941899"/>
    <x v="3040"/>
    <x v="1"/>
    <x v="4"/>
    <n v="122052"/>
    <x v="0"/>
    <x v="1"/>
    <x v="2"/>
    <n v="1220.52"/>
    <n v="0"/>
    <n v="1220.52"/>
    <s v="Success"/>
  </r>
  <r>
    <s v="TXN43005526"/>
    <x v="3041"/>
    <x v="2"/>
    <x v="0"/>
    <n v="50000"/>
    <x v="0"/>
    <x v="6"/>
    <x v="0"/>
    <n v="925"/>
    <n v="370"/>
    <n v="555"/>
    <s v="Success"/>
  </r>
  <r>
    <s v="TXN92406336"/>
    <x v="3042"/>
    <x v="1"/>
    <x v="0"/>
    <n v="71500"/>
    <x v="0"/>
    <x v="1"/>
    <x v="0"/>
    <n v="1322.75"/>
    <n v="529.1"/>
    <n v="793.65"/>
    <s v="Success"/>
  </r>
  <r>
    <s v="TXN61952603"/>
    <x v="3043"/>
    <x v="7"/>
    <x v="3"/>
    <n v="117828"/>
    <x v="0"/>
    <x v="5"/>
    <x v="0"/>
    <n v="0"/>
    <n v="0"/>
    <n v="0"/>
    <s v="Success"/>
  </r>
  <r>
    <s v="TXN48895929"/>
    <x v="3044"/>
    <x v="5"/>
    <x v="0"/>
    <n v="164500"/>
    <x v="0"/>
    <x v="3"/>
    <x v="0"/>
    <n v="3043.25"/>
    <n v="1217.3"/>
    <n v="1825.95"/>
    <s v="Success"/>
  </r>
  <r>
    <s v="TXN69651739"/>
    <x v="3045"/>
    <x v="0"/>
    <x v="3"/>
    <n v="6572"/>
    <x v="0"/>
    <x v="1"/>
    <x v="0"/>
    <n v="0"/>
    <n v="0"/>
    <n v="0"/>
    <s v="Success"/>
  </r>
  <r>
    <s v="TXN59744347"/>
    <x v="3046"/>
    <x v="1"/>
    <x v="3"/>
    <n v="143432"/>
    <x v="0"/>
    <x v="8"/>
    <x v="0"/>
    <n v="0"/>
    <n v="0"/>
    <n v="0"/>
    <s v="Success"/>
  </r>
  <r>
    <s v="TXN16341841"/>
    <x v="3047"/>
    <x v="3"/>
    <x v="1"/>
    <n v="54671"/>
    <x v="0"/>
    <x v="1"/>
    <x v="0"/>
    <n v="5"/>
    <n v="0"/>
    <n v="5"/>
    <s v="Success"/>
  </r>
  <r>
    <s v="TXN98745745"/>
    <x v="3048"/>
    <x v="1"/>
    <x v="4"/>
    <n v="53891"/>
    <x v="1"/>
    <x v="1"/>
    <x v="5"/>
    <n v="538.91"/>
    <n v="0"/>
    <n v="538.91"/>
    <s v="Success"/>
  </r>
  <r>
    <s v="TXN33822397"/>
    <x v="3049"/>
    <x v="4"/>
    <x v="4"/>
    <n v="136430"/>
    <x v="0"/>
    <x v="6"/>
    <x v="2"/>
    <n v="1364.3"/>
    <n v="0"/>
    <n v="1364.3"/>
    <s v="Success"/>
  </r>
  <r>
    <s v="TXN10144756"/>
    <x v="3050"/>
    <x v="5"/>
    <x v="4"/>
    <n v="31730"/>
    <x v="0"/>
    <x v="4"/>
    <x v="3"/>
    <n v="317.3"/>
    <n v="0"/>
    <n v="317.3"/>
    <s v="Success"/>
  </r>
  <r>
    <s v="TXN59945026"/>
    <x v="3051"/>
    <x v="5"/>
    <x v="0"/>
    <n v="27000"/>
    <x v="0"/>
    <x v="2"/>
    <x v="0"/>
    <n v="499.5"/>
    <n v="199.8"/>
    <n v="299.7"/>
    <s v="Success"/>
  </r>
  <r>
    <s v="TXN91415153"/>
    <x v="3052"/>
    <x v="4"/>
    <x v="1"/>
    <n v="24757"/>
    <x v="0"/>
    <x v="8"/>
    <x v="0"/>
    <n v="5"/>
    <n v="0"/>
    <n v="5"/>
    <s v="Success"/>
  </r>
  <r>
    <s v="TXN66521322"/>
    <x v="3053"/>
    <x v="0"/>
    <x v="4"/>
    <n v="10063"/>
    <x v="0"/>
    <x v="2"/>
    <x v="2"/>
    <n v="100.63"/>
    <n v="0"/>
    <n v="100.63"/>
    <s v="Success"/>
  </r>
  <r>
    <s v="TXN70298093"/>
    <x v="3054"/>
    <x v="0"/>
    <x v="3"/>
    <n v="9530"/>
    <x v="0"/>
    <x v="2"/>
    <x v="0"/>
    <n v="0"/>
    <n v="0"/>
    <n v="0"/>
    <s v="Success"/>
  </r>
  <r>
    <s v="TXN87043678"/>
    <x v="3055"/>
    <x v="0"/>
    <x v="3"/>
    <n v="55476"/>
    <x v="0"/>
    <x v="3"/>
    <x v="0"/>
    <n v="0"/>
    <n v="0"/>
    <n v="0"/>
    <s v="Success"/>
  </r>
  <r>
    <s v="TXN35181836"/>
    <x v="3056"/>
    <x v="6"/>
    <x v="3"/>
    <n v="34027"/>
    <x v="0"/>
    <x v="5"/>
    <x v="0"/>
    <n v="0"/>
    <n v="0"/>
    <n v="0"/>
    <s v="Success"/>
  </r>
  <r>
    <s v="TXN14077698"/>
    <x v="3057"/>
    <x v="7"/>
    <x v="0"/>
    <n v="151000"/>
    <x v="0"/>
    <x v="3"/>
    <x v="0"/>
    <n v="2793.5"/>
    <n v="1117.4000000000001"/>
    <n v="1676.1"/>
    <s v="Success"/>
  </r>
  <r>
    <s v="TXN72953628"/>
    <x v="3058"/>
    <x v="0"/>
    <x v="0"/>
    <n v="126000"/>
    <x v="0"/>
    <x v="8"/>
    <x v="0"/>
    <n v="2331"/>
    <n v="932.4"/>
    <n v="1398.6"/>
    <s v="Success"/>
  </r>
  <r>
    <s v="TXN20291400"/>
    <x v="3059"/>
    <x v="0"/>
    <x v="2"/>
    <n v="3197"/>
    <x v="0"/>
    <x v="1"/>
    <x v="0"/>
    <n v="0"/>
    <n v="0"/>
    <n v="0"/>
    <s v="Success"/>
  </r>
  <r>
    <s v="TXN84579910"/>
    <x v="3060"/>
    <x v="4"/>
    <x v="1"/>
    <n v="71316"/>
    <x v="0"/>
    <x v="3"/>
    <x v="0"/>
    <n v="5"/>
    <n v="0"/>
    <n v="5"/>
    <s v="Success"/>
  </r>
  <r>
    <s v="TXN94384451"/>
    <x v="3061"/>
    <x v="7"/>
    <x v="4"/>
    <n v="9377"/>
    <x v="0"/>
    <x v="4"/>
    <x v="1"/>
    <n v="93.77"/>
    <n v="0"/>
    <n v="93.77"/>
    <s v="Success"/>
  </r>
  <r>
    <s v="TXN26424449"/>
    <x v="3062"/>
    <x v="1"/>
    <x v="2"/>
    <n v="4757"/>
    <x v="0"/>
    <x v="5"/>
    <x v="0"/>
    <n v="0"/>
    <n v="0"/>
    <n v="0"/>
    <s v="Success"/>
  </r>
  <r>
    <s v="TXN90913964"/>
    <x v="3063"/>
    <x v="5"/>
    <x v="0"/>
    <n v="7000"/>
    <x v="0"/>
    <x v="8"/>
    <x v="0"/>
    <n v="129.5"/>
    <n v="51.8"/>
    <n v="77.7"/>
    <s v="Success"/>
  </r>
  <r>
    <s v="TXN50612685"/>
    <x v="3064"/>
    <x v="2"/>
    <x v="0"/>
    <n v="122000"/>
    <x v="0"/>
    <x v="2"/>
    <x v="0"/>
    <n v="2257"/>
    <n v="902.8"/>
    <n v="1354.2"/>
    <s v="Failed"/>
  </r>
  <r>
    <s v="TXN76616850"/>
    <x v="3065"/>
    <x v="6"/>
    <x v="4"/>
    <n v="66810"/>
    <x v="0"/>
    <x v="6"/>
    <x v="5"/>
    <n v="668.1"/>
    <n v="0"/>
    <n v="668.1"/>
    <s v="Success"/>
  </r>
  <r>
    <s v="TXN45946576"/>
    <x v="3066"/>
    <x v="0"/>
    <x v="4"/>
    <n v="29228"/>
    <x v="0"/>
    <x v="0"/>
    <x v="4"/>
    <n v="292.27999999999997"/>
    <n v="0"/>
    <n v="292.27999999999997"/>
    <s v="Success"/>
  </r>
  <r>
    <s v="TXN81854503"/>
    <x v="3067"/>
    <x v="2"/>
    <x v="0"/>
    <n v="11000"/>
    <x v="1"/>
    <x v="5"/>
    <x v="0"/>
    <n v="203.5"/>
    <n v="81.400000000000006"/>
    <n v="122.1"/>
    <s v="Success"/>
  </r>
  <r>
    <s v="TXN30917929"/>
    <x v="3068"/>
    <x v="1"/>
    <x v="3"/>
    <n v="54043"/>
    <x v="0"/>
    <x v="2"/>
    <x v="0"/>
    <n v="0"/>
    <n v="0"/>
    <n v="0"/>
    <s v="Success"/>
  </r>
  <r>
    <s v="TXN26514357"/>
    <x v="3069"/>
    <x v="4"/>
    <x v="0"/>
    <n v="65500"/>
    <x v="2"/>
    <x v="5"/>
    <x v="0"/>
    <n v="1211.75"/>
    <n v="484.7"/>
    <n v="727.05"/>
    <s v="Success"/>
  </r>
  <r>
    <s v="TXN63310770"/>
    <x v="3070"/>
    <x v="0"/>
    <x v="3"/>
    <n v="22096"/>
    <x v="1"/>
    <x v="6"/>
    <x v="0"/>
    <n v="0"/>
    <n v="0"/>
    <n v="0"/>
    <s v="Success"/>
  </r>
  <r>
    <s v="TXN31204642"/>
    <x v="3071"/>
    <x v="1"/>
    <x v="4"/>
    <n v="110654"/>
    <x v="0"/>
    <x v="1"/>
    <x v="1"/>
    <n v="1106.54"/>
    <n v="0"/>
    <n v="1106.54"/>
    <s v="Success"/>
  </r>
  <r>
    <s v="TXN15794908"/>
    <x v="3072"/>
    <x v="6"/>
    <x v="0"/>
    <n v="26000"/>
    <x v="0"/>
    <x v="0"/>
    <x v="0"/>
    <n v="481"/>
    <n v="192.4"/>
    <n v="288.60000000000002"/>
    <s v="Success"/>
  </r>
  <r>
    <s v="TXN17815381"/>
    <x v="3073"/>
    <x v="6"/>
    <x v="1"/>
    <n v="80703"/>
    <x v="0"/>
    <x v="5"/>
    <x v="0"/>
    <n v="5"/>
    <n v="0"/>
    <n v="5"/>
    <s v="Success"/>
  </r>
  <r>
    <s v="TXN58384236"/>
    <x v="3074"/>
    <x v="4"/>
    <x v="2"/>
    <n v="1699"/>
    <x v="0"/>
    <x v="7"/>
    <x v="0"/>
    <n v="0"/>
    <n v="0"/>
    <n v="0"/>
    <s v="Success"/>
  </r>
  <r>
    <s v="TXN33676304"/>
    <x v="3075"/>
    <x v="7"/>
    <x v="2"/>
    <n v="4160"/>
    <x v="0"/>
    <x v="6"/>
    <x v="0"/>
    <n v="0"/>
    <n v="0"/>
    <n v="0"/>
    <s v="Success"/>
  </r>
  <r>
    <s v="TXN22123426"/>
    <x v="3076"/>
    <x v="6"/>
    <x v="2"/>
    <n v="1732"/>
    <x v="0"/>
    <x v="5"/>
    <x v="0"/>
    <n v="0"/>
    <n v="0"/>
    <n v="0"/>
    <s v="Failed"/>
  </r>
  <r>
    <s v="TXN10570308"/>
    <x v="3077"/>
    <x v="2"/>
    <x v="4"/>
    <n v="87901"/>
    <x v="0"/>
    <x v="5"/>
    <x v="3"/>
    <n v="879.01"/>
    <n v="0"/>
    <n v="879.01"/>
    <s v="Success"/>
  </r>
  <r>
    <s v="TXN33226396"/>
    <x v="3078"/>
    <x v="3"/>
    <x v="2"/>
    <n v="4121"/>
    <x v="0"/>
    <x v="2"/>
    <x v="0"/>
    <n v="0"/>
    <n v="0"/>
    <n v="0"/>
    <s v="Success"/>
  </r>
  <r>
    <s v="TXN93926638"/>
    <x v="3079"/>
    <x v="1"/>
    <x v="0"/>
    <n v="80000"/>
    <x v="0"/>
    <x v="0"/>
    <x v="0"/>
    <n v="1480"/>
    <n v="592"/>
    <n v="888"/>
    <s v="Success"/>
  </r>
  <r>
    <s v="TXN92208689"/>
    <x v="3080"/>
    <x v="3"/>
    <x v="0"/>
    <n v="223000"/>
    <x v="0"/>
    <x v="6"/>
    <x v="0"/>
    <n v="4125.5"/>
    <n v="1650.2"/>
    <n v="2475.3000000000002"/>
    <s v="Success"/>
  </r>
  <r>
    <s v="TXN39120736"/>
    <x v="3081"/>
    <x v="2"/>
    <x v="2"/>
    <n v="241"/>
    <x v="0"/>
    <x v="0"/>
    <x v="0"/>
    <n v="0"/>
    <n v="0"/>
    <n v="0"/>
    <s v="Success"/>
  </r>
  <r>
    <s v="TXN53294346"/>
    <x v="3082"/>
    <x v="3"/>
    <x v="1"/>
    <n v="62358"/>
    <x v="0"/>
    <x v="8"/>
    <x v="0"/>
    <n v="5"/>
    <n v="0"/>
    <n v="5"/>
    <s v="Success"/>
  </r>
  <r>
    <s v="TXN51325082"/>
    <x v="3083"/>
    <x v="7"/>
    <x v="2"/>
    <n v="291"/>
    <x v="0"/>
    <x v="4"/>
    <x v="0"/>
    <n v="0"/>
    <n v="0"/>
    <n v="0"/>
    <s v="Success"/>
  </r>
  <r>
    <s v="TXN48058390"/>
    <x v="3084"/>
    <x v="7"/>
    <x v="2"/>
    <n v="3498"/>
    <x v="0"/>
    <x v="8"/>
    <x v="0"/>
    <n v="0"/>
    <n v="0"/>
    <n v="0"/>
    <s v="Failed"/>
  </r>
  <r>
    <s v="TXN64778170"/>
    <x v="3085"/>
    <x v="1"/>
    <x v="1"/>
    <n v="70142"/>
    <x v="0"/>
    <x v="2"/>
    <x v="0"/>
    <n v="5"/>
    <n v="0"/>
    <n v="5"/>
    <s v="Success"/>
  </r>
  <r>
    <s v="TXN57809301"/>
    <x v="3086"/>
    <x v="4"/>
    <x v="2"/>
    <n v="2183"/>
    <x v="0"/>
    <x v="0"/>
    <x v="0"/>
    <n v="0"/>
    <n v="0"/>
    <n v="0"/>
    <s v="Failed"/>
  </r>
  <r>
    <s v="TXN78971272"/>
    <x v="3087"/>
    <x v="0"/>
    <x v="2"/>
    <n v="3721"/>
    <x v="0"/>
    <x v="5"/>
    <x v="0"/>
    <n v="0"/>
    <n v="0"/>
    <n v="0"/>
    <s v="Success"/>
  </r>
  <r>
    <s v="TXN45440722"/>
    <x v="3088"/>
    <x v="5"/>
    <x v="1"/>
    <n v="100781"/>
    <x v="0"/>
    <x v="3"/>
    <x v="0"/>
    <n v="5"/>
    <n v="0"/>
    <n v="5"/>
    <s v="Failed"/>
  </r>
  <r>
    <s v="TXN71462236"/>
    <x v="3089"/>
    <x v="4"/>
    <x v="0"/>
    <n v="60000"/>
    <x v="0"/>
    <x v="3"/>
    <x v="0"/>
    <n v="1110"/>
    <n v="444"/>
    <n v="666"/>
    <s v="Success"/>
  </r>
  <r>
    <s v="TXN24370219"/>
    <x v="3090"/>
    <x v="1"/>
    <x v="3"/>
    <n v="108419"/>
    <x v="0"/>
    <x v="1"/>
    <x v="0"/>
    <n v="0"/>
    <n v="0"/>
    <n v="0"/>
    <s v="Success"/>
  </r>
  <r>
    <s v="TXN79795401"/>
    <x v="3091"/>
    <x v="2"/>
    <x v="4"/>
    <n v="37976"/>
    <x v="0"/>
    <x v="0"/>
    <x v="3"/>
    <n v="379.76"/>
    <n v="0"/>
    <n v="379.76"/>
    <s v="Success"/>
  </r>
  <r>
    <s v="TXN14027993"/>
    <x v="3092"/>
    <x v="2"/>
    <x v="0"/>
    <n v="176500"/>
    <x v="0"/>
    <x v="2"/>
    <x v="0"/>
    <n v="3265.25"/>
    <n v="1306.0999999999999"/>
    <n v="1959.15"/>
    <s v="Success"/>
  </r>
  <r>
    <s v="TXN11836873"/>
    <x v="3093"/>
    <x v="7"/>
    <x v="2"/>
    <n v="1916"/>
    <x v="0"/>
    <x v="4"/>
    <x v="0"/>
    <n v="0"/>
    <n v="0"/>
    <n v="0"/>
    <s v="Success"/>
  </r>
  <r>
    <s v="TXN66928394"/>
    <x v="3094"/>
    <x v="6"/>
    <x v="2"/>
    <n v="3573"/>
    <x v="0"/>
    <x v="6"/>
    <x v="0"/>
    <n v="0"/>
    <n v="0"/>
    <n v="0"/>
    <s v="Success"/>
  </r>
  <r>
    <s v="TXN34291162"/>
    <x v="3095"/>
    <x v="2"/>
    <x v="4"/>
    <n v="11276"/>
    <x v="0"/>
    <x v="5"/>
    <x v="5"/>
    <n v="112.76"/>
    <n v="0"/>
    <n v="112.76"/>
    <s v="Success"/>
  </r>
  <r>
    <s v="TXN62145942"/>
    <x v="3096"/>
    <x v="3"/>
    <x v="0"/>
    <n v="191000"/>
    <x v="0"/>
    <x v="3"/>
    <x v="0"/>
    <n v="3533.5"/>
    <n v="1413.4"/>
    <n v="2120.1"/>
    <s v="Success"/>
  </r>
  <r>
    <s v="TXN51510913"/>
    <x v="3097"/>
    <x v="3"/>
    <x v="0"/>
    <n v="247500"/>
    <x v="0"/>
    <x v="0"/>
    <x v="0"/>
    <n v="4578.75"/>
    <n v="1831.5"/>
    <n v="2747.25"/>
    <s v="Success"/>
  </r>
  <r>
    <s v="TXN66479025"/>
    <x v="3098"/>
    <x v="7"/>
    <x v="4"/>
    <n v="17039"/>
    <x v="1"/>
    <x v="0"/>
    <x v="1"/>
    <n v="170.39"/>
    <n v="0"/>
    <n v="170.39"/>
    <s v="Success"/>
  </r>
  <r>
    <s v="TXN72073609"/>
    <x v="3099"/>
    <x v="0"/>
    <x v="3"/>
    <n v="10499"/>
    <x v="0"/>
    <x v="0"/>
    <x v="0"/>
    <n v="0"/>
    <n v="0"/>
    <n v="0"/>
    <s v="Success"/>
  </r>
  <r>
    <s v="TXN92550941"/>
    <x v="3100"/>
    <x v="0"/>
    <x v="0"/>
    <n v="245000"/>
    <x v="0"/>
    <x v="1"/>
    <x v="0"/>
    <n v="4532.5"/>
    <n v="1813"/>
    <n v="2719.5"/>
    <s v="Success"/>
  </r>
  <r>
    <s v="TXN69764489"/>
    <x v="3101"/>
    <x v="6"/>
    <x v="3"/>
    <n v="108386"/>
    <x v="0"/>
    <x v="8"/>
    <x v="0"/>
    <n v="0"/>
    <n v="0"/>
    <n v="0"/>
    <s v="Success"/>
  </r>
  <r>
    <s v="TXN55897123"/>
    <x v="3102"/>
    <x v="4"/>
    <x v="0"/>
    <n v="73000"/>
    <x v="0"/>
    <x v="6"/>
    <x v="0"/>
    <n v="1350.5"/>
    <n v="540.20000000000005"/>
    <n v="810.3"/>
    <s v="Success"/>
  </r>
  <r>
    <s v="TXN67685962"/>
    <x v="3103"/>
    <x v="6"/>
    <x v="1"/>
    <n v="59235"/>
    <x v="0"/>
    <x v="6"/>
    <x v="0"/>
    <n v="5"/>
    <n v="0"/>
    <n v="5"/>
    <s v="Success"/>
  </r>
  <r>
    <s v="TXN58895326"/>
    <x v="3104"/>
    <x v="7"/>
    <x v="4"/>
    <n v="19567"/>
    <x v="0"/>
    <x v="2"/>
    <x v="2"/>
    <n v="195.67"/>
    <n v="0"/>
    <n v="195.67"/>
    <s v="Success"/>
  </r>
  <r>
    <s v="TXN15137158"/>
    <x v="3105"/>
    <x v="2"/>
    <x v="3"/>
    <n v="132555"/>
    <x v="0"/>
    <x v="5"/>
    <x v="0"/>
    <n v="0"/>
    <n v="0"/>
    <n v="0"/>
    <s v="Success"/>
  </r>
  <r>
    <s v="TXN57597333"/>
    <x v="3106"/>
    <x v="1"/>
    <x v="2"/>
    <n v="2841"/>
    <x v="0"/>
    <x v="4"/>
    <x v="0"/>
    <n v="0"/>
    <n v="0"/>
    <n v="0"/>
    <s v="Success"/>
  </r>
  <r>
    <s v="TXN98525508"/>
    <x v="3107"/>
    <x v="6"/>
    <x v="0"/>
    <n v="132000"/>
    <x v="0"/>
    <x v="7"/>
    <x v="0"/>
    <n v="2442"/>
    <n v="976.8"/>
    <n v="1465.2"/>
    <s v="Success"/>
  </r>
  <r>
    <s v="TXN48577570"/>
    <x v="3108"/>
    <x v="0"/>
    <x v="2"/>
    <n v="4248"/>
    <x v="0"/>
    <x v="4"/>
    <x v="0"/>
    <n v="0"/>
    <n v="0"/>
    <n v="0"/>
    <s v="Success"/>
  </r>
  <r>
    <s v="TXN90314436"/>
    <x v="3109"/>
    <x v="0"/>
    <x v="1"/>
    <n v="46557"/>
    <x v="0"/>
    <x v="2"/>
    <x v="0"/>
    <n v="5"/>
    <n v="0"/>
    <n v="5"/>
    <s v="Success"/>
  </r>
  <r>
    <s v="TXN40193025"/>
    <x v="3110"/>
    <x v="6"/>
    <x v="1"/>
    <n v="15253"/>
    <x v="0"/>
    <x v="6"/>
    <x v="0"/>
    <n v="5"/>
    <n v="0"/>
    <n v="5"/>
    <s v="Success"/>
  </r>
  <r>
    <s v="TXN37948498"/>
    <x v="3111"/>
    <x v="5"/>
    <x v="4"/>
    <n v="37283"/>
    <x v="0"/>
    <x v="8"/>
    <x v="2"/>
    <n v="372.83"/>
    <n v="0"/>
    <n v="372.83"/>
    <s v="Success"/>
  </r>
  <r>
    <s v="TXN66704207"/>
    <x v="3112"/>
    <x v="6"/>
    <x v="4"/>
    <n v="30616"/>
    <x v="0"/>
    <x v="7"/>
    <x v="3"/>
    <n v="306.16000000000003"/>
    <n v="0"/>
    <n v="306.16000000000003"/>
    <s v="Success"/>
  </r>
  <r>
    <s v="TXN81180872"/>
    <x v="3113"/>
    <x v="3"/>
    <x v="1"/>
    <n v="38486"/>
    <x v="0"/>
    <x v="0"/>
    <x v="0"/>
    <n v="5"/>
    <n v="0"/>
    <n v="5"/>
    <s v="Success"/>
  </r>
  <r>
    <s v="TXN91306373"/>
    <x v="3114"/>
    <x v="6"/>
    <x v="0"/>
    <n v="233000"/>
    <x v="0"/>
    <x v="2"/>
    <x v="0"/>
    <n v="4310.5"/>
    <n v="1724.2"/>
    <n v="2586.3000000000002"/>
    <s v="Success"/>
  </r>
  <r>
    <s v="TXN41199826"/>
    <x v="3115"/>
    <x v="5"/>
    <x v="0"/>
    <n v="140500"/>
    <x v="0"/>
    <x v="8"/>
    <x v="0"/>
    <n v="2599.25"/>
    <n v="1039.7"/>
    <n v="1559.55"/>
    <s v="Success"/>
  </r>
  <r>
    <s v="TXN36858293"/>
    <x v="3116"/>
    <x v="2"/>
    <x v="1"/>
    <n v="2527"/>
    <x v="0"/>
    <x v="5"/>
    <x v="0"/>
    <n v="5"/>
    <n v="0"/>
    <n v="5"/>
    <s v="Success"/>
  </r>
  <r>
    <s v="TXN57032247"/>
    <x v="3117"/>
    <x v="4"/>
    <x v="4"/>
    <n v="101436"/>
    <x v="0"/>
    <x v="0"/>
    <x v="1"/>
    <n v="1014.36"/>
    <n v="0"/>
    <n v="1014.36"/>
    <s v="Success"/>
  </r>
  <r>
    <s v="TXN20295224"/>
    <x v="3118"/>
    <x v="3"/>
    <x v="1"/>
    <n v="91216"/>
    <x v="0"/>
    <x v="6"/>
    <x v="0"/>
    <n v="5"/>
    <n v="0"/>
    <n v="5"/>
    <s v="Success"/>
  </r>
  <r>
    <s v="TXN11598844"/>
    <x v="3119"/>
    <x v="0"/>
    <x v="4"/>
    <n v="43440"/>
    <x v="1"/>
    <x v="5"/>
    <x v="5"/>
    <n v="434.4"/>
    <n v="0"/>
    <n v="434.4"/>
    <s v="Success"/>
  </r>
  <r>
    <s v="TXN93164495"/>
    <x v="3120"/>
    <x v="3"/>
    <x v="2"/>
    <n v="3157"/>
    <x v="0"/>
    <x v="0"/>
    <x v="0"/>
    <n v="0"/>
    <n v="0"/>
    <n v="0"/>
    <s v="Success"/>
  </r>
  <r>
    <s v="TXN76457704"/>
    <x v="3121"/>
    <x v="0"/>
    <x v="4"/>
    <n v="11821"/>
    <x v="1"/>
    <x v="0"/>
    <x v="4"/>
    <n v="118.21"/>
    <n v="0"/>
    <n v="118.21"/>
    <s v="Success"/>
  </r>
  <r>
    <s v="TXN64043357"/>
    <x v="3122"/>
    <x v="3"/>
    <x v="3"/>
    <n v="131983"/>
    <x v="0"/>
    <x v="1"/>
    <x v="0"/>
    <n v="0"/>
    <n v="0"/>
    <n v="0"/>
    <s v="Success"/>
  </r>
  <r>
    <s v="TXN45003100"/>
    <x v="3123"/>
    <x v="0"/>
    <x v="3"/>
    <n v="121401"/>
    <x v="2"/>
    <x v="8"/>
    <x v="0"/>
    <n v="0"/>
    <n v="0"/>
    <n v="0"/>
    <s v="Success"/>
  </r>
  <r>
    <s v="TXN76067766"/>
    <x v="3124"/>
    <x v="2"/>
    <x v="1"/>
    <n v="145738"/>
    <x v="2"/>
    <x v="8"/>
    <x v="0"/>
    <n v="5"/>
    <n v="0"/>
    <n v="5"/>
    <s v="Success"/>
  </r>
  <r>
    <s v="TXN46376710"/>
    <x v="3125"/>
    <x v="0"/>
    <x v="0"/>
    <n v="236000"/>
    <x v="0"/>
    <x v="6"/>
    <x v="0"/>
    <n v="4366"/>
    <n v="1746.4"/>
    <n v="2619.6"/>
    <s v="Success"/>
  </r>
  <r>
    <s v="TXN64042852"/>
    <x v="3126"/>
    <x v="6"/>
    <x v="3"/>
    <n v="129838"/>
    <x v="1"/>
    <x v="0"/>
    <x v="0"/>
    <n v="0"/>
    <n v="0"/>
    <n v="0"/>
    <s v="Success"/>
  </r>
  <r>
    <s v="TXN21497020"/>
    <x v="3127"/>
    <x v="4"/>
    <x v="2"/>
    <n v="1942"/>
    <x v="0"/>
    <x v="5"/>
    <x v="0"/>
    <n v="0"/>
    <n v="0"/>
    <n v="0"/>
    <s v="Success"/>
  </r>
  <r>
    <s v="TXN23057488"/>
    <x v="3128"/>
    <x v="6"/>
    <x v="0"/>
    <n v="139500"/>
    <x v="1"/>
    <x v="6"/>
    <x v="0"/>
    <n v="2580.75"/>
    <n v="1032.3"/>
    <n v="1548.45"/>
    <s v="Success"/>
  </r>
  <r>
    <s v="TXN61915819"/>
    <x v="3129"/>
    <x v="3"/>
    <x v="0"/>
    <n v="67500"/>
    <x v="0"/>
    <x v="4"/>
    <x v="0"/>
    <n v="1248.75"/>
    <n v="499.5"/>
    <n v="749.25"/>
    <s v="Success"/>
  </r>
  <r>
    <s v="TXN91566630"/>
    <x v="3130"/>
    <x v="3"/>
    <x v="1"/>
    <n v="113214"/>
    <x v="0"/>
    <x v="8"/>
    <x v="0"/>
    <n v="5"/>
    <n v="0"/>
    <n v="5"/>
    <s v="Success"/>
  </r>
  <r>
    <s v="TXN79155937"/>
    <x v="3131"/>
    <x v="1"/>
    <x v="1"/>
    <n v="92998"/>
    <x v="0"/>
    <x v="3"/>
    <x v="0"/>
    <n v="5"/>
    <n v="0"/>
    <n v="5"/>
    <s v="Success"/>
  </r>
  <r>
    <s v="TXN83020962"/>
    <x v="3132"/>
    <x v="3"/>
    <x v="3"/>
    <n v="51559"/>
    <x v="0"/>
    <x v="0"/>
    <x v="0"/>
    <n v="0"/>
    <n v="0"/>
    <n v="0"/>
    <s v="Success"/>
  </r>
  <r>
    <s v="TXN76263921"/>
    <x v="3133"/>
    <x v="7"/>
    <x v="3"/>
    <n v="20766"/>
    <x v="0"/>
    <x v="7"/>
    <x v="0"/>
    <n v="0"/>
    <n v="0"/>
    <n v="0"/>
    <s v="Success"/>
  </r>
  <r>
    <s v="TXN24221077"/>
    <x v="3134"/>
    <x v="3"/>
    <x v="4"/>
    <n v="132474"/>
    <x v="1"/>
    <x v="1"/>
    <x v="4"/>
    <n v="1324.74"/>
    <n v="0"/>
    <n v="1324.74"/>
    <s v="Success"/>
  </r>
  <r>
    <s v="TXN18949174"/>
    <x v="3135"/>
    <x v="1"/>
    <x v="2"/>
    <n v="1347"/>
    <x v="0"/>
    <x v="5"/>
    <x v="0"/>
    <n v="0"/>
    <n v="0"/>
    <n v="0"/>
    <s v="Success"/>
  </r>
  <r>
    <s v="TXN36123952"/>
    <x v="3136"/>
    <x v="5"/>
    <x v="0"/>
    <n v="9000"/>
    <x v="0"/>
    <x v="7"/>
    <x v="0"/>
    <n v="166.5"/>
    <n v="66.599999999999994"/>
    <n v="99.9"/>
    <s v="Success"/>
  </r>
  <r>
    <s v="TXN70312702"/>
    <x v="3137"/>
    <x v="4"/>
    <x v="3"/>
    <n v="16315"/>
    <x v="0"/>
    <x v="3"/>
    <x v="0"/>
    <n v="0"/>
    <n v="0"/>
    <n v="0"/>
    <s v="Success"/>
  </r>
  <r>
    <s v="TXN13354036"/>
    <x v="3138"/>
    <x v="6"/>
    <x v="0"/>
    <n v="51500"/>
    <x v="0"/>
    <x v="5"/>
    <x v="0"/>
    <n v="952.75"/>
    <n v="381.1"/>
    <n v="571.65"/>
    <s v="Success"/>
  </r>
  <r>
    <s v="TXN97527635"/>
    <x v="3139"/>
    <x v="7"/>
    <x v="3"/>
    <n v="98157"/>
    <x v="0"/>
    <x v="5"/>
    <x v="0"/>
    <n v="0"/>
    <n v="0"/>
    <n v="0"/>
    <s v="Success"/>
  </r>
  <r>
    <s v="TXN25286425"/>
    <x v="3140"/>
    <x v="1"/>
    <x v="4"/>
    <n v="10083"/>
    <x v="0"/>
    <x v="6"/>
    <x v="5"/>
    <n v="100.83"/>
    <n v="0"/>
    <n v="100.83"/>
    <s v="Success"/>
  </r>
  <r>
    <s v="TXN56233966"/>
    <x v="3141"/>
    <x v="2"/>
    <x v="1"/>
    <n v="86667"/>
    <x v="0"/>
    <x v="2"/>
    <x v="0"/>
    <n v="5"/>
    <n v="0"/>
    <n v="5"/>
    <s v="Failed"/>
  </r>
  <r>
    <s v="TXN28418503"/>
    <x v="3142"/>
    <x v="3"/>
    <x v="1"/>
    <n v="119859"/>
    <x v="1"/>
    <x v="3"/>
    <x v="0"/>
    <n v="5"/>
    <n v="0"/>
    <n v="5"/>
    <s v="Success"/>
  </r>
  <r>
    <s v="TXN30922734"/>
    <x v="3143"/>
    <x v="2"/>
    <x v="1"/>
    <n v="144991"/>
    <x v="0"/>
    <x v="0"/>
    <x v="0"/>
    <n v="5"/>
    <n v="0"/>
    <n v="5"/>
    <s v="Success"/>
  </r>
  <r>
    <s v="TXN92833789"/>
    <x v="3144"/>
    <x v="6"/>
    <x v="2"/>
    <n v="3930"/>
    <x v="0"/>
    <x v="2"/>
    <x v="0"/>
    <n v="0"/>
    <n v="0"/>
    <n v="0"/>
    <s v="Success"/>
  </r>
  <r>
    <s v="TXN13120755"/>
    <x v="3145"/>
    <x v="0"/>
    <x v="1"/>
    <n v="70690"/>
    <x v="0"/>
    <x v="0"/>
    <x v="0"/>
    <n v="5"/>
    <n v="0"/>
    <n v="5"/>
    <s v="Failed"/>
  </r>
  <r>
    <s v="TXN19832061"/>
    <x v="3146"/>
    <x v="1"/>
    <x v="2"/>
    <n v="1371"/>
    <x v="0"/>
    <x v="7"/>
    <x v="0"/>
    <n v="0"/>
    <n v="0"/>
    <n v="0"/>
    <s v="Success"/>
  </r>
  <r>
    <s v="TXN84551309"/>
    <x v="3147"/>
    <x v="0"/>
    <x v="3"/>
    <n v="42578"/>
    <x v="0"/>
    <x v="0"/>
    <x v="0"/>
    <n v="0"/>
    <n v="0"/>
    <n v="0"/>
    <s v="Success"/>
  </r>
  <r>
    <s v="TXN30556459"/>
    <x v="3148"/>
    <x v="7"/>
    <x v="1"/>
    <n v="49496"/>
    <x v="1"/>
    <x v="8"/>
    <x v="0"/>
    <n v="5"/>
    <n v="0"/>
    <n v="5"/>
    <s v="Success"/>
  </r>
  <r>
    <s v="TXN25205218"/>
    <x v="3149"/>
    <x v="4"/>
    <x v="1"/>
    <n v="127741"/>
    <x v="0"/>
    <x v="5"/>
    <x v="0"/>
    <n v="5"/>
    <n v="0"/>
    <n v="5"/>
    <s v="Success"/>
  </r>
  <r>
    <s v="TXN86963158"/>
    <x v="3150"/>
    <x v="4"/>
    <x v="4"/>
    <n v="36271"/>
    <x v="0"/>
    <x v="0"/>
    <x v="1"/>
    <n v="362.71"/>
    <n v="0"/>
    <n v="362.71"/>
    <s v="Success"/>
  </r>
  <r>
    <s v="TXN75557207"/>
    <x v="3151"/>
    <x v="4"/>
    <x v="1"/>
    <n v="44758"/>
    <x v="0"/>
    <x v="1"/>
    <x v="0"/>
    <n v="5"/>
    <n v="0"/>
    <n v="5"/>
    <s v="Success"/>
  </r>
  <r>
    <s v="TXN56754234"/>
    <x v="3152"/>
    <x v="2"/>
    <x v="4"/>
    <n v="103508"/>
    <x v="0"/>
    <x v="8"/>
    <x v="3"/>
    <n v="1035.08"/>
    <n v="0"/>
    <n v="1035.08"/>
    <s v="Success"/>
  </r>
  <r>
    <s v="TXN32683775"/>
    <x v="3153"/>
    <x v="4"/>
    <x v="3"/>
    <n v="65375"/>
    <x v="2"/>
    <x v="6"/>
    <x v="0"/>
    <n v="0"/>
    <n v="0"/>
    <n v="0"/>
    <s v="Failed"/>
  </r>
  <r>
    <s v="TXN17990446"/>
    <x v="3154"/>
    <x v="3"/>
    <x v="4"/>
    <n v="40485"/>
    <x v="1"/>
    <x v="7"/>
    <x v="4"/>
    <n v="404.85"/>
    <n v="0"/>
    <n v="404.85"/>
    <s v="Success"/>
  </r>
  <r>
    <s v="TXN81222307"/>
    <x v="3155"/>
    <x v="7"/>
    <x v="4"/>
    <n v="69127"/>
    <x v="0"/>
    <x v="6"/>
    <x v="5"/>
    <n v="691.27"/>
    <n v="0"/>
    <n v="691.27"/>
    <s v="Success"/>
  </r>
  <r>
    <s v="TXN22283357"/>
    <x v="3156"/>
    <x v="3"/>
    <x v="4"/>
    <n v="113255"/>
    <x v="0"/>
    <x v="5"/>
    <x v="1"/>
    <n v="1132.55"/>
    <n v="0"/>
    <n v="1132.55"/>
    <s v="Success"/>
  </r>
  <r>
    <s v="TXN43298640"/>
    <x v="3157"/>
    <x v="1"/>
    <x v="3"/>
    <n v="118963"/>
    <x v="0"/>
    <x v="3"/>
    <x v="0"/>
    <n v="0"/>
    <n v="0"/>
    <n v="0"/>
    <s v="Success"/>
  </r>
  <r>
    <s v="TXN32121121"/>
    <x v="3158"/>
    <x v="4"/>
    <x v="3"/>
    <n v="51688"/>
    <x v="0"/>
    <x v="7"/>
    <x v="0"/>
    <n v="0"/>
    <n v="0"/>
    <n v="0"/>
    <s v="Success"/>
  </r>
  <r>
    <s v="TXN84444677"/>
    <x v="3159"/>
    <x v="0"/>
    <x v="0"/>
    <n v="42000"/>
    <x v="0"/>
    <x v="4"/>
    <x v="0"/>
    <n v="777"/>
    <n v="310.8"/>
    <n v="466.2"/>
    <s v="Success"/>
  </r>
  <r>
    <s v="TXN72512325"/>
    <x v="3160"/>
    <x v="5"/>
    <x v="4"/>
    <n v="35782"/>
    <x v="0"/>
    <x v="5"/>
    <x v="5"/>
    <n v="357.82"/>
    <n v="0"/>
    <n v="357.82"/>
    <s v="Success"/>
  </r>
  <r>
    <s v="TXN94732414"/>
    <x v="3161"/>
    <x v="3"/>
    <x v="0"/>
    <n v="79000"/>
    <x v="0"/>
    <x v="3"/>
    <x v="0"/>
    <n v="1461.5"/>
    <n v="584.6"/>
    <n v="876.9"/>
    <s v="Success"/>
  </r>
  <r>
    <s v="TXN40439998"/>
    <x v="3162"/>
    <x v="6"/>
    <x v="0"/>
    <n v="64500"/>
    <x v="1"/>
    <x v="8"/>
    <x v="0"/>
    <n v="1193.25"/>
    <n v="477.3"/>
    <n v="715.95"/>
    <s v="Success"/>
  </r>
  <r>
    <s v="TXN87566282"/>
    <x v="3163"/>
    <x v="6"/>
    <x v="4"/>
    <n v="32666"/>
    <x v="0"/>
    <x v="6"/>
    <x v="4"/>
    <n v="326.66000000000003"/>
    <n v="0"/>
    <n v="326.66000000000003"/>
    <s v="Success"/>
  </r>
  <r>
    <s v="TXN11645355"/>
    <x v="3164"/>
    <x v="2"/>
    <x v="0"/>
    <n v="217500"/>
    <x v="0"/>
    <x v="1"/>
    <x v="0"/>
    <n v="4023.75"/>
    <n v="1609.5"/>
    <n v="2414.25"/>
    <s v="Success"/>
  </r>
  <r>
    <s v="TXN57274521"/>
    <x v="3165"/>
    <x v="2"/>
    <x v="2"/>
    <n v="505"/>
    <x v="0"/>
    <x v="1"/>
    <x v="0"/>
    <n v="0"/>
    <n v="0"/>
    <n v="0"/>
    <s v="Success"/>
  </r>
  <r>
    <s v="TXN44616661"/>
    <x v="3166"/>
    <x v="3"/>
    <x v="2"/>
    <n v="760"/>
    <x v="0"/>
    <x v="5"/>
    <x v="0"/>
    <n v="0"/>
    <n v="0"/>
    <n v="0"/>
    <s v="Success"/>
  </r>
  <r>
    <s v="TXN50910399"/>
    <x v="3167"/>
    <x v="3"/>
    <x v="1"/>
    <n v="38709"/>
    <x v="0"/>
    <x v="1"/>
    <x v="0"/>
    <n v="5"/>
    <n v="0"/>
    <n v="5"/>
    <s v="Success"/>
  </r>
  <r>
    <s v="TXN49400378"/>
    <x v="3168"/>
    <x v="2"/>
    <x v="3"/>
    <n v="83434"/>
    <x v="0"/>
    <x v="7"/>
    <x v="0"/>
    <n v="0"/>
    <n v="0"/>
    <n v="0"/>
    <s v="Success"/>
  </r>
  <r>
    <s v="TXN44945119"/>
    <x v="3169"/>
    <x v="1"/>
    <x v="4"/>
    <n v="40569"/>
    <x v="0"/>
    <x v="7"/>
    <x v="4"/>
    <n v="405.69"/>
    <n v="0"/>
    <n v="405.69"/>
    <s v="Success"/>
  </r>
  <r>
    <s v="TXN43290725"/>
    <x v="3170"/>
    <x v="4"/>
    <x v="4"/>
    <n v="34930"/>
    <x v="1"/>
    <x v="5"/>
    <x v="1"/>
    <n v="349.3"/>
    <n v="0"/>
    <n v="349.3"/>
    <s v="Success"/>
  </r>
  <r>
    <s v="TXN85862029"/>
    <x v="3171"/>
    <x v="3"/>
    <x v="1"/>
    <n v="46030"/>
    <x v="0"/>
    <x v="8"/>
    <x v="0"/>
    <n v="5"/>
    <n v="0"/>
    <n v="5"/>
    <s v="Success"/>
  </r>
  <r>
    <s v="TXN38489965"/>
    <x v="3172"/>
    <x v="7"/>
    <x v="3"/>
    <n v="41210"/>
    <x v="0"/>
    <x v="7"/>
    <x v="0"/>
    <n v="0"/>
    <n v="0"/>
    <n v="0"/>
    <s v="Success"/>
  </r>
  <r>
    <s v="TXN31106066"/>
    <x v="3173"/>
    <x v="6"/>
    <x v="0"/>
    <n v="124000"/>
    <x v="0"/>
    <x v="2"/>
    <x v="0"/>
    <n v="2294"/>
    <n v="917.6"/>
    <n v="1376.4"/>
    <s v="Success"/>
  </r>
  <r>
    <s v="TXN77471598"/>
    <x v="3174"/>
    <x v="5"/>
    <x v="1"/>
    <n v="53196"/>
    <x v="0"/>
    <x v="3"/>
    <x v="0"/>
    <n v="5"/>
    <n v="0"/>
    <n v="5"/>
    <s v="Success"/>
  </r>
  <r>
    <s v="TXN42647243"/>
    <x v="3175"/>
    <x v="1"/>
    <x v="4"/>
    <n v="120460"/>
    <x v="0"/>
    <x v="4"/>
    <x v="4"/>
    <n v="1204.5999999999999"/>
    <n v="0"/>
    <n v="1204.5999999999999"/>
    <s v="Success"/>
  </r>
  <r>
    <s v="TXN12691989"/>
    <x v="3176"/>
    <x v="7"/>
    <x v="0"/>
    <n v="178500"/>
    <x v="0"/>
    <x v="0"/>
    <x v="0"/>
    <n v="3302.25"/>
    <n v="1320.9"/>
    <n v="1981.35"/>
    <s v="Success"/>
  </r>
  <r>
    <s v="TXN54581109"/>
    <x v="3177"/>
    <x v="4"/>
    <x v="0"/>
    <n v="150500"/>
    <x v="0"/>
    <x v="0"/>
    <x v="0"/>
    <n v="2784.25"/>
    <n v="1113.7"/>
    <n v="1670.55"/>
    <s v="Success"/>
  </r>
  <r>
    <s v="TXN83303194"/>
    <x v="3178"/>
    <x v="2"/>
    <x v="3"/>
    <n v="107444"/>
    <x v="0"/>
    <x v="2"/>
    <x v="0"/>
    <n v="0"/>
    <n v="0"/>
    <n v="0"/>
    <s v="Success"/>
  </r>
  <r>
    <s v="TXN35056763"/>
    <x v="3179"/>
    <x v="5"/>
    <x v="1"/>
    <n v="13102"/>
    <x v="0"/>
    <x v="6"/>
    <x v="0"/>
    <n v="5"/>
    <n v="0"/>
    <n v="5"/>
    <s v="Success"/>
  </r>
  <r>
    <s v="TXN28318767"/>
    <x v="3180"/>
    <x v="7"/>
    <x v="2"/>
    <n v="1690"/>
    <x v="1"/>
    <x v="3"/>
    <x v="0"/>
    <n v="0"/>
    <n v="0"/>
    <n v="0"/>
    <s v="Success"/>
  </r>
  <r>
    <s v="TXN61452328"/>
    <x v="3181"/>
    <x v="2"/>
    <x v="4"/>
    <n v="38338"/>
    <x v="0"/>
    <x v="7"/>
    <x v="5"/>
    <n v="383.38"/>
    <n v="0"/>
    <n v="383.38"/>
    <s v="Success"/>
  </r>
  <r>
    <s v="TXN11808041"/>
    <x v="3182"/>
    <x v="2"/>
    <x v="1"/>
    <n v="55162"/>
    <x v="0"/>
    <x v="1"/>
    <x v="0"/>
    <n v="5"/>
    <n v="0"/>
    <n v="5"/>
    <s v="Success"/>
  </r>
  <r>
    <s v="TXN22969023"/>
    <x v="3183"/>
    <x v="7"/>
    <x v="3"/>
    <n v="9435"/>
    <x v="0"/>
    <x v="6"/>
    <x v="0"/>
    <n v="0"/>
    <n v="0"/>
    <n v="0"/>
    <s v="Success"/>
  </r>
  <r>
    <s v="TXN62708403"/>
    <x v="3184"/>
    <x v="1"/>
    <x v="2"/>
    <n v="855"/>
    <x v="0"/>
    <x v="8"/>
    <x v="0"/>
    <n v="0"/>
    <n v="0"/>
    <n v="0"/>
    <s v="Success"/>
  </r>
  <r>
    <s v="TXN11375592"/>
    <x v="3185"/>
    <x v="2"/>
    <x v="2"/>
    <n v="3245"/>
    <x v="0"/>
    <x v="1"/>
    <x v="0"/>
    <n v="0"/>
    <n v="0"/>
    <n v="0"/>
    <s v="Success"/>
  </r>
  <r>
    <s v="TXN87842031"/>
    <x v="3186"/>
    <x v="3"/>
    <x v="1"/>
    <n v="110710"/>
    <x v="0"/>
    <x v="7"/>
    <x v="0"/>
    <n v="5"/>
    <n v="0"/>
    <n v="5"/>
    <s v="Success"/>
  </r>
  <r>
    <s v="TXN86159281"/>
    <x v="3187"/>
    <x v="4"/>
    <x v="2"/>
    <n v="4295"/>
    <x v="0"/>
    <x v="8"/>
    <x v="0"/>
    <n v="0"/>
    <n v="0"/>
    <n v="0"/>
    <s v="Success"/>
  </r>
  <r>
    <s v="TXN70807198"/>
    <x v="3188"/>
    <x v="5"/>
    <x v="2"/>
    <n v="2395"/>
    <x v="0"/>
    <x v="0"/>
    <x v="0"/>
    <n v="0"/>
    <n v="0"/>
    <n v="0"/>
    <s v="Success"/>
  </r>
  <r>
    <s v="TXN70242912"/>
    <x v="3189"/>
    <x v="1"/>
    <x v="3"/>
    <n v="134770"/>
    <x v="0"/>
    <x v="7"/>
    <x v="0"/>
    <n v="0"/>
    <n v="0"/>
    <n v="0"/>
    <s v="Success"/>
  </r>
  <r>
    <s v="TXN32918280"/>
    <x v="3190"/>
    <x v="2"/>
    <x v="3"/>
    <n v="50397"/>
    <x v="0"/>
    <x v="5"/>
    <x v="0"/>
    <n v="0"/>
    <n v="0"/>
    <n v="0"/>
    <s v="Success"/>
  </r>
  <r>
    <s v="TXN69884046"/>
    <x v="3191"/>
    <x v="7"/>
    <x v="2"/>
    <n v="2603"/>
    <x v="0"/>
    <x v="3"/>
    <x v="0"/>
    <n v="0"/>
    <n v="0"/>
    <n v="0"/>
    <s v="Success"/>
  </r>
  <r>
    <s v="TXN39548558"/>
    <x v="3192"/>
    <x v="7"/>
    <x v="2"/>
    <n v="4810"/>
    <x v="0"/>
    <x v="4"/>
    <x v="0"/>
    <n v="0"/>
    <n v="0"/>
    <n v="0"/>
    <s v="Success"/>
  </r>
  <r>
    <s v="TXN17072031"/>
    <x v="3193"/>
    <x v="5"/>
    <x v="2"/>
    <n v="1701"/>
    <x v="1"/>
    <x v="7"/>
    <x v="0"/>
    <n v="0"/>
    <n v="0"/>
    <n v="0"/>
    <s v="Success"/>
  </r>
  <r>
    <s v="TXN85935551"/>
    <x v="3194"/>
    <x v="2"/>
    <x v="0"/>
    <n v="172000"/>
    <x v="0"/>
    <x v="7"/>
    <x v="0"/>
    <n v="3182"/>
    <n v="1272.8"/>
    <n v="1909.2"/>
    <s v="Success"/>
  </r>
  <r>
    <s v="TXN28101339"/>
    <x v="3195"/>
    <x v="6"/>
    <x v="1"/>
    <n v="18951"/>
    <x v="0"/>
    <x v="5"/>
    <x v="0"/>
    <n v="5"/>
    <n v="0"/>
    <n v="5"/>
    <s v="Success"/>
  </r>
  <r>
    <s v="TXN47477375"/>
    <x v="3196"/>
    <x v="1"/>
    <x v="3"/>
    <n v="38537"/>
    <x v="0"/>
    <x v="4"/>
    <x v="0"/>
    <n v="0"/>
    <n v="0"/>
    <n v="0"/>
    <s v="Success"/>
  </r>
  <r>
    <s v="TXN75972457"/>
    <x v="3197"/>
    <x v="6"/>
    <x v="4"/>
    <n v="72269"/>
    <x v="0"/>
    <x v="7"/>
    <x v="5"/>
    <n v="722.69"/>
    <n v="0"/>
    <n v="722.69"/>
    <s v="Success"/>
  </r>
  <r>
    <s v="TXN97355039"/>
    <x v="3198"/>
    <x v="6"/>
    <x v="3"/>
    <n v="43068"/>
    <x v="0"/>
    <x v="6"/>
    <x v="0"/>
    <n v="0"/>
    <n v="0"/>
    <n v="0"/>
    <s v="Success"/>
  </r>
  <r>
    <s v="TXN16521422"/>
    <x v="3199"/>
    <x v="2"/>
    <x v="2"/>
    <n v="4012"/>
    <x v="0"/>
    <x v="4"/>
    <x v="0"/>
    <n v="0"/>
    <n v="0"/>
    <n v="0"/>
    <s v="Success"/>
  </r>
  <r>
    <s v="TXN59556580"/>
    <x v="3200"/>
    <x v="4"/>
    <x v="1"/>
    <n v="91887"/>
    <x v="0"/>
    <x v="5"/>
    <x v="0"/>
    <n v="5"/>
    <n v="0"/>
    <n v="5"/>
    <s v="Success"/>
  </r>
  <r>
    <s v="TXN24845805"/>
    <x v="3201"/>
    <x v="4"/>
    <x v="1"/>
    <n v="21290"/>
    <x v="0"/>
    <x v="5"/>
    <x v="0"/>
    <n v="5"/>
    <n v="0"/>
    <n v="5"/>
    <s v="Success"/>
  </r>
  <r>
    <s v="TXN57026328"/>
    <x v="3202"/>
    <x v="1"/>
    <x v="2"/>
    <n v="432"/>
    <x v="0"/>
    <x v="1"/>
    <x v="0"/>
    <n v="0"/>
    <n v="0"/>
    <n v="0"/>
    <s v="Success"/>
  </r>
  <r>
    <s v="TXN68497314"/>
    <x v="3203"/>
    <x v="4"/>
    <x v="2"/>
    <n v="1126"/>
    <x v="0"/>
    <x v="7"/>
    <x v="0"/>
    <n v="0"/>
    <n v="0"/>
    <n v="0"/>
    <s v="Success"/>
  </r>
  <r>
    <s v="TXN85414877"/>
    <x v="3204"/>
    <x v="2"/>
    <x v="0"/>
    <n v="228000"/>
    <x v="1"/>
    <x v="2"/>
    <x v="0"/>
    <n v="4218"/>
    <n v="1687.2"/>
    <n v="2530.8000000000002"/>
    <s v="Success"/>
  </r>
  <r>
    <s v="TXN18691848"/>
    <x v="3205"/>
    <x v="6"/>
    <x v="0"/>
    <n v="19000"/>
    <x v="0"/>
    <x v="5"/>
    <x v="0"/>
    <n v="351.5"/>
    <n v="140.6"/>
    <n v="210.9"/>
    <s v="Success"/>
  </r>
  <r>
    <s v="TXN18249150"/>
    <x v="3206"/>
    <x v="6"/>
    <x v="3"/>
    <n v="105253"/>
    <x v="1"/>
    <x v="0"/>
    <x v="0"/>
    <n v="0"/>
    <n v="0"/>
    <n v="0"/>
    <s v="Success"/>
  </r>
  <r>
    <s v="TXN23704777"/>
    <x v="3207"/>
    <x v="6"/>
    <x v="2"/>
    <n v="363"/>
    <x v="0"/>
    <x v="2"/>
    <x v="0"/>
    <n v="0"/>
    <n v="0"/>
    <n v="0"/>
    <s v="Success"/>
  </r>
  <r>
    <s v="TXN47935509"/>
    <x v="3208"/>
    <x v="4"/>
    <x v="4"/>
    <n v="29702"/>
    <x v="2"/>
    <x v="0"/>
    <x v="3"/>
    <n v="297.02"/>
    <n v="0"/>
    <n v="297.02"/>
    <s v="Success"/>
  </r>
  <r>
    <s v="TXN51558171"/>
    <x v="3209"/>
    <x v="1"/>
    <x v="3"/>
    <n v="7054"/>
    <x v="0"/>
    <x v="5"/>
    <x v="0"/>
    <n v="0"/>
    <n v="0"/>
    <n v="0"/>
    <s v="Success"/>
  </r>
  <r>
    <s v="TXN94921820"/>
    <x v="3210"/>
    <x v="3"/>
    <x v="0"/>
    <n v="189500"/>
    <x v="0"/>
    <x v="1"/>
    <x v="0"/>
    <n v="3505.75"/>
    <n v="1402.3"/>
    <n v="2103.4499999999998"/>
    <s v="Success"/>
  </r>
  <r>
    <s v="TXN11865678"/>
    <x v="3211"/>
    <x v="5"/>
    <x v="2"/>
    <n v="958"/>
    <x v="0"/>
    <x v="1"/>
    <x v="0"/>
    <n v="0"/>
    <n v="0"/>
    <n v="0"/>
    <s v="Success"/>
  </r>
  <r>
    <s v="TXN54778124"/>
    <x v="3212"/>
    <x v="7"/>
    <x v="2"/>
    <n v="2682"/>
    <x v="0"/>
    <x v="1"/>
    <x v="0"/>
    <n v="0"/>
    <n v="0"/>
    <n v="0"/>
    <s v="Success"/>
  </r>
  <r>
    <s v="TXN53325362"/>
    <x v="3213"/>
    <x v="4"/>
    <x v="3"/>
    <n v="44719"/>
    <x v="1"/>
    <x v="0"/>
    <x v="0"/>
    <n v="0"/>
    <n v="0"/>
    <n v="0"/>
    <s v="Success"/>
  </r>
  <r>
    <s v="TXN54069835"/>
    <x v="3214"/>
    <x v="1"/>
    <x v="0"/>
    <n v="113000"/>
    <x v="1"/>
    <x v="1"/>
    <x v="0"/>
    <n v="2090.5"/>
    <n v="836.2"/>
    <n v="1254.3"/>
    <s v="Success"/>
  </r>
  <r>
    <s v="TXN31196003"/>
    <x v="3215"/>
    <x v="5"/>
    <x v="0"/>
    <n v="38000"/>
    <x v="2"/>
    <x v="1"/>
    <x v="0"/>
    <n v="703"/>
    <n v="281.2"/>
    <n v="421.8"/>
    <s v="Success"/>
  </r>
  <r>
    <s v="TXN59256586"/>
    <x v="3216"/>
    <x v="3"/>
    <x v="3"/>
    <n v="144664"/>
    <x v="1"/>
    <x v="7"/>
    <x v="0"/>
    <n v="0"/>
    <n v="0"/>
    <n v="0"/>
    <s v="Success"/>
  </r>
  <r>
    <s v="TXN23300006"/>
    <x v="3217"/>
    <x v="3"/>
    <x v="3"/>
    <n v="27162"/>
    <x v="1"/>
    <x v="2"/>
    <x v="0"/>
    <n v="0"/>
    <n v="0"/>
    <n v="0"/>
    <s v="Success"/>
  </r>
  <r>
    <s v="TXN43974752"/>
    <x v="3218"/>
    <x v="1"/>
    <x v="3"/>
    <n v="37576"/>
    <x v="0"/>
    <x v="6"/>
    <x v="0"/>
    <n v="0"/>
    <n v="0"/>
    <n v="0"/>
    <s v="Success"/>
  </r>
  <r>
    <s v="TXN45095407"/>
    <x v="3219"/>
    <x v="3"/>
    <x v="0"/>
    <n v="27500"/>
    <x v="0"/>
    <x v="0"/>
    <x v="0"/>
    <n v="508.75"/>
    <n v="203.5"/>
    <n v="305.25"/>
    <s v="Success"/>
  </r>
  <r>
    <s v="TXN32548577"/>
    <x v="3220"/>
    <x v="4"/>
    <x v="2"/>
    <n v="4443"/>
    <x v="0"/>
    <x v="3"/>
    <x v="0"/>
    <n v="0"/>
    <n v="0"/>
    <n v="0"/>
    <s v="Success"/>
  </r>
  <r>
    <s v="TXN60925500"/>
    <x v="3221"/>
    <x v="5"/>
    <x v="0"/>
    <n v="131000"/>
    <x v="0"/>
    <x v="0"/>
    <x v="0"/>
    <n v="2423.5"/>
    <n v="969.4"/>
    <n v="1454.1"/>
    <s v="Success"/>
  </r>
  <r>
    <s v="TXN66684533"/>
    <x v="3222"/>
    <x v="1"/>
    <x v="4"/>
    <n v="83795"/>
    <x v="0"/>
    <x v="3"/>
    <x v="2"/>
    <n v="837.95"/>
    <n v="0"/>
    <n v="837.95"/>
    <s v="Success"/>
  </r>
  <r>
    <s v="TXN62832921"/>
    <x v="3223"/>
    <x v="7"/>
    <x v="3"/>
    <n v="94021"/>
    <x v="1"/>
    <x v="1"/>
    <x v="0"/>
    <n v="0"/>
    <n v="0"/>
    <n v="0"/>
    <s v="Success"/>
  </r>
  <r>
    <s v="TXN69797710"/>
    <x v="3224"/>
    <x v="5"/>
    <x v="1"/>
    <n v="36865"/>
    <x v="0"/>
    <x v="1"/>
    <x v="0"/>
    <n v="5"/>
    <n v="0"/>
    <n v="5"/>
    <s v="Success"/>
  </r>
  <r>
    <s v="TXN48681850"/>
    <x v="3225"/>
    <x v="4"/>
    <x v="4"/>
    <n v="104397"/>
    <x v="0"/>
    <x v="2"/>
    <x v="3"/>
    <n v="1043.97"/>
    <n v="0"/>
    <n v="1043.97"/>
    <s v="Success"/>
  </r>
  <r>
    <s v="TXN87246853"/>
    <x v="3226"/>
    <x v="7"/>
    <x v="3"/>
    <n v="80483"/>
    <x v="1"/>
    <x v="2"/>
    <x v="0"/>
    <n v="0"/>
    <n v="0"/>
    <n v="0"/>
    <s v="Success"/>
  </r>
  <r>
    <s v="TXN84961491"/>
    <x v="3227"/>
    <x v="5"/>
    <x v="2"/>
    <n v="581"/>
    <x v="0"/>
    <x v="3"/>
    <x v="0"/>
    <n v="0"/>
    <n v="0"/>
    <n v="0"/>
    <s v="Success"/>
  </r>
  <r>
    <s v="TXN28431812"/>
    <x v="3228"/>
    <x v="4"/>
    <x v="1"/>
    <n v="29564"/>
    <x v="0"/>
    <x v="0"/>
    <x v="0"/>
    <n v="5"/>
    <n v="0"/>
    <n v="5"/>
    <s v="Success"/>
  </r>
  <r>
    <s v="TXN90253666"/>
    <x v="3229"/>
    <x v="0"/>
    <x v="4"/>
    <n v="126264"/>
    <x v="0"/>
    <x v="5"/>
    <x v="1"/>
    <n v="1262.6400000000001"/>
    <n v="0"/>
    <n v="1262.6400000000001"/>
    <s v="Success"/>
  </r>
  <r>
    <s v="TXN17574025"/>
    <x v="3230"/>
    <x v="2"/>
    <x v="2"/>
    <n v="1497"/>
    <x v="0"/>
    <x v="4"/>
    <x v="0"/>
    <n v="0"/>
    <n v="0"/>
    <n v="0"/>
    <s v="Success"/>
  </r>
  <r>
    <s v="TXN75415908"/>
    <x v="3231"/>
    <x v="0"/>
    <x v="0"/>
    <n v="168500"/>
    <x v="0"/>
    <x v="2"/>
    <x v="0"/>
    <n v="3117.25"/>
    <n v="1246.9000000000001"/>
    <n v="1870.35"/>
    <s v="Success"/>
  </r>
  <r>
    <s v="TXN65828480"/>
    <x v="3232"/>
    <x v="4"/>
    <x v="1"/>
    <n v="99912"/>
    <x v="1"/>
    <x v="7"/>
    <x v="0"/>
    <n v="5"/>
    <n v="0"/>
    <n v="5"/>
    <s v="Success"/>
  </r>
  <r>
    <s v="TXN18282514"/>
    <x v="3233"/>
    <x v="0"/>
    <x v="2"/>
    <n v="1185"/>
    <x v="0"/>
    <x v="6"/>
    <x v="0"/>
    <n v="0"/>
    <n v="0"/>
    <n v="0"/>
    <s v="Success"/>
  </r>
  <r>
    <s v="TXN17583081"/>
    <x v="3234"/>
    <x v="6"/>
    <x v="1"/>
    <n v="1068"/>
    <x v="0"/>
    <x v="5"/>
    <x v="0"/>
    <n v="5"/>
    <n v="0"/>
    <n v="5"/>
    <s v="Success"/>
  </r>
  <r>
    <s v="TXN13247061"/>
    <x v="3235"/>
    <x v="2"/>
    <x v="4"/>
    <n v="20825"/>
    <x v="0"/>
    <x v="5"/>
    <x v="3"/>
    <n v="208.25"/>
    <n v="0"/>
    <n v="208.25"/>
    <s v="Success"/>
  </r>
  <r>
    <s v="TXN83467348"/>
    <x v="3236"/>
    <x v="3"/>
    <x v="2"/>
    <n v="4239"/>
    <x v="1"/>
    <x v="5"/>
    <x v="0"/>
    <n v="0"/>
    <n v="0"/>
    <n v="0"/>
    <s v="Success"/>
  </r>
  <r>
    <s v="TXN10178357"/>
    <x v="3237"/>
    <x v="4"/>
    <x v="4"/>
    <n v="10530"/>
    <x v="0"/>
    <x v="6"/>
    <x v="4"/>
    <n v="105.3"/>
    <n v="0"/>
    <n v="105.3"/>
    <s v="Success"/>
  </r>
  <r>
    <s v="TXN49998640"/>
    <x v="3238"/>
    <x v="6"/>
    <x v="4"/>
    <n v="76362"/>
    <x v="0"/>
    <x v="2"/>
    <x v="4"/>
    <n v="763.62"/>
    <n v="0"/>
    <n v="763.62"/>
    <s v="Success"/>
  </r>
  <r>
    <s v="TXN93907895"/>
    <x v="3239"/>
    <x v="7"/>
    <x v="0"/>
    <n v="96500"/>
    <x v="0"/>
    <x v="2"/>
    <x v="0"/>
    <n v="1785.25"/>
    <n v="714.1"/>
    <n v="1071.1500000000001"/>
    <s v="Success"/>
  </r>
  <r>
    <s v="TXN28363987"/>
    <x v="3240"/>
    <x v="2"/>
    <x v="2"/>
    <n v="3469"/>
    <x v="0"/>
    <x v="4"/>
    <x v="0"/>
    <n v="0"/>
    <n v="0"/>
    <n v="0"/>
    <s v="Success"/>
  </r>
  <r>
    <s v="TXN61992717"/>
    <x v="3241"/>
    <x v="4"/>
    <x v="0"/>
    <n v="127500"/>
    <x v="0"/>
    <x v="3"/>
    <x v="0"/>
    <n v="2358.75"/>
    <n v="943.5"/>
    <n v="1415.25"/>
    <s v="Success"/>
  </r>
  <r>
    <s v="TXN35437289"/>
    <x v="3242"/>
    <x v="6"/>
    <x v="2"/>
    <n v="1670"/>
    <x v="0"/>
    <x v="6"/>
    <x v="0"/>
    <n v="0"/>
    <n v="0"/>
    <n v="0"/>
    <s v="Failed"/>
  </r>
  <r>
    <s v="TXN67303759"/>
    <x v="3243"/>
    <x v="6"/>
    <x v="4"/>
    <n v="124397"/>
    <x v="0"/>
    <x v="5"/>
    <x v="4"/>
    <n v="1243.97"/>
    <n v="0"/>
    <n v="1243.97"/>
    <s v="Success"/>
  </r>
  <r>
    <s v="TXN99003381"/>
    <x v="3244"/>
    <x v="7"/>
    <x v="2"/>
    <n v="481"/>
    <x v="2"/>
    <x v="5"/>
    <x v="0"/>
    <n v="0"/>
    <n v="0"/>
    <n v="0"/>
    <s v="Success"/>
  </r>
  <r>
    <s v="TXN78057529"/>
    <x v="3245"/>
    <x v="7"/>
    <x v="2"/>
    <n v="1372"/>
    <x v="2"/>
    <x v="0"/>
    <x v="0"/>
    <n v="0"/>
    <n v="0"/>
    <n v="0"/>
    <s v="Success"/>
  </r>
  <r>
    <s v="TXN24897840"/>
    <x v="3246"/>
    <x v="1"/>
    <x v="1"/>
    <n v="100290"/>
    <x v="0"/>
    <x v="7"/>
    <x v="0"/>
    <n v="5"/>
    <n v="0"/>
    <n v="5"/>
    <s v="Success"/>
  </r>
  <r>
    <s v="TXN34534742"/>
    <x v="3247"/>
    <x v="2"/>
    <x v="0"/>
    <n v="93500"/>
    <x v="0"/>
    <x v="5"/>
    <x v="0"/>
    <n v="1729.75"/>
    <n v="691.9"/>
    <n v="1037.8499999999999"/>
    <s v="Success"/>
  </r>
  <r>
    <s v="TXN49168548"/>
    <x v="3248"/>
    <x v="6"/>
    <x v="0"/>
    <n v="202000"/>
    <x v="0"/>
    <x v="8"/>
    <x v="0"/>
    <n v="3737"/>
    <n v="1494.8"/>
    <n v="2242.1999999999998"/>
    <s v="Success"/>
  </r>
  <r>
    <s v="TXN64724535"/>
    <x v="3249"/>
    <x v="2"/>
    <x v="2"/>
    <n v="4290"/>
    <x v="0"/>
    <x v="3"/>
    <x v="0"/>
    <n v="0"/>
    <n v="0"/>
    <n v="0"/>
    <s v="Success"/>
  </r>
  <r>
    <s v="TXN36396546"/>
    <x v="3250"/>
    <x v="7"/>
    <x v="4"/>
    <n v="85110"/>
    <x v="0"/>
    <x v="3"/>
    <x v="5"/>
    <n v="851.1"/>
    <n v="0"/>
    <n v="851.1"/>
    <s v="Success"/>
  </r>
  <r>
    <s v="TXN29779852"/>
    <x v="3251"/>
    <x v="7"/>
    <x v="4"/>
    <n v="96164"/>
    <x v="1"/>
    <x v="7"/>
    <x v="3"/>
    <n v="961.64"/>
    <n v="0"/>
    <n v="961.64"/>
    <s v="Success"/>
  </r>
  <r>
    <s v="TXN25363249"/>
    <x v="3252"/>
    <x v="6"/>
    <x v="4"/>
    <n v="62530"/>
    <x v="2"/>
    <x v="5"/>
    <x v="5"/>
    <n v="625.29999999999995"/>
    <n v="0"/>
    <n v="625.29999999999995"/>
    <s v="Success"/>
  </r>
  <r>
    <s v="TXN61420738"/>
    <x v="3253"/>
    <x v="1"/>
    <x v="1"/>
    <n v="58628"/>
    <x v="1"/>
    <x v="3"/>
    <x v="0"/>
    <n v="5"/>
    <n v="0"/>
    <n v="5"/>
    <s v="Success"/>
  </r>
  <r>
    <s v="TXN47346983"/>
    <x v="3254"/>
    <x v="0"/>
    <x v="0"/>
    <n v="185500"/>
    <x v="0"/>
    <x v="1"/>
    <x v="0"/>
    <n v="3431.75"/>
    <n v="1372.7"/>
    <n v="2059.0500000000002"/>
    <s v="Success"/>
  </r>
  <r>
    <s v="TXN36234769"/>
    <x v="3255"/>
    <x v="2"/>
    <x v="4"/>
    <n v="64313"/>
    <x v="0"/>
    <x v="7"/>
    <x v="5"/>
    <n v="643.13"/>
    <n v="0"/>
    <n v="643.13"/>
    <s v="Success"/>
  </r>
  <r>
    <s v="TXN84768347"/>
    <x v="3256"/>
    <x v="5"/>
    <x v="1"/>
    <n v="43355"/>
    <x v="1"/>
    <x v="5"/>
    <x v="0"/>
    <n v="5"/>
    <n v="0"/>
    <n v="5"/>
    <s v="Success"/>
  </r>
  <r>
    <s v="TXN14660949"/>
    <x v="3257"/>
    <x v="2"/>
    <x v="2"/>
    <n v="4611"/>
    <x v="2"/>
    <x v="1"/>
    <x v="0"/>
    <n v="0"/>
    <n v="0"/>
    <n v="0"/>
    <s v="Success"/>
  </r>
  <r>
    <s v="TXN88155255"/>
    <x v="3258"/>
    <x v="0"/>
    <x v="0"/>
    <n v="140000"/>
    <x v="0"/>
    <x v="7"/>
    <x v="0"/>
    <n v="2590"/>
    <n v="1036"/>
    <n v="1554"/>
    <s v="Success"/>
  </r>
  <r>
    <s v="TXN24739225"/>
    <x v="3259"/>
    <x v="3"/>
    <x v="2"/>
    <n v="1563"/>
    <x v="0"/>
    <x v="7"/>
    <x v="0"/>
    <n v="0"/>
    <n v="0"/>
    <n v="0"/>
    <s v="Success"/>
  </r>
  <r>
    <s v="TXN85469906"/>
    <x v="3260"/>
    <x v="0"/>
    <x v="4"/>
    <n v="63517"/>
    <x v="0"/>
    <x v="7"/>
    <x v="1"/>
    <n v="635.16999999999996"/>
    <n v="0"/>
    <n v="635.16999999999996"/>
    <s v="Success"/>
  </r>
  <r>
    <s v="TXN14636001"/>
    <x v="3261"/>
    <x v="6"/>
    <x v="0"/>
    <n v="135500"/>
    <x v="2"/>
    <x v="7"/>
    <x v="0"/>
    <n v="2506.75"/>
    <n v="1002.7"/>
    <n v="1504.05"/>
    <s v="Success"/>
  </r>
  <r>
    <s v="TXN14949486"/>
    <x v="3262"/>
    <x v="5"/>
    <x v="0"/>
    <n v="30000"/>
    <x v="2"/>
    <x v="0"/>
    <x v="0"/>
    <n v="555"/>
    <n v="222"/>
    <n v="333"/>
    <s v="Success"/>
  </r>
  <r>
    <s v="TXN31889874"/>
    <x v="3263"/>
    <x v="7"/>
    <x v="3"/>
    <n v="130656"/>
    <x v="0"/>
    <x v="0"/>
    <x v="0"/>
    <n v="0"/>
    <n v="0"/>
    <n v="0"/>
    <s v="Success"/>
  </r>
  <r>
    <s v="TXN41986626"/>
    <x v="3264"/>
    <x v="2"/>
    <x v="1"/>
    <n v="41654"/>
    <x v="1"/>
    <x v="0"/>
    <x v="0"/>
    <n v="5"/>
    <n v="0"/>
    <n v="5"/>
    <s v="Success"/>
  </r>
  <r>
    <s v="TXN16693492"/>
    <x v="3265"/>
    <x v="4"/>
    <x v="2"/>
    <n v="886"/>
    <x v="1"/>
    <x v="6"/>
    <x v="0"/>
    <n v="0"/>
    <n v="0"/>
    <n v="0"/>
    <s v="Success"/>
  </r>
  <r>
    <s v="TXN15595117"/>
    <x v="3266"/>
    <x v="2"/>
    <x v="3"/>
    <n v="112153"/>
    <x v="0"/>
    <x v="5"/>
    <x v="0"/>
    <n v="0"/>
    <n v="0"/>
    <n v="0"/>
    <s v="Success"/>
  </r>
  <r>
    <s v="TXN98664410"/>
    <x v="3267"/>
    <x v="2"/>
    <x v="2"/>
    <n v="1366"/>
    <x v="0"/>
    <x v="6"/>
    <x v="0"/>
    <n v="0"/>
    <n v="0"/>
    <n v="0"/>
    <s v="Success"/>
  </r>
  <r>
    <s v="TXN11186788"/>
    <x v="3268"/>
    <x v="5"/>
    <x v="2"/>
    <n v="202"/>
    <x v="0"/>
    <x v="7"/>
    <x v="0"/>
    <n v="0"/>
    <n v="0"/>
    <n v="0"/>
    <s v="Success"/>
  </r>
  <r>
    <s v="TXN73067801"/>
    <x v="3269"/>
    <x v="6"/>
    <x v="0"/>
    <n v="127500"/>
    <x v="2"/>
    <x v="4"/>
    <x v="0"/>
    <n v="2358.75"/>
    <n v="943.5"/>
    <n v="1415.25"/>
    <s v="Success"/>
  </r>
  <r>
    <s v="TXN50775402"/>
    <x v="3270"/>
    <x v="4"/>
    <x v="4"/>
    <n v="65623"/>
    <x v="1"/>
    <x v="8"/>
    <x v="2"/>
    <n v="656.23"/>
    <n v="0"/>
    <n v="656.23"/>
    <s v="Success"/>
  </r>
  <r>
    <s v="TXN69434791"/>
    <x v="3271"/>
    <x v="1"/>
    <x v="0"/>
    <n v="42000"/>
    <x v="2"/>
    <x v="1"/>
    <x v="0"/>
    <n v="777"/>
    <n v="310.8"/>
    <n v="466.2"/>
    <s v="Failed"/>
  </r>
  <r>
    <s v="TXN44945343"/>
    <x v="3272"/>
    <x v="3"/>
    <x v="4"/>
    <n v="61921"/>
    <x v="0"/>
    <x v="4"/>
    <x v="4"/>
    <n v="619.21"/>
    <n v="0"/>
    <n v="619.21"/>
    <s v="Success"/>
  </r>
  <r>
    <s v="TXN39048823"/>
    <x v="3273"/>
    <x v="3"/>
    <x v="4"/>
    <n v="48053"/>
    <x v="0"/>
    <x v="7"/>
    <x v="3"/>
    <n v="480.53"/>
    <n v="0"/>
    <n v="480.53"/>
    <s v="Success"/>
  </r>
  <r>
    <s v="TXN48405406"/>
    <x v="3274"/>
    <x v="3"/>
    <x v="4"/>
    <n v="123350"/>
    <x v="0"/>
    <x v="2"/>
    <x v="5"/>
    <n v="1233.5"/>
    <n v="0"/>
    <n v="1233.5"/>
    <s v="Success"/>
  </r>
  <r>
    <s v="TXN20081724"/>
    <x v="3275"/>
    <x v="7"/>
    <x v="2"/>
    <n v="2274"/>
    <x v="0"/>
    <x v="1"/>
    <x v="0"/>
    <n v="0"/>
    <n v="0"/>
    <n v="0"/>
    <s v="Success"/>
  </r>
  <r>
    <s v="TXN46434936"/>
    <x v="3276"/>
    <x v="6"/>
    <x v="1"/>
    <n v="90195"/>
    <x v="0"/>
    <x v="2"/>
    <x v="0"/>
    <n v="5"/>
    <n v="0"/>
    <n v="5"/>
    <s v="Success"/>
  </r>
  <r>
    <s v="TXN23167694"/>
    <x v="3277"/>
    <x v="5"/>
    <x v="2"/>
    <n v="2870"/>
    <x v="0"/>
    <x v="5"/>
    <x v="0"/>
    <n v="0"/>
    <n v="0"/>
    <n v="0"/>
    <s v="Success"/>
  </r>
  <r>
    <s v="TXN34255198"/>
    <x v="3278"/>
    <x v="0"/>
    <x v="2"/>
    <n v="4310"/>
    <x v="0"/>
    <x v="4"/>
    <x v="0"/>
    <n v="0"/>
    <n v="0"/>
    <n v="0"/>
    <s v="Success"/>
  </r>
  <r>
    <s v="TXN17979130"/>
    <x v="3279"/>
    <x v="5"/>
    <x v="2"/>
    <n v="446"/>
    <x v="0"/>
    <x v="0"/>
    <x v="0"/>
    <n v="0"/>
    <n v="0"/>
    <n v="0"/>
    <s v="Success"/>
  </r>
  <r>
    <s v="TXN76837653"/>
    <x v="3280"/>
    <x v="5"/>
    <x v="2"/>
    <n v="4131"/>
    <x v="0"/>
    <x v="7"/>
    <x v="0"/>
    <n v="0"/>
    <n v="0"/>
    <n v="0"/>
    <s v="Success"/>
  </r>
  <r>
    <s v="TXN86484750"/>
    <x v="3281"/>
    <x v="6"/>
    <x v="4"/>
    <n v="84185"/>
    <x v="0"/>
    <x v="1"/>
    <x v="4"/>
    <n v="841.85"/>
    <n v="0"/>
    <n v="841.85"/>
    <s v="Success"/>
  </r>
  <r>
    <s v="TXN58562155"/>
    <x v="3282"/>
    <x v="7"/>
    <x v="4"/>
    <n v="142623"/>
    <x v="1"/>
    <x v="5"/>
    <x v="1"/>
    <n v="1426.23"/>
    <n v="0"/>
    <n v="1426.23"/>
    <s v="Success"/>
  </r>
  <r>
    <s v="TXN79172337"/>
    <x v="3283"/>
    <x v="7"/>
    <x v="3"/>
    <n v="82593"/>
    <x v="1"/>
    <x v="0"/>
    <x v="0"/>
    <n v="0"/>
    <n v="0"/>
    <n v="0"/>
    <s v="Success"/>
  </r>
  <r>
    <s v="TXN12585121"/>
    <x v="3284"/>
    <x v="6"/>
    <x v="0"/>
    <n v="144000"/>
    <x v="0"/>
    <x v="8"/>
    <x v="0"/>
    <n v="2664"/>
    <n v="1065.5999999999999"/>
    <n v="1598.4"/>
    <s v="Failed"/>
  </r>
  <r>
    <s v="TXN40316484"/>
    <x v="3285"/>
    <x v="6"/>
    <x v="1"/>
    <n v="112628"/>
    <x v="1"/>
    <x v="1"/>
    <x v="0"/>
    <n v="5"/>
    <n v="0"/>
    <n v="5"/>
    <s v="Success"/>
  </r>
  <r>
    <s v="TXN47277895"/>
    <x v="3286"/>
    <x v="2"/>
    <x v="3"/>
    <n v="113476"/>
    <x v="2"/>
    <x v="5"/>
    <x v="0"/>
    <n v="0"/>
    <n v="0"/>
    <n v="0"/>
    <s v="Success"/>
  </r>
  <r>
    <s v="TXN54352396"/>
    <x v="3287"/>
    <x v="3"/>
    <x v="2"/>
    <n v="1135"/>
    <x v="1"/>
    <x v="2"/>
    <x v="0"/>
    <n v="0"/>
    <n v="0"/>
    <n v="0"/>
    <s v="Success"/>
  </r>
  <r>
    <s v="TXN97760536"/>
    <x v="3288"/>
    <x v="0"/>
    <x v="2"/>
    <n v="4181"/>
    <x v="0"/>
    <x v="7"/>
    <x v="0"/>
    <n v="0"/>
    <n v="0"/>
    <n v="0"/>
    <s v="Success"/>
  </r>
  <r>
    <s v="TXN71921483"/>
    <x v="3289"/>
    <x v="5"/>
    <x v="4"/>
    <n v="126200"/>
    <x v="1"/>
    <x v="1"/>
    <x v="3"/>
    <n v="1262"/>
    <n v="0"/>
    <n v="1262"/>
    <s v="Success"/>
  </r>
  <r>
    <s v="TXN70581107"/>
    <x v="3290"/>
    <x v="7"/>
    <x v="1"/>
    <n v="78581"/>
    <x v="0"/>
    <x v="8"/>
    <x v="0"/>
    <n v="5"/>
    <n v="0"/>
    <n v="5"/>
    <s v="Success"/>
  </r>
  <r>
    <s v="TXN32053375"/>
    <x v="3291"/>
    <x v="4"/>
    <x v="1"/>
    <n v="72378"/>
    <x v="0"/>
    <x v="2"/>
    <x v="0"/>
    <n v="5"/>
    <n v="0"/>
    <n v="5"/>
    <s v="Success"/>
  </r>
  <r>
    <s v="TXN71754591"/>
    <x v="3292"/>
    <x v="1"/>
    <x v="0"/>
    <n v="155500"/>
    <x v="1"/>
    <x v="1"/>
    <x v="0"/>
    <n v="2876.75"/>
    <n v="1150.7"/>
    <n v="1726.05"/>
    <s v="Success"/>
  </r>
  <r>
    <s v="TXN70536179"/>
    <x v="3293"/>
    <x v="4"/>
    <x v="2"/>
    <n v="2390"/>
    <x v="0"/>
    <x v="6"/>
    <x v="0"/>
    <n v="0"/>
    <n v="0"/>
    <n v="0"/>
    <s v="Success"/>
  </r>
  <r>
    <s v="TXN77018200"/>
    <x v="3294"/>
    <x v="6"/>
    <x v="4"/>
    <n v="127559"/>
    <x v="0"/>
    <x v="1"/>
    <x v="5"/>
    <n v="1275.5899999999999"/>
    <n v="0"/>
    <n v="1275.5899999999999"/>
    <s v="Success"/>
  </r>
  <r>
    <s v="TXN81774426"/>
    <x v="3295"/>
    <x v="4"/>
    <x v="2"/>
    <n v="527"/>
    <x v="0"/>
    <x v="4"/>
    <x v="0"/>
    <n v="0"/>
    <n v="0"/>
    <n v="0"/>
    <s v="Success"/>
  </r>
  <r>
    <s v="TXN24890509"/>
    <x v="3296"/>
    <x v="1"/>
    <x v="2"/>
    <n v="2416"/>
    <x v="0"/>
    <x v="3"/>
    <x v="0"/>
    <n v="0"/>
    <n v="0"/>
    <n v="0"/>
    <s v="Success"/>
  </r>
  <r>
    <s v="TXN93754601"/>
    <x v="3297"/>
    <x v="4"/>
    <x v="4"/>
    <n v="132273"/>
    <x v="1"/>
    <x v="2"/>
    <x v="1"/>
    <n v="1322.73"/>
    <n v="0"/>
    <n v="1322.73"/>
    <s v="Success"/>
  </r>
  <r>
    <s v="TXN74932557"/>
    <x v="3298"/>
    <x v="6"/>
    <x v="3"/>
    <n v="72917"/>
    <x v="0"/>
    <x v="5"/>
    <x v="0"/>
    <n v="0"/>
    <n v="0"/>
    <n v="0"/>
    <s v="Success"/>
  </r>
  <r>
    <s v="TXN21075791"/>
    <x v="3299"/>
    <x v="0"/>
    <x v="0"/>
    <n v="167500"/>
    <x v="0"/>
    <x v="3"/>
    <x v="0"/>
    <n v="3098.75"/>
    <n v="1239.5"/>
    <n v="1859.25"/>
    <s v="Success"/>
  </r>
  <r>
    <s v="TXN59667030"/>
    <x v="3300"/>
    <x v="5"/>
    <x v="3"/>
    <n v="104133"/>
    <x v="0"/>
    <x v="5"/>
    <x v="0"/>
    <n v="0"/>
    <n v="0"/>
    <n v="0"/>
    <s v="Success"/>
  </r>
  <r>
    <s v="TXN17777266"/>
    <x v="3301"/>
    <x v="1"/>
    <x v="2"/>
    <n v="2312"/>
    <x v="2"/>
    <x v="3"/>
    <x v="0"/>
    <n v="0"/>
    <n v="0"/>
    <n v="0"/>
    <s v="Success"/>
  </r>
  <r>
    <s v="TXN20392038"/>
    <x v="3302"/>
    <x v="3"/>
    <x v="0"/>
    <n v="4500"/>
    <x v="1"/>
    <x v="6"/>
    <x v="0"/>
    <n v="83.25"/>
    <n v="33.299999999999997"/>
    <n v="49.95"/>
    <s v="Success"/>
  </r>
  <r>
    <s v="TXN33831892"/>
    <x v="3303"/>
    <x v="3"/>
    <x v="0"/>
    <n v="185000"/>
    <x v="1"/>
    <x v="5"/>
    <x v="0"/>
    <n v="3422.5"/>
    <n v="1369"/>
    <n v="2053.5"/>
    <s v="Success"/>
  </r>
  <r>
    <s v="TXN54354333"/>
    <x v="3304"/>
    <x v="7"/>
    <x v="2"/>
    <n v="3601"/>
    <x v="0"/>
    <x v="5"/>
    <x v="0"/>
    <n v="0"/>
    <n v="0"/>
    <n v="0"/>
    <s v="Success"/>
  </r>
  <r>
    <s v="TXN29097716"/>
    <x v="3305"/>
    <x v="5"/>
    <x v="0"/>
    <n v="50500"/>
    <x v="0"/>
    <x v="1"/>
    <x v="0"/>
    <n v="934.25"/>
    <n v="373.7"/>
    <n v="560.54999999999995"/>
    <s v="Success"/>
  </r>
  <r>
    <s v="TXN37256834"/>
    <x v="3306"/>
    <x v="2"/>
    <x v="0"/>
    <n v="13000"/>
    <x v="0"/>
    <x v="5"/>
    <x v="0"/>
    <n v="240.5"/>
    <n v="96.2"/>
    <n v="144.30000000000001"/>
    <s v="Success"/>
  </r>
  <r>
    <s v="TXN44500741"/>
    <x v="3307"/>
    <x v="3"/>
    <x v="3"/>
    <n v="52121"/>
    <x v="0"/>
    <x v="4"/>
    <x v="0"/>
    <n v="0"/>
    <n v="0"/>
    <n v="0"/>
    <s v="Success"/>
  </r>
  <r>
    <s v="TXN74994943"/>
    <x v="3308"/>
    <x v="1"/>
    <x v="4"/>
    <n v="48485"/>
    <x v="0"/>
    <x v="5"/>
    <x v="4"/>
    <n v="484.85"/>
    <n v="0"/>
    <n v="484.85"/>
    <s v="Success"/>
  </r>
  <r>
    <s v="TXN35766226"/>
    <x v="3309"/>
    <x v="1"/>
    <x v="4"/>
    <n v="64333"/>
    <x v="0"/>
    <x v="8"/>
    <x v="2"/>
    <n v="643.33000000000004"/>
    <n v="0"/>
    <n v="643.33000000000004"/>
    <s v="Success"/>
  </r>
  <r>
    <s v="TXN88872313"/>
    <x v="3310"/>
    <x v="1"/>
    <x v="4"/>
    <n v="83031"/>
    <x v="0"/>
    <x v="6"/>
    <x v="3"/>
    <n v="830.31"/>
    <n v="0"/>
    <n v="830.31"/>
    <s v="Success"/>
  </r>
  <r>
    <s v="TXN76624996"/>
    <x v="3311"/>
    <x v="3"/>
    <x v="1"/>
    <n v="37045"/>
    <x v="0"/>
    <x v="7"/>
    <x v="0"/>
    <n v="5"/>
    <n v="0"/>
    <n v="5"/>
    <s v="Success"/>
  </r>
  <r>
    <s v="TXN92349554"/>
    <x v="3312"/>
    <x v="5"/>
    <x v="3"/>
    <n v="92389"/>
    <x v="0"/>
    <x v="4"/>
    <x v="0"/>
    <n v="0"/>
    <n v="0"/>
    <n v="0"/>
    <s v="Success"/>
  </r>
  <r>
    <s v="TXN86003314"/>
    <x v="3313"/>
    <x v="6"/>
    <x v="2"/>
    <n v="2067"/>
    <x v="1"/>
    <x v="4"/>
    <x v="0"/>
    <n v="0"/>
    <n v="0"/>
    <n v="0"/>
    <s v="Success"/>
  </r>
  <r>
    <s v="TXN93434148"/>
    <x v="3314"/>
    <x v="6"/>
    <x v="0"/>
    <n v="134500"/>
    <x v="0"/>
    <x v="1"/>
    <x v="0"/>
    <n v="2488.25"/>
    <n v="995.3"/>
    <n v="1492.95"/>
    <s v="Success"/>
  </r>
  <r>
    <s v="TXN20516457"/>
    <x v="3315"/>
    <x v="0"/>
    <x v="4"/>
    <n v="23523"/>
    <x v="0"/>
    <x v="1"/>
    <x v="3"/>
    <n v="235.23"/>
    <n v="0"/>
    <n v="235.23"/>
    <s v="Success"/>
  </r>
  <r>
    <s v="TXN38366583"/>
    <x v="3316"/>
    <x v="0"/>
    <x v="1"/>
    <n v="33341"/>
    <x v="0"/>
    <x v="7"/>
    <x v="0"/>
    <n v="5"/>
    <n v="0"/>
    <n v="5"/>
    <s v="Success"/>
  </r>
  <r>
    <s v="TXN84963610"/>
    <x v="3317"/>
    <x v="3"/>
    <x v="0"/>
    <n v="168500"/>
    <x v="1"/>
    <x v="1"/>
    <x v="0"/>
    <n v="3117.25"/>
    <n v="1246.9000000000001"/>
    <n v="1870.35"/>
    <s v="Success"/>
  </r>
  <r>
    <s v="TXN66866903"/>
    <x v="3318"/>
    <x v="5"/>
    <x v="2"/>
    <n v="4767"/>
    <x v="0"/>
    <x v="4"/>
    <x v="0"/>
    <n v="0"/>
    <n v="0"/>
    <n v="0"/>
    <s v="Success"/>
  </r>
  <r>
    <s v="TXN30774849"/>
    <x v="3319"/>
    <x v="4"/>
    <x v="4"/>
    <n v="22311"/>
    <x v="0"/>
    <x v="8"/>
    <x v="4"/>
    <n v="223.11"/>
    <n v="0"/>
    <n v="223.11"/>
    <s v="Success"/>
  </r>
  <r>
    <s v="TXN48222083"/>
    <x v="3320"/>
    <x v="7"/>
    <x v="0"/>
    <n v="39500"/>
    <x v="2"/>
    <x v="2"/>
    <x v="0"/>
    <n v="730.75"/>
    <n v="292.3"/>
    <n v="438.45"/>
    <s v="Success"/>
  </r>
  <r>
    <s v="TXN39293301"/>
    <x v="3321"/>
    <x v="6"/>
    <x v="0"/>
    <n v="116500"/>
    <x v="0"/>
    <x v="8"/>
    <x v="0"/>
    <n v="2155.25"/>
    <n v="862.1"/>
    <n v="1293.1500000000001"/>
    <s v="Success"/>
  </r>
  <r>
    <s v="TXN25919666"/>
    <x v="3322"/>
    <x v="4"/>
    <x v="0"/>
    <n v="130000"/>
    <x v="0"/>
    <x v="6"/>
    <x v="0"/>
    <n v="2405"/>
    <n v="962"/>
    <n v="1443"/>
    <s v="Success"/>
  </r>
  <r>
    <s v="TXN68577478"/>
    <x v="3323"/>
    <x v="1"/>
    <x v="1"/>
    <n v="5876"/>
    <x v="0"/>
    <x v="7"/>
    <x v="0"/>
    <n v="5"/>
    <n v="0"/>
    <n v="5"/>
    <s v="Success"/>
  </r>
  <r>
    <s v="TXN80950236"/>
    <x v="3324"/>
    <x v="5"/>
    <x v="0"/>
    <n v="138500"/>
    <x v="0"/>
    <x v="0"/>
    <x v="0"/>
    <n v="2562.25"/>
    <n v="1024.9000000000001"/>
    <n v="1537.35"/>
    <s v="Success"/>
  </r>
  <r>
    <s v="TXN27004659"/>
    <x v="3325"/>
    <x v="7"/>
    <x v="1"/>
    <n v="55775"/>
    <x v="0"/>
    <x v="5"/>
    <x v="0"/>
    <n v="5"/>
    <n v="0"/>
    <n v="5"/>
    <s v="Success"/>
  </r>
  <r>
    <s v="TXN77379711"/>
    <x v="3326"/>
    <x v="4"/>
    <x v="0"/>
    <n v="245500"/>
    <x v="0"/>
    <x v="7"/>
    <x v="0"/>
    <n v="4541.75"/>
    <n v="1816.7"/>
    <n v="2725.05"/>
    <s v="Success"/>
  </r>
  <r>
    <s v="TXN71304789"/>
    <x v="3327"/>
    <x v="6"/>
    <x v="2"/>
    <n v="566"/>
    <x v="0"/>
    <x v="0"/>
    <x v="0"/>
    <n v="0"/>
    <n v="0"/>
    <n v="0"/>
    <s v="Success"/>
  </r>
  <r>
    <s v="TXN13765723"/>
    <x v="3328"/>
    <x v="6"/>
    <x v="4"/>
    <n v="46854"/>
    <x v="0"/>
    <x v="1"/>
    <x v="2"/>
    <n v="468.54"/>
    <n v="0"/>
    <n v="468.54"/>
    <s v="Success"/>
  </r>
  <r>
    <s v="TXN71672992"/>
    <x v="3329"/>
    <x v="4"/>
    <x v="3"/>
    <n v="97496"/>
    <x v="0"/>
    <x v="3"/>
    <x v="0"/>
    <n v="0"/>
    <n v="0"/>
    <n v="0"/>
    <s v="Success"/>
  </r>
  <r>
    <s v="TXN55191756"/>
    <x v="3330"/>
    <x v="5"/>
    <x v="1"/>
    <n v="107359"/>
    <x v="0"/>
    <x v="4"/>
    <x v="0"/>
    <n v="5"/>
    <n v="0"/>
    <n v="5"/>
    <s v="Success"/>
  </r>
  <r>
    <s v="TXN55866921"/>
    <x v="3331"/>
    <x v="3"/>
    <x v="2"/>
    <n v="2789"/>
    <x v="0"/>
    <x v="8"/>
    <x v="0"/>
    <n v="0"/>
    <n v="0"/>
    <n v="0"/>
    <s v="Success"/>
  </r>
  <r>
    <s v="TXN54346072"/>
    <x v="3332"/>
    <x v="2"/>
    <x v="4"/>
    <n v="128100"/>
    <x v="0"/>
    <x v="8"/>
    <x v="5"/>
    <n v="1281"/>
    <n v="0"/>
    <n v="1281"/>
    <s v="Success"/>
  </r>
  <r>
    <s v="TXN60511850"/>
    <x v="3333"/>
    <x v="3"/>
    <x v="2"/>
    <n v="2726"/>
    <x v="2"/>
    <x v="4"/>
    <x v="0"/>
    <n v="0"/>
    <n v="0"/>
    <n v="0"/>
    <s v="Success"/>
  </r>
  <r>
    <s v="TXN37990817"/>
    <x v="3334"/>
    <x v="3"/>
    <x v="2"/>
    <n v="1746"/>
    <x v="2"/>
    <x v="5"/>
    <x v="0"/>
    <n v="0"/>
    <n v="0"/>
    <n v="0"/>
    <s v="Success"/>
  </r>
  <r>
    <s v="TXN42736248"/>
    <x v="3335"/>
    <x v="5"/>
    <x v="3"/>
    <n v="41232"/>
    <x v="0"/>
    <x v="5"/>
    <x v="0"/>
    <n v="0"/>
    <n v="0"/>
    <n v="0"/>
    <s v="Success"/>
  </r>
  <r>
    <s v="TXN32686296"/>
    <x v="3336"/>
    <x v="1"/>
    <x v="3"/>
    <n v="147057"/>
    <x v="0"/>
    <x v="3"/>
    <x v="0"/>
    <n v="0"/>
    <n v="0"/>
    <n v="0"/>
    <s v="Success"/>
  </r>
  <r>
    <s v="TXN46590211"/>
    <x v="3337"/>
    <x v="2"/>
    <x v="0"/>
    <n v="25500"/>
    <x v="0"/>
    <x v="7"/>
    <x v="0"/>
    <n v="471.75"/>
    <n v="188.7"/>
    <n v="283.05"/>
    <s v="Success"/>
  </r>
  <r>
    <s v="TXN20848419"/>
    <x v="3338"/>
    <x v="7"/>
    <x v="4"/>
    <n v="86683"/>
    <x v="0"/>
    <x v="6"/>
    <x v="2"/>
    <n v="866.83"/>
    <n v="0"/>
    <n v="866.83"/>
    <s v="Success"/>
  </r>
  <r>
    <s v="TXN67246042"/>
    <x v="3339"/>
    <x v="0"/>
    <x v="3"/>
    <n v="47576"/>
    <x v="0"/>
    <x v="3"/>
    <x v="0"/>
    <n v="0"/>
    <n v="0"/>
    <n v="0"/>
    <s v="Success"/>
  </r>
  <r>
    <s v="TXN83864705"/>
    <x v="3340"/>
    <x v="7"/>
    <x v="0"/>
    <n v="119000"/>
    <x v="0"/>
    <x v="6"/>
    <x v="0"/>
    <n v="2201.5"/>
    <n v="880.6"/>
    <n v="1320.9"/>
    <s v="Success"/>
  </r>
  <r>
    <s v="TXN12952125"/>
    <x v="3341"/>
    <x v="0"/>
    <x v="1"/>
    <n v="22469"/>
    <x v="0"/>
    <x v="3"/>
    <x v="0"/>
    <n v="5"/>
    <n v="0"/>
    <n v="5"/>
    <s v="Success"/>
  </r>
  <r>
    <s v="TXN99808619"/>
    <x v="3342"/>
    <x v="4"/>
    <x v="0"/>
    <n v="93500"/>
    <x v="0"/>
    <x v="4"/>
    <x v="0"/>
    <n v="1729.75"/>
    <n v="691.9"/>
    <n v="1037.8499999999999"/>
    <s v="Success"/>
  </r>
  <r>
    <s v="TXN75595950"/>
    <x v="3343"/>
    <x v="6"/>
    <x v="2"/>
    <n v="4742"/>
    <x v="0"/>
    <x v="5"/>
    <x v="0"/>
    <n v="0"/>
    <n v="0"/>
    <n v="0"/>
    <s v="Success"/>
  </r>
  <r>
    <s v="TXN79837528"/>
    <x v="3344"/>
    <x v="0"/>
    <x v="0"/>
    <n v="208500"/>
    <x v="0"/>
    <x v="4"/>
    <x v="0"/>
    <n v="3857.25"/>
    <n v="1542.9"/>
    <n v="2314.35"/>
    <s v="Failed"/>
  </r>
  <r>
    <s v="TXN18052433"/>
    <x v="3345"/>
    <x v="6"/>
    <x v="1"/>
    <n v="45312"/>
    <x v="0"/>
    <x v="3"/>
    <x v="0"/>
    <n v="5"/>
    <n v="0"/>
    <n v="5"/>
    <s v="Success"/>
  </r>
  <r>
    <s v="TXN98658334"/>
    <x v="3346"/>
    <x v="4"/>
    <x v="3"/>
    <n v="43359"/>
    <x v="2"/>
    <x v="5"/>
    <x v="0"/>
    <n v="0"/>
    <n v="0"/>
    <n v="0"/>
    <s v="Success"/>
  </r>
  <r>
    <s v="TXN40699221"/>
    <x v="3347"/>
    <x v="1"/>
    <x v="3"/>
    <n v="46863"/>
    <x v="0"/>
    <x v="3"/>
    <x v="0"/>
    <n v="0"/>
    <n v="0"/>
    <n v="0"/>
    <s v="Success"/>
  </r>
  <r>
    <s v="TXN92687678"/>
    <x v="3348"/>
    <x v="3"/>
    <x v="2"/>
    <n v="1982"/>
    <x v="0"/>
    <x v="2"/>
    <x v="0"/>
    <n v="0"/>
    <n v="0"/>
    <n v="0"/>
    <s v="Success"/>
  </r>
  <r>
    <s v="TXN33444685"/>
    <x v="3349"/>
    <x v="6"/>
    <x v="1"/>
    <n v="61116"/>
    <x v="0"/>
    <x v="1"/>
    <x v="0"/>
    <n v="5"/>
    <n v="0"/>
    <n v="5"/>
    <s v="Success"/>
  </r>
  <r>
    <s v="TXN47800029"/>
    <x v="3350"/>
    <x v="7"/>
    <x v="0"/>
    <n v="186500"/>
    <x v="0"/>
    <x v="7"/>
    <x v="0"/>
    <n v="3450.25"/>
    <n v="1380.1"/>
    <n v="2070.15"/>
    <s v="Success"/>
  </r>
  <r>
    <s v="TXN91074215"/>
    <x v="3351"/>
    <x v="2"/>
    <x v="0"/>
    <n v="214000"/>
    <x v="0"/>
    <x v="4"/>
    <x v="0"/>
    <n v="3959"/>
    <n v="1583.6"/>
    <n v="2375.4"/>
    <s v="Success"/>
  </r>
  <r>
    <s v="TXN66655783"/>
    <x v="3352"/>
    <x v="2"/>
    <x v="1"/>
    <n v="65375"/>
    <x v="1"/>
    <x v="5"/>
    <x v="0"/>
    <n v="5"/>
    <n v="0"/>
    <n v="5"/>
    <s v="Success"/>
  </r>
  <r>
    <s v="TXN62882281"/>
    <x v="3353"/>
    <x v="2"/>
    <x v="3"/>
    <n v="13340"/>
    <x v="1"/>
    <x v="6"/>
    <x v="0"/>
    <n v="0"/>
    <n v="0"/>
    <n v="0"/>
    <s v="Success"/>
  </r>
  <r>
    <s v="TXN39912343"/>
    <x v="3354"/>
    <x v="7"/>
    <x v="2"/>
    <n v="2484"/>
    <x v="0"/>
    <x v="2"/>
    <x v="0"/>
    <n v="0"/>
    <n v="0"/>
    <n v="0"/>
    <s v="Success"/>
  </r>
  <r>
    <s v="TXN69453449"/>
    <x v="3355"/>
    <x v="5"/>
    <x v="3"/>
    <n v="27020"/>
    <x v="0"/>
    <x v="2"/>
    <x v="0"/>
    <n v="0"/>
    <n v="0"/>
    <n v="0"/>
    <s v="Success"/>
  </r>
  <r>
    <s v="TXN80742568"/>
    <x v="3356"/>
    <x v="5"/>
    <x v="2"/>
    <n v="760"/>
    <x v="0"/>
    <x v="6"/>
    <x v="0"/>
    <n v="0"/>
    <n v="0"/>
    <n v="0"/>
    <s v="Success"/>
  </r>
  <r>
    <s v="TXN39420684"/>
    <x v="3357"/>
    <x v="0"/>
    <x v="2"/>
    <n v="1751"/>
    <x v="0"/>
    <x v="5"/>
    <x v="0"/>
    <n v="0"/>
    <n v="0"/>
    <n v="0"/>
    <s v="Success"/>
  </r>
  <r>
    <s v="TXN49300774"/>
    <x v="3358"/>
    <x v="3"/>
    <x v="0"/>
    <n v="213500"/>
    <x v="0"/>
    <x v="4"/>
    <x v="0"/>
    <n v="3949.75"/>
    <n v="1579.9"/>
    <n v="2369.85"/>
    <s v="Success"/>
  </r>
  <r>
    <s v="TXN85197407"/>
    <x v="3359"/>
    <x v="0"/>
    <x v="4"/>
    <n v="16487"/>
    <x v="2"/>
    <x v="7"/>
    <x v="3"/>
    <n v="164.87"/>
    <n v="0"/>
    <n v="164.87"/>
    <s v="Success"/>
  </r>
  <r>
    <s v="TXN48306465"/>
    <x v="3360"/>
    <x v="6"/>
    <x v="3"/>
    <n v="136685"/>
    <x v="0"/>
    <x v="7"/>
    <x v="0"/>
    <n v="0"/>
    <n v="0"/>
    <n v="0"/>
    <s v="Success"/>
  </r>
  <r>
    <s v="TXN60536110"/>
    <x v="3361"/>
    <x v="2"/>
    <x v="4"/>
    <n v="86830"/>
    <x v="0"/>
    <x v="8"/>
    <x v="3"/>
    <n v="868.3"/>
    <n v="0"/>
    <n v="868.3"/>
    <s v="Success"/>
  </r>
  <r>
    <s v="TXN13323491"/>
    <x v="3362"/>
    <x v="3"/>
    <x v="4"/>
    <n v="104948"/>
    <x v="0"/>
    <x v="8"/>
    <x v="4"/>
    <n v="1049.48"/>
    <n v="0"/>
    <n v="1049.48"/>
    <s v="Success"/>
  </r>
  <r>
    <s v="TXN36194783"/>
    <x v="3363"/>
    <x v="7"/>
    <x v="0"/>
    <n v="234500"/>
    <x v="0"/>
    <x v="2"/>
    <x v="0"/>
    <n v="4338.25"/>
    <n v="1735.3"/>
    <n v="2602.9499999999998"/>
    <s v="Failed"/>
  </r>
  <r>
    <s v="TXN24743004"/>
    <x v="3364"/>
    <x v="6"/>
    <x v="2"/>
    <n v="2511"/>
    <x v="0"/>
    <x v="5"/>
    <x v="0"/>
    <n v="0"/>
    <n v="0"/>
    <n v="0"/>
    <s v="Success"/>
  </r>
  <r>
    <s v="TXN54899222"/>
    <x v="3365"/>
    <x v="1"/>
    <x v="2"/>
    <n v="1630"/>
    <x v="1"/>
    <x v="1"/>
    <x v="0"/>
    <n v="0"/>
    <n v="0"/>
    <n v="0"/>
    <s v="Success"/>
  </r>
  <r>
    <s v="TXN38714063"/>
    <x v="3366"/>
    <x v="7"/>
    <x v="0"/>
    <n v="174500"/>
    <x v="1"/>
    <x v="0"/>
    <x v="0"/>
    <n v="3228.25"/>
    <n v="1291.3"/>
    <n v="1936.95"/>
    <s v="Success"/>
  </r>
  <r>
    <s v="TXN63870867"/>
    <x v="3367"/>
    <x v="5"/>
    <x v="1"/>
    <n v="20158"/>
    <x v="2"/>
    <x v="3"/>
    <x v="0"/>
    <n v="5"/>
    <n v="0"/>
    <n v="5"/>
    <s v="Success"/>
  </r>
  <r>
    <s v="TXN59636278"/>
    <x v="3368"/>
    <x v="7"/>
    <x v="4"/>
    <n v="134192"/>
    <x v="1"/>
    <x v="7"/>
    <x v="3"/>
    <n v="1341.92"/>
    <n v="0"/>
    <n v="1341.92"/>
    <s v="Success"/>
  </r>
  <r>
    <s v="TXN94040577"/>
    <x v="3369"/>
    <x v="0"/>
    <x v="2"/>
    <n v="2726"/>
    <x v="1"/>
    <x v="4"/>
    <x v="0"/>
    <n v="0"/>
    <n v="0"/>
    <n v="0"/>
    <s v="Success"/>
  </r>
  <r>
    <s v="TXN30178623"/>
    <x v="3370"/>
    <x v="6"/>
    <x v="1"/>
    <n v="87878"/>
    <x v="0"/>
    <x v="3"/>
    <x v="0"/>
    <n v="5"/>
    <n v="0"/>
    <n v="5"/>
    <s v="Success"/>
  </r>
  <r>
    <s v="TXN37442296"/>
    <x v="3371"/>
    <x v="5"/>
    <x v="4"/>
    <n v="26666"/>
    <x v="1"/>
    <x v="5"/>
    <x v="5"/>
    <n v="266.66000000000003"/>
    <n v="0"/>
    <n v="266.66000000000003"/>
    <s v="Success"/>
  </r>
  <r>
    <s v="TXN80935787"/>
    <x v="3372"/>
    <x v="3"/>
    <x v="3"/>
    <n v="128755"/>
    <x v="0"/>
    <x v="4"/>
    <x v="0"/>
    <n v="0"/>
    <n v="0"/>
    <n v="0"/>
    <s v="Success"/>
  </r>
  <r>
    <s v="TXN45605714"/>
    <x v="3373"/>
    <x v="3"/>
    <x v="2"/>
    <n v="1009"/>
    <x v="0"/>
    <x v="4"/>
    <x v="0"/>
    <n v="0"/>
    <n v="0"/>
    <n v="0"/>
    <s v="Success"/>
  </r>
  <r>
    <s v="TXN50865302"/>
    <x v="3374"/>
    <x v="5"/>
    <x v="0"/>
    <n v="97500"/>
    <x v="0"/>
    <x v="2"/>
    <x v="0"/>
    <n v="1803.75"/>
    <n v="721.5"/>
    <n v="1082.25"/>
    <s v="Success"/>
  </r>
  <r>
    <s v="TXN99865325"/>
    <x v="3375"/>
    <x v="2"/>
    <x v="4"/>
    <n v="112837"/>
    <x v="0"/>
    <x v="2"/>
    <x v="5"/>
    <n v="1128.3699999999999"/>
    <n v="0"/>
    <n v="1128.3699999999999"/>
    <s v="Success"/>
  </r>
  <r>
    <s v="TXN59912022"/>
    <x v="3376"/>
    <x v="0"/>
    <x v="3"/>
    <n v="73072"/>
    <x v="0"/>
    <x v="6"/>
    <x v="0"/>
    <n v="0"/>
    <n v="0"/>
    <n v="0"/>
    <s v="Success"/>
  </r>
  <r>
    <s v="TXN82025527"/>
    <x v="3377"/>
    <x v="5"/>
    <x v="4"/>
    <n v="75442"/>
    <x v="0"/>
    <x v="8"/>
    <x v="1"/>
    <n v="754.42"/>
    <n v="0"/>
    <n v="754.42"/>
    <s v="Success"/>
  </r>
  <r>
    <s v="TXN62966268"/>
    <x v="3378"/>
    <x v="5"/>
    <x v="2"/>
    <n v="2601"/>
    <x v="0"/>
    <x v="2"/>
    <x v="0"/>
    <n v="0"/>
    <n v="0"/>
    <n v="0"/>
    <s v="Success"/>
  </r>
  <r>
    <s v="TXN38209212"/>
    <x v="3379"/>
    <x v="0"/>
    <x v="0"/>
    <n v="35500"/>
    <x v="0"/>
    <x v="8"/>
    <x v="0"/>
    <n v="656.75"/>
    <n v="262.7"/>
    <n v="394.05"/>
    <s v="Success"/>
  </r>
  <r>
    <s v="TXN82137083"/>
    <x v="3380"/>
    <x v="3"/>
    <x v="0"/>
    <n v="129500"/>
    <x v="0"/>
    <x v="7"/>
    <x v="0"/>
    <n v="2395.75"/>
    <n v="958.3"/>
    <n v="1437.45"/>
    <s v="Success"/>
  </r>
  <r>
    <s v="TXN91379909"/>
    <x v="3381"/>
    <x v="6"/>
    <x v="1"/>
    <n v="6280"/>
    <x v="0"/>
    <x v="8"/>
    <x v="0"/>
    <n v="5"/>
    <n v="0"/>
    <n v="5"/>
    <s v="Success"/>
  </r>
  <r>
    <s v="TXN72109947"/>
    <x v="3382"/>
    <x v="3"/>
    <x v="2"/>
    <n v="2839"/>
    <x v="0"/>
    <x v="6"/>
    <x v="0"/>
    <n v="0"/>
    <n v="0"/>
    <n v="0"/>
    <s v="Success"/>
  </r>
  <r>
    <s v="TXN61360626"/>
    <x v="3383"/>
    <x v="3"/>
    <x v="2"/>
    <n v="4913"/>
    <x v="0"/>
    <x v="1"/>
    <x v="0"/>
    <n v="0"/>
    <n v="0"/>
    <n v="0"/>
    <s v="Failed"/>
  </r>
  <r>
    <s v="TXN87228188"/>
    <x v="3384"/>
    <x v="3"/>
    <x v="2"/>
    <n v="3467"/>
    <x v="0"/>
    <x v="3"/>
    <x v="0"/>
    <n v="0"/>
    <n v="0"/>
    <n v="0"/>
    <s v="Success"/>
  </r>
  <r>
    <s v="TXN97150601"/>
    <x v="3385"/>
    <x v="0"/>
    <x v="4"/>
    <n v="114024"/>
    <x v="0"/>
    <x v="6"/>
    <x v="3"/>
    <n v="1140.24"/>
    <n v="0"/>
    <n v="1140.24"/>
    <s v="Success"/>
  </r>
  <r>
    <s v="TXN22957518"/>
    <x v="3386"/>
    <x v="6"/>
    <x v="3"/>
    <n v="84926"/>
    <x v="1"/>
    <x v="0"/>
    <x v="0"/>
    <n v="0"/>
    <n v="0"/>
    <n v="0"/>
    <s v="Success"/>
  </r>
  <r>
    <s v="TXN78375152"/>
    <x v="3387"/>
    <x v="1"/>
    <x v="2"/>
    <n v="1455"/>
    <x v="0"/>
    <x v="8"/>
    <x v="0"/>
    <n v="0"/>
    <n v="0"/>
    <n v="0"/>
    <s v="Success"/>
  </r>
  <r>
    <s v="TXN57903922"/>
    <x v="3388"/>
    <x v="0"/>
    <x v="2"/>
    <n v="4884"/>
    <x v="0"/>
    <x v="2"/>
    <x v="0"/>
    <n v="0"/>
    <n v="0"/>
    <n v="0"/>
    <s v="Success"/>
  </r>
  <r>
    <s v="TXN54466985"/>
    <x v="3389"/>
    <x v="7"/>
    <x v="2"/>
    <n v="1675"/>
    <x v="0"/>
    <x v="2"/>
    <x v="0"/>
    <n v="0"/>
    <n v="0"/>
    <n v="0"/>
    <s v="Success"/>
  </r>
  <r>
    <s v="TXN97583493"/>
    <x v="3390"/>
    <x v="3"/>
    <x v="4"/>
    <n v="118845"/>
    <x v="0"/>
    <x v="4"/>
    <x v="1"/>
    <n v="1188.45"/>
    <n v="0"/>
    <n v="1188.45"/>
    <s v="Failed"/>
  </r>
  <r>
    <s v="TXN43029028"/>
    <x v="3391"/>
    <x v="6"/>
    <x v="1"/>
    <n v="29518"/>
    <x v="2"/>
    <x v="6"/>
    <x v="0"/>
    <n v="5"/>
    <n v="0"/>
    <n v="5"/>
    <s v="Failed"/>
  </r>
  <r>
    <s v="TXN58381833"/>
    <x v="3392"/>
    <x v="5"/>
    <x v="4"/>
    <n v="35883"/>
    <x v="0"/>
    <x v="7"/>
    <x v="1"/>
    <n v="358.83"/>
    <n v="0"/>
    <n v="358.83"/>
    <s v="Success"/>
  </r>
  <r>
    <s v="TXN68341669"/>
    <x v="3393"/>
    <x v="6"/>
    <x v="2"/>
    <n v="4942"/>
    <x v="0"/>
    <x v="7"/>
    <x v="0"/>
    <n v="0"/>
    <n v="0"/>
    <n v="0"/>
    <s v="Success"/>
  </r>
  <r>
    <s v="TXN17440318"/>
    <x v="3394"/>
    <x v="0"/>
    <x v="1"/>
    <n v="140506"/>
    <x v="0"/>
    <x v="5"/>
    <x v="0"/>
    <n v="5"/>
    <n v="0"/>
    <n v="5"/>
    <s v="Success"/>
  </r>
  <r>
    <s v="TXN13326269"/>
    <x v="3395"/>
    <x v="6"/>
    <x v="1"/>
    <n v="13760"/>
    <x v="0"/>
    <x v="5"/>
    <x v="0"/>
    <n v="5"/>
    <n v="0"/>
    <n v="5"/>
    <s v="Success"/>
  </r>
  <r>
    <s v="TXN68456963"/>
    <x v="3396"/>
    <x v="2"/>
    <x v="3"/>
    <n v="92977"/>
    <x v="2"/>
    <x v="7"/>
    <x v="0"/>
    <n v="0"/>
    <n v="0"/>
    <n v="0"/>
    <s v="Success"/>
  </r>
  <r>
    <s v="TXN97492725"/>
    <x v="3397"/>
    <x v="6"/>
    <x v="4"/>
    <n v="115155"/>
    <x v="0"/>
    <x v="2"/>
    <x v="2"/>
    <n v="1151.55"/>
    <n v="0"/>
    <n v="1151.55"/>
    <s v="Success"/>
  </r>
  <r>
    <s v="TXN55262600"/>
    <x v="3398"/>
    <x v="0"/>
    <x v="3"/>
    <n v="16841"/>
    <x v="0"/>
    <x v="5"/>
    <x v="0"/>
    <n v="0"/>
    <n v="0"/>
    <n v="0"/>
    <s v="Success"/>
  </r>
  <r>
    <s v="TXN92547784"/>
    <x v="3399"/>
    <x v="4"/>
    <x v="4"/>
    <n v="35886"/>
    <x v="0"/>
    <x v="0"/>
    <x v="3"/>
    <n v="358.86"/>
    <n v="0"/>
    <n v="358.86"/>
    <s v="Success"/>
  </r>
  <r>
    <s v="TXN27818327"/>
    <x v="3400"/>
    <x v="5"/>
    <x v="4"/>
    <n v="79804"/>
    <x v="0"/>
    <x v="6"/>
    <x v="3"/>
    <n v="798.04"/>
    <n v="0"/>
    <n v="798.04"/>
    <s v="Success"/>
  </r>
  <r>
    <s v="TXN14787366"/>
    <x v="3401"/>
    <x v="2"/>
    <x v="4"/>
    <n v="50310"/>
    <x v="0"/>
    <x v="2"/>
    <x v="5"/>
    <n v="503.1"/>
    <n v="0"/>
    <n v="503.1"/>
    <s v="Success"/>
  </r>
  <r>
    <s v="TXN24869135"/>
    <x v="3402"/>
    <x v="3"/>
    <x v="0"/>
    <n v="237000"/>
    <x v="0"/>
    <x v="5"/>
    <x v="0"/>
    <n v="4384.5"/>
    <n v="1753.8"/>
    <n v="2630.7"/>
    <s v="Success"/>
  </r>
  <r>
    <s v="TXN18161392"/>
    <x v="3403"/>
    <x v="6"/>
    <x v="3"/>
    <n v="149758"/>
    <x v="0"/>
    <x v="5"/>
    <x v="0"/>
    <n v="0"/>
    <n v="0"/>
    <n v="0"/>
    <s v="Success"/>
  </r>
  <r>
    <s v="TXN22325202"/>
    <x v="3404"/>
    <x v="1"/>
    <x v="1"/>
    <n v="11915"/>
    <x v="0"/>
    <x v="1"/>
    <x v="0"/>
    <n v="5"/>
    <n v="0"/>
    <n v="5"/>
    <s v="Success"/>
  </r>
  <r>
    <s v="TXN20142972"/>
    <x v="3405"/>
    <x v="1"/>
    <x v="1"/>
    <n v="86195"/>
    <x v="0"/>
    <x v="0"/>
    <x v="0"/>
    <n v="5"/>
    <n v="0"/>
    <n v="5"/>
    <s v="Success"/>
  </r>
  <r>
    <s v="TXN42381909"/>
    <x v="3406"/>
    <x v="7"/>
    <x v="4"/>
    <n v="29794"/>
    <x v="0"/>
    <x v="0"/>
    <x v="4"/>
    <n v="297.94"/>
    <n v="0"/>
    <n v="297.94"/>
    <s v="Success"/>
  </r>
  <r>
    <s v="TXN18401345"/>
    <x v="3407"/>
    <x v="3"/>
    <x v="4"/>
    <n v="36288"/>
    <x v="0"/>
    <x v="0"/>
    <x v="4"/>
    <n v="362.88"/>
    <n v="0"/>
    <n v="362.88"/>
    <s v="Success"/>
  </r>
  <r>
    <s v="TXN85660257"/>
    <x v="3408"/>
    <x v="4"/>
    <x v="2"/>
    <n v="1421"/>
    <x v="0"/>
    <x v="8"/>
    <x v="0"/>
    <n v="0"/>
    <n v="0"/>
    <n v="0"/>
    <s v="Success"/>
  </r>
  <r>
    <s v="TXN25168456"/>
    <x v="3409"/>
    <x v="5"/>
    <x v="1"/>
    <n v="84599"/>
    <x v="0"/>
    <x v="3"/>
    <x v="0"/>
    <n v="5"/>
    <n v="0"/>
    <n v="5"/>
    <s v="Success"/>
  </r>
  <r>
    <s v="TXN99673660"/>
    <x v="3410"/>
    <x v="5"/>
    <x v="1"/>
    <n v="144500"/>
    <x v="0"/>
    <x v="4"/>
    <x v="0"/>
    <n v="5"/>
    <n v="0"/>
    <n v="5"/>
    <s v="Success"/>
  </r>
  <r>
    <s v="TXN98968330"/>
    <x v="3411"/>
    <x v="3"/>
    <x v="2"/>
    <n v="3346"/>
    <x v="0"/>
    <x v="5"/>
    <x v="0"/>
    <n v="0"/>
    <n v="0"/>
    <n v="0"/>
    <s v="Success"/>
  </r>
  <r>
    <s v="TXN56575466"/>
    <x v="3412"/>
    <x v="6"/>
    <x v="0"/>
    <n v="148000"/>
    <x v="0"/>
    <x v="1"/>
    <x v="0"/>
    <n v="2738"/>
    <n v="1095.2"/>
    <n v="1642.8"/>
    <s v="Success"/>
  </r>
  <r>
    <s v="TXN44211705"/>
    <x v="3413"/>
    <x v="0"/>
    <x v="3"/>
    <n v="140724"/>
    <x v="0"/>
    <x v="4"/>
    <x v="0"/>
    <n v="0"/>
    <n v="0"/>
    <n v="0"/>
    <s v="Success"/>
  </r>
  <r>
    <s v="TXN46143225"/>
    <x v="3414"/>
    <x v="7"/>
    <x v="1"/>
    <n v="135519"/>
    <x v="0"/>
    <x v="2"/>
    <x v="0"/>
    <n v="5"/>
    <n v="0"/>
    <n v="5"/>
    <s v="Success"/>
  </r>
  <r>
    <s v="TXN18464636"/>
    <x v="3415"/>
    <x v="3"/>
    <x v="1"/>
    <n v="116506"/>
    <x v="0"/>
    <x v="5"/>
    <x v="0"/>
    <n v="5"/>
    <n v="0"/>
    <n v="5"/>
    <s v="Success"/>
  </r>
  <r>
    <s v="TXN77640165"/>
    <x v="3416"/>
    <x v="7"/>
    <x v="1"/>
    <n v="22608"/>
    <x v="0"/>
    <x v="7"/>
    <x v="0"/>
    <n v="5"/>
    <n v="0"/>
    <n v="5"/>
    <s v="Success"/>
  </r>
  <r>
    <s v="TXN72464253"/>
    <x v="3417"/>
    <x v="6"/>
    <x v="0"/>
    <n v="149000"/>
    <x v="0"/>
    <x v="5"/>
    <x v="0"/>
    <n v="2756.5"/>
    <n v="1102.5999999999999"/>
    <n v="1653.9"/>
    <s v="Success"/>
  </r>
  <r>
    <s v="TXN29840921"/>
    <x v="3418"/>
    <x v="5"/>
    <x v="2"/>
    <n v="4430"/>
    <x v="0"/>
    <x v="4"/>
    <x v="0"/>
    <n v="0"/>
    <n v="0"/>
    <n v="0"/>
    <s v="Success"/>
  </r>
  <r>
    <s v="TXN52450512"/>
    <x v="3419"/>
    <x v="7"/>
    <x v="2"/>
    <n v="4929"/>
    <x v="1"/>
    <x v="3"/>
    <x v="0"/>
    <n v="0"/>
    <n v="0"/>
    <n v="0"/>
    <s v="Success"/>
  </r>
  <r>
    <s v="TXN52007933"/>
    <x v="3420"/>
    <x v="7"/>
    <x v="0"/>
    <n v="180500"/>
    <x v="0"/>
    <x v="8"/>
    <x v="0"/>
    <n v="3339.25"/>
    <n v="1335.7"/>
    <n v="2003.55"/>
    <s v="Success"/>
  </r>
  <r>
    <s v="TXN70286476"/>
    <x v="3421"/>
    <x v="4"/>
    <x v="1"/>
    <n v="13598"/>
    <x v="0"/>
    <x v="4"/>
    <x v="0"/>
    <n v="5"/>
    <n v="0"/>
    <n v="5"/>
    <s v="Success"/>
  </r>
  <r>
    <s v="TXN74391587"/>
    <x v="3422"/>
    <x v="6"/>
    <x v="4"/>
    <n v="142443"/>
    <x v="0"/>
    <x v="1"/>
    <x v="1"/>
    <n v="1424.43"/>
    <n v="0"/>
    <n v="1424.43"/>
    <s v="Success"/>
  </r>
  <r>
    <s v="TXN77224429"/>
    <x v="3423"/>
    <x v="3"/>
    <x v="0"/>
    <n v="90000"/>
    <x v="0"/>
    <x v="7"/>
    <x v="0"/>
    <n v="1665"/>
    <n v="666"/>
    <n v="999"/>
    <s v="Success"/>
  </r>
  <r>
    <s v="TXN21775501"/>
    <x v="3424"/>
    <x v="7"/>
    <x v="1"/>
    <n v="89886"/>
    <x v="0"/>
    <x v="2"/>
    <x v="0"/>
    <n v="5"/>
    <n v="0"/>
    <n v="5"/>
    <s v="Success"/>
  </r>
  <r>
    <s v="TXN61227728"/>
    <x v="3425"/>
    <x v="2"/>
    <x v="2"/>
    <n v="4657"/>
    <x v="0"/>
    <x v="0"/>
    <x v="0"/>
    <n v="0"/>
    <n v="0"/>
    <n v="0"/>
    <s v="Success"/>
  </r>
  <r>
    <s v="TXN66300818"/>
    <x v="3426"/>
    <x v="1"/>
    <x v="4"/>
    <n v="44835"/>
    <x v="0"/>
    <x v="2"/>
    <x v="4"/>
    <n v="448.35"/>
    <n v="0"/>
    <n v="448.35"/>
    <s v="Success"/>
  </r>
  <r>
    <s v="TXN64409507"/>
    <x v="3427"/>
    <x v="0"/>
    <x v="2"/>
    <n v="4436"/>
    <x v="0"/>
    <x v="8"/>
    <x v="0"/>
    <n v="0"/>
    <n v="0"/>
    <n v="0"/>
    <s v="Success"/>
  </r>
  <r>
    <s v="TXN76656490"/>
    <x v="3428"/>
    <x v="4"/>
    <x v="2"/>
    <n v="1147"/>
    <x v="0"/>
    <x v="7"/>
    <x v="0"/>
    <n v="0"/>
    <n v="0"/>
    <n v="0"/>
    <s v="Success"/>
  </r>
  <r>
    <s v="TXN82073347"/>
    <x v="3429"/>
    <x v="1"/>
    <x v="2"/>
    <n v="1327"/>
    <x v="0"/>
    <x v="6"/>
    <x v="0"/>
    <n v="0"/>
    <n v="0"/>
    <n v="0"/>
    <s v="Success"/>
  </r>
  <r>
    <s v="TXN51637610"/>
    <x v="3430"/>
    <x v="5"/>
    <x v="0"/>
    <n v="116000"/>
    <x v="1"/>
    <x v="4"/>
    <x v="0"/>
    <n v="2146"/>
    <n v="858.4"/>
    <n v="1287.5999999999999"/>
    <s v="Success"/>
  </r>
  <r>
    <s v="TXN67182394"/>
    <x v="3431"/>
    <x v="1"/>
    <x v="0"/>
    <n v="14000"/>
    <x v="0"/>
    <x v="8"/>
    <x v="0"/>
    <n v="259"/>
    <n v="103.6"/>
    <n v="155.4"/>
    <s v="Success"/>
  </r>
  <r>
    <s v="TXN21812352"/>
    <x v="3432"/>
    <x v="5"/>
    <x v="3"/>
    <n v="64168"/>
    <x v="1"/>
    <x v="7"/>
    <x v="0"/>
    <n v="0"/>
    <n v="0"/>
    <n v="0"/>
    <s v="Success"/>
  </r>
  <r>
    <s v="TXN99980602"/>
    <x v="3433"/>
    <x v="6"/>
    <x v="2"/>
    <n v="3637"/>
    <x v="0"/>
    <x v="4"/>
    <x v="0"/>
    <n v="0"/>
    <n v="0"/>
    <n v="0"/>
    <s v="Success"/>
  </r>
  <r>
    <s v="TXN67802372"/>
    <x v="3434"/>
    <x v="5"/>
    <x v="2"/>
    <n v="4092"/>
    <x v="0"/>
    <x v="3"/>
    <x v="0"/>
    <n v="0"/>
    <n v="0"/>
    <n v="0"/>
    <s v="Success"/>
  </r>
  <r>
    <s v="TXN79913270"/>
    <x v="3435"/>
    <x v="6"/>
    <x v="3"/>
    <n v="119551"/>
    <x v="1"/>
    <x v="5"/>
    <x v="0"/>
    <n v="0"/>
    <n v="0"/>
    <n v="0"/>
    <s v="Success"/>
  </r>
  <r>
    <s v="TXN91972116"/>
    <x v="3436"/>
    <x v="1"/>
    <x v="3"/>
    <n v="75490"/>
    <x v="0"/>
    <x v="7"/>
    <x v="0"/>
    <n v="0"/>
    <n v="0"/>
    <n v="0"/>
    <s v="Success"/>
  </r>
  <r>
    <s v="TXN30082559"/>
    <x v="3437"/>
    <x v="1"/>
    <x v="2"/>
    <n v="2313"/>
    <x v="0"/>
    <x v="6"/>
    <x v="0"/>
    <n v="0"/>
    <n v="0"/>
    <n v="0"/>
    <s v="Success"/>
  </r>
  <r>
    <s v="TXN94174241"/>
    <x v="3438"/>
    <x v="0"/>
    <x v="0"/>
    <n v="184000"/>
    <x v="2"/>
    <x v="8"/>
    <x v="0"/>
    <n v="3404"/>
    <n v="1361.6"/>
    <n v="2042.4"/>
    <s v="Success"/>
  </r>
  <r>
    <s v="TXN44829587"/>
    <x v="3439"/>
    <x v="5"/>
    <x v="4"/>
    <n v="65948"/>
    <x v="1"/>
    <x v="3"/>
    <x v="4"/>
    <n v="659.48"/>
    <n v="0"/>
    <n v="659.48"/>
    <s v="Success"/>
  </r>
  <r>
    <s v="TXN71476353"/>
    <x v="3440"/>
    <x v="1"/>
    <x v="4"/>
    <n v="52864"/>
    <x v="0"/>
    <x v="0"/>
    <x v="4"/>
    <n v="528.64"/>
    <n v="0"/>
    <n v="528.64"/>
    <s v="Success"/>
  </r>
  <r>
    <s v="TXN49763241"/>
    <x v="3441"/>
    <x v="6"/>
    <x v="1"/>
    <n v="109475"/>
    <x v="1"/>
    <x v="8"/>
    <x v="0"/>
    <n v="5"/>
    <n v="0"/>
    <n v="5"/>
    <s v="Success"/>
  </r>
  <r>
    <s v="TXN86889331"/>
    <x v="3442"/>
    <x v="2"/>
    <x v="2"/>
    <n v="4781"/>
    <x v="0"/>
    <x v="7"/>
    <x v="0"/>
    <n v="0"/>
    <n v="0"/>
    <n v="0"/>
    <s v="Success"/>
  </r>
  <r>
    <s v="TXN54967279"/>
    <x v="3443"/>
    <x v="6"/>
    <x v="0"/>
    <n v="90500"/>
    <x v="0"/>
    <x v="1"/>
    <x v="0"/>
    <n v="1674.25"/>
    <n v="669.7"/>
    <n v="1004.55"/>
    <s v="Success"/>
  </r>
  <r>
    <s v="TXN78303063"/>
    <x v="3444"/>
    <x v="7"/>
    <x v="3"/>
    <n v="131044"/>
    <x v="0"/>
    <x v="3"/>
    <x v="0"/>
    <n v="0"/>
    <n v="0"/>
    <n v="0"/>
    <s v="Success"/>
  </r>
  <r>
    <s v="TXN38031935"/>
    <x v="3445"/>
    <x v="3"/>
    <x v="4"/>
    <n v="57475"/>
    <x v="0"/>
    <x v="3"/>
    <x v="3"/>
    <n v="574.75"/>
    <n v="0"/>
    <n v="574.75"/>
    <s v="Success"/>
  </r>
  <r>
    <s v="TXN19287681"/>
    <x v="3446"/>
    <x v="7"/>
    <x v="3"/>
    <n v="70412"/>
    <x v="0"/>
    <x v="5"/>
    <x v="0"/>
    <n v="0"/>
    <n v="0"/>
    <n v="0"/>
    <s v="Failed"/>
  </r>
  <r>
    <s v="TXN15177280"/>
    <x v="3447"/>
    <x v="7"/>
    <x v="3"/>
    <n v="6864"/>
    <x v="0"/>
    <x v="1"/>
    <x v="0"/>
    <n v="0"/>
    <n v="0"/>
    <n v="0"/>
    <s v="Success"/>
  </r>
  <r>
    <s v="TXN79903811"/>
    <x v="3448"/>
    <x v="3"/>
    <x v="2"/>
    <n v="3947"/>
    <x v="0"/>
    <x v="2"/>
    <x v="0"/>
    <n v="0"/>
    <n v="0"/>
    <n v="0"/>
    <s v="Success"/>
  </r>
  <r>
    <s v="TXN72931469"/>
    <x v="3449"/>
    <x v="4"/>
    <x v="2"/>
    <n v="1054"/>
    <x v="1"/>
    <x v="7"/>
    <x v="0"/>
    <n v="0"/>
    <n v="0"/>
    <n v="0"/>
    <s v="Success"/>
  </r>
  <r>
    <s v="TXN31973154"/>
    <x v="3450"/>
    <x v="6"/>
    <x v="4"/>
    <n v="104740"/>
    <x v="0"/>
    <x v="8"/>
    <x v="5"/>
    <n v="1047.4000000000001"/>
    <n v="0"/>
    <n v="1047.4000000000001"/>
    <s v="Success"/>
  </r>
  <r>
    <s v="TXN25612117"/>
    <x v="3451"/>
    <x v="3"/>
    <x v="1"/>
    <n v="137004"/>
    <x v="0"/>
    <x v="5"/>
    <x v="0"/>
    <n v="5"/>
    <n v="0"/>
    <n v="5"/>
    <s v="Success"/>
  </r>
  <r>
    <s v="TXN35542994"/>
    <x v="3452"/>
    <x v="1"/>
    <x v="0"/>
    <n v="6000"/>
    <x v="0"/>
    <x v="6"/>
    <x v="0"/>
    <n v="111"/>
    <n v="44.4"/>
    <n v="66.599999999999994"/>
    <s v="Success"/>
  </r>
  <r>
    <s v="TXN97375551"/>
    <x v="3453"/>
    <x v="3"/>
    <x v="4"/>
    <n v="86158"/>
    <x v="0"/>
    <x v="0"/>
    <x v="5"/>
    <n v="861.58"/>
    <n v="0"/>
    <n v="861.58"/>
    <s v="Success"/>
  </r>
  <r>
    <s v="TXN80495543"/>
    <x v="3454"/>
    <x v="4"/>
    <x v="0"/>
    <n v="63500"/>
    <x v="0"/>
    <x v="1"/>
    <x v="0"/>
    <n v="1174.75"/>
    <n v="469.9"/>
    <n v="704.85"/>
    <s v="Success"/>
  </r>
  <r>
    <s v="TXN78372765"/>
    <x v="3455"/>
    <x v="2"/>
    <x v="0"/>
    <n v="240500"/>
    <x v="0"/>
    <x v="3"/>
    <x v="0"/>
    <n v="4449.25"/>
    <n v="1779.7"/>
    <n v="2669.55"/>
    <s v="Success"/>
  </r>
  <r>
    <s v="TXN87304829"/>
    <x v="3456"/>
    <x v="7"/>
    <x v="1"/>
    <n v="127292"/>
    <x v="0"/>
    <x v="6"/>
    <x v="0"/>
    <n v="5"/>
    <n v="0"/>
    <n v="5"/>
    <s v="Success"/>
  </r>
  <r>
    <s v="TXN71958195"/>
    <x v="3457"/>
    <x v="6"/>
    <x v="4"/>
    <n v="5095"/>
    <x v="0"/>
    <x v="5"/>
    <x v="3"/>
    <n v="50.95"/>
    <n v="0"/>
    <n v="50.95"/>
    <s v="Success"/>
  </r>
  <r>
    <s v="TXN27844144"/>
    <x v="3458"/>
    <x v="2"/>
    <x v="3"/>
    <n v="22262"/>
    <x v="0"/>
    <x v="7"/>
    <x v="0"/>
    <n v="0"/>
    <n v="0"/>
    <n v="0"/>
    <s v="Success"/>
  </r>
  <r>
    <s v="TXN39578058"/>
    <x v="3459"/>
    <x v="0"/>
    <x v="0"/>
    <n v="134500"/>
    <x v="0"/>
    <x v="8"/>
    <x v="0"/>
    <n v="2488.25"/>
    <n v="995.3"/>
    <n v="1492.95"/>
    <s v="Success"/>
  </r>
  <r>
    <s v="TXN26157857"/>
    <x v="3460"/>
    <x v="4"/>
    <x v="3"/>
    <n v="97599"/>
    <x v="0"/>
    <x v="6"/>
    <x v="0"/>
    <n v="0"/>
    <n v="0"/>
    <n v="0"/>
    <s v="Success"/>
  </r>
  <r>
    <s v="TXN42601667"/>
    <x v="3461"/>
    <x v="2"/>
    <x v="3"/>
    <n v="103066"/>
    <x v="1"/>
    <x v="6"/>
    <x v="0"/>
    <n v="0"/>
    <n v="0"/>
    <n v="0"/>
    <s v="Failed"/>
  </r>
  <r>
    <s v="TXN66689964"/>
    <x v="3462"/>
    <x v="2"/>
    <x v="1"/>
    <n v="86049"/>
    <x v="2"/>
    <x v="1"/>
    <x v="0"/>
    <n v="5"/>
    <n v="0"/>
    <n v="5"/>
    <s v="Success"/>
  </r>
  <r>
    <s v="TXN42012626"/>
    <x v="3463"/>
    <x v="5"/>
    <x v="2"/>
    <n v="437"/>
    <x v="0"/>
    <x v="4"/>
    <x v="0"/>
    <n v="0"/>
    <n v="0"/>
    <n v="0"/>
    <s v="Success"/>
  </r>
  <r>
    <s v="TXN89506151"/>
    <x v="3464"/>
    <x v="5"/>
    <x v="0"/>
    <n v="76000"/>
    <x v="0"/>
    <x v="4"/>
    <x v="0"/>
    <n v="1406"/>
    <n v="562.4"/>
    <n v="843.6"/>
    <s v="Success"/>
  </r>
  <r>
    <s v="TXN56698060"/>
    <x v="3465"/>
    <x v="4"/>
    <x v="2"/>
    <n v="4372"/>
    <x v="1"/>
    <x v="4"/>
    <x v="0"/>
    <n v="0"/>
    <n v="0"/>
    <n v="0"/>
    <s v="Success"/>
  </r>
  <r>
    <s v="TXN89553126"/>
    <x v="3466"/>
    <x v="2"/>
    <x v="2"/>
    <n v="3456"/>
    <x v="1"/>
    <x v="0"/>
    <x v="0"/>
    <n v="0"/>
    <n v="0"/>
    <n v="0"/>
    <s v="Success"/>
  </r>
  <r>
    <s v="TXN71988132"/>
    <x v="3467"/>
    <x v="6"/>
    <x v="1"/>
    <n v="75719"/>
    <x v="1"/>
    <x v="5"/>
    <x v="0"/>
    <n v="5"/>
    <n v="0"/>
    <n v="5"/>
    <s v="Success"/>
  </r>
  <r>
    <s v="TXN40797125"/>
    <x v="3468"/>
    <x v="3"/>
    <x v="0"/>
    <n v="175000"/>
    <x v="0"/>
    <x v="8"/>
    <x v="0"/>
    <n v="3237.5"/>
    <n v="1295"/>
    <n v="1942.5"/>
    <s v="Success"/>
  </r>
  <r>
    <s v="TXN72208594"/>
    <x v="3469"/>
    <x v="6"/>
    <x v="4"/>
    <n v="123776"/>
    <x v="1"/>
    <x v="5"/>
    <x v="5"/>
    <n v="1237.76"/>
    <n v="0"/>
    <n v="1237.76"/>
    <s v="Success"/>
  </r>
  <r>
    <s v="TXN48201567"/>
    <x v="3470"/>
    <x v="1"/>
    <x v="3"/>
    <n v="44421"/>
    <x v="0"/>
    <x v="3"/>
    <x v="0"/>
    <n v="0"/>
    <n v="0"/>
    <n v="0"/>
    <s v="Success"/>
  </r>
  <r>
    <s v="TXN59380026"/>
    <x v="3471"/>
    <x v="4"/>
    <x v="1"/>
    <n v="11302"/>
    <x v="0"/>
    <x v="4"/>
    <x v="0"/>
    <n v="5"/>
    <n v="0"/>
    <n v="5"/>
    <s v="Success"/>
  </r>
  <r>
    <s v="TXN43940141"/>
    <x v="3472"/>
    <x v="7"/>
    <x v="3"/>
    <n v="24528"/>
    <x v="0"/>
    <x v="5"/>
    <x v="0"/>
    <n v="0"/>
    <n v="0"/>
    <n v="0"/>
    <s v="Success"/>
  </r>
  <r>
    <s v="TXN11734836"/>
    <x v="3473"/>
    <x v="7"/>
    <x v="3"/>
    <n v="52400"/>
    <x v="0"/>
    <x v="3"/>
    <x v="0"/>
    <n v="0"/>
    <n v="0"/>
    <n v="0"/>
    <s v="Success"/>
  </r>
  <r>
    <s v="TXN98280871"/>
    <x v="3474"/>
    <x v="6"/>
    <x v="1"/>
    <n v="41270"/>
    <x v="0"/>
    <x v="5"/>
    <x v="0"/>
    <n v="5"/>
    <n v="0"/>
    <n v="5"/>
    <s v="Success"/>
  </r>
  <r>
    <s v="TXN82539944"/>
    <x v="3475"/>
    <x v="3"/>
    <x v="1"/>
    <n v="31816"/>
    <x v="0"/>
    <x v="7"/>
    <x v="0"/>
    <n v="5"/>
    <n v="0"/>
    <n v="5"/>
    <s v="Success"/>
  </r>
  <r>
    <s v="TXN49081969"/>
    <x v="3476"/>
    <x v="5"/>
    <x v="4"/>
    <n v="125184"/>
    <x v="0"/>
    <x v="1"/>
    <x v="2"/>
    <n v="1251.8399999999999"/>
    <n v="0"/>
    <n v="1251.8399999999999"/>
    <s v="Success"/>
  </r>
  <r>
    <s v="TXN16854869"/>
    <x v="3477"/>
    <x v="5"/>
    <x v="3"/>
    <n v="319"/>
    <x v="0"/>
    <x v="6"/>
    <x v="0"/>
    <n v="0"/>
    <n v="0"/>
    <n v="0"/>
    <s v="Success"/>
  </r>
  <r>
    <s v="TXN83214448"/>
    <x v="3478"/>
    <x v="2"/>
    <x v="0"/>
    <n v="119500"/>
    <x v="0"/>
    <x v="7"/>
    <x v="0"/>
    <n v="2210.75"/>
    <n v="884.3"/>
    <n v="1326.45"/>
    <s v="Success"/>
  </r>
  <r>
    <s v="TXN80201938"/>
    <x v="3479"/>
    <x v="7"/>
    <x v="3"/>
    <n v="81710"/>
    <x v="0"/>
    <x v="6"/>
    <x v="0"/>
    <n v="0"/>
    <n v="0"/>
    <n v="0"/>
    <s v="Success"/>
  </r>
  <r>
    <s v="TXN46777781"/>
    <x v="3480"/>
    <x v="2"/>
    <x v="1"/>
    <n v="132905"/>
    <x v="0"/>
    <x v="1"/>
    <x v="0"/>
    <n v="5"/>
    <n v="0"/>
    <n v="5"/>
    <s v="Success"/>
  </r>
  <r>
    <s v="TXN99470574"/>
    <x v="3481"/>
    <x v="2"/>
    <x v="3"/>
    <n v="138229"/>
    <x v="0"/>
    <x v="3"/>
    <x v="0"/>
    <n v="0"/>
    <n v="0"/>
    <n v="0"/>
    <s v="Success"/>
  </r>
  <r>
    <s v="TXN36422082"/>
    <x v="3482"/>
    <x v="2"/>
    <x v="1"/>
    <n v="18105"/>
    <x v="0"/>
    <x v="7"/>
    <x v="0"/>
    <n v="5"/>
    <n v="0"/>
    <n v="5"/>
    <s v="Success"/>
  </r>
  <r>
    <s v="TXN63340380"/>
    <x v="3483"/>
    <x v="4"/>
    <x v="0"/>
    <n v="39500"/>
    <x v="0"/>
    <x v="3"/>
    <x v="0"/>
    <n v="730.75"/>
    <n v="292.3"/>
    <n v="438.45"/>
    <s v="Success"/>
  </r>
  <r>
    <s v="TXN37016150"/>
    <x v="3484"/>
    <x v="1"/>
    <x v="0"/>
    <n v="186000"/>
    <x v="0"/>
    <x v="1"/>
    <x v="0"/>
    <n v="3441"/>
    <n v="1376.4"/>
    <n v="2064.6"/>
    <s v="Success"/>
  </r>
  <r>
    <s v="TXN62042707"/>
    <x v="3485"/>
    <x v="7"/>
    <x v="4"/>
    <n v="39879"/>
    <x v="0"/>
    <x v="4"/>
    <x v="3"/>
    <n v="398.79"/>
    <n v="0"/>
    <n v="398.79"/>
    <s v="Success"/>
  </r>
  <r>
    <s v="TXN37662153"/>
    <x v="3486"/>
    <x v="3"/>
    <x v="0"/>
    <n v="237500"/>
    <x v="1"/>
    <x v="5"/>
    <x v="0"/>
    <n v="4393.75"/>
    <n v="1757.5"/>
    <n v="2636.25"/>
    <s v="Success"/>
  </r>
  <r>
    <s v="TXN33032739"/>
    <x v="3487"/>
    <x v="7"/>
    <x v="3"/>
    <n v="47656"/>
    <x v="0"/>
    <x v="8"/>
    <x v="0"/>
    <n v="0"/>
    <n v="0"/>
    <n v="0"/>
    <s v="Success"/>
  </r>
  <r>
    <s v="TXN89638045"/>
    <x v="3488"/>
    <x v="5"/>
    <x v="3"/>
    <n v="1196"/>
    <x v="0"/>
    <x v="5"/>
    <x v="0"/>
    <n v="0"/>
    <n v="0"/>
    <n v="0"/>
    <s v="Success"/>
  </r>
  <r>
    <s v="TXN33203629"/>
    <x v="3489"/>
    <x v="2"/>
    <x v="4"/>
    <n v="57763"/>
    <x v="2"/>
    <x v="3"/>
    <x v="4"/>
    <n v="577.63"/>
    <n v="0"/>
    <n v="577.63"/>
    <s v="Success"/>
  </r>
  <r>
    <s v="TXN22261162"/>
    <x v="3490"/>
    <x v="4"/>
    <x v="2"/>
    <n v="1024"/>
    <x v="0"/>
    <x v="8"/>
    <x v="0"/>
    <n v="0"/>
    <n v="0"/>
    <n v="0"/>
    <s v="Success"/>
  </r>
  <r>
    <s v="TXN63952455"/>
    <x v="3491"/>
    <x v="2"/>
    <x v="4"/>
    <n v="113592"/>
    <x v="1"/>
    <x v="5"/>
    <x v="5"/>
    <n v="1135.92"/>
    <n v="0"/>
    <n v="1135.92"/>
    <s v="Success"/>
  </r>
  <r>
    <s v="TXN13934872"/>
    <x v="3492"/>
    <x v="0"/>
    <x v="4"/>
    <n v="113620"/>
    <x v="1"/>
    <x v="2"/>
    <x v="1"/>
    <n v="1136.2"/>
    <n v="0"/>
    <n v="1136.2"/>
    <s v="Success"/>
  </r>
  <r>
    <s v="TXN33902216"/>
    <x v="3493"/>
    <x v="0"/>
    <x v="0"/>
    <n v="54500"/>
    <x v="1"/>
    <x v="0"/>
    <x v="0"/>
    <n v="1008.25"/>
    <n v="403.3"/>
    <n v="604.95000000000005"/>
    <s v="Success"/>
  </r>
  <r>
    <s v="TXN50974060"/>
    <x v="3494"/>
    <x v="6"/>
    <x v="4"/>
    <n v="14143"/>
    <x v="0"/>
    <x v="3"/>
    <x v="3"/>
    <n v="141.43"/>
    <n v="0"/>
    <n v="141.43"/>
    <s v="Success"/>
  </r>
  <r>
    <s v="TXN25410551"/>
    <x v="3495"/>
    <x v="4"/>
    <x v="1"/>
    <n v="13555"/>
    <x v="0"/>
    <x v="0"/>
    <x v="0"/>
    <n v="5"/>
    <n v="0"/>
    <n v="5"/>
    <s v="Success"/>
  </r>
  <r>
    <s v="TXN72255015"/>
    <x v="3496"/>
    <x v="5"/>
    <x v="4"/>
    <n v="148991"/>
    <x v="0"/>
    <x v="6"/>
    <x v="3"/>
    <n v="1489.91"/>
    <n v="0"/>
    <n v="1489.91"/>
    <s v="Success"/>
  </r>
  <r>
    <s v="TXN28396960"/>
    <x v="3497"/>
    <x v="3"/>
    <x v="3"/>
    <n v="116200"/>
    <x v="0"/>
    <x v="1"/>
    <x v="0"/>
    <n v="0"/>
    <n v="0"/>
    <n v="0"/>
    <s v="Success"/>
  </r>
  <r>
    <s v="TXN57429670"/>
    <x v="3498"/>
    <x v="0"/>
    <x v="4"/>
    <n v="78530"/>
    <x v="1"/>
    <x v="5"/>
    <x v="4"/>
    <n v="785.3"/>
    <n v="0"/>
    <n v="785.3"/>
    <s v="Success"/>
  </r>
  <r>
    <s v="TXN37130532"/>
    <x v="3499"/>
    <x v="0"/>
    <x v="1"/>
    <n v="47952"/>
    <x v="1"/>
    <x v="0"/>
    <x v="0"/>
    <n v="5"/>
    <n v="0"/>
    <n v="5"/>
    <s v="Success"/>
  </r>
  <r>
    <s v="TXN24249670"/>
    <x v="3500"/>
    <x v="5"/>
    <x v="2"/>
    <n v="2993"/>
    <x v="2"/>
    <x v="8"/>
    <x v="0"/>
    <n v="0"/>
    <n v="0"/>
    <n v="0"/>
    <s v="Success"/>
  </r>
  <r>
    <s v="TXN88682764"/>
    <x v="3501"/>
    <x v="5"/>
    <x v="4"/>
    <n v="9195"/>
    <x v="0"/>
    <x v="3"/>
    <x v="3"/>
    <n v="91.95"/>
    <n v="0"/>
    <n v="91.95"/>
    <s v="Success"/>
  </r>
  <r>
    <s v="TXN41552278"/>
    <x v="3502"/>
    <x v="2"/>
    <x v="0"/>
    <n v="230000"/>
    <x v="1"/>
    <x v="4"/>
    <x v="0"/>
    <n v="4255"/>
    <n v="1702"/>
    <n v="2553"/>
    <s v="Success"/>
  </r>
  <r>
    <s v="TXN66059386"/>
    <x v="3503"/>
    <x v="5"/>
    <x v="3"/>
    <n v="2406"/>
    <x v="1"/>
    <x v="6"/>
    <x v="0"/>
    <n v="0"/>
    <n v="0"/>
    <n v="0"/>
    <s v="Success"/>
  </r>
  <r>
    <s v="TXN91991123"/>
    <x v="3504"/>
    <x v="4"/>
    <x v="0"/>
    <n v="220000"/>
    <x v="0"/>
    <x v="1"/>
    <x v="0"/>
    <n v="4070"/>
    <n v="1628"/>
    <n v="2442"/>
    <s v="Success"/>
  </r>
  <r>
    <s v="TXN95090143"/>
    <x v="3505"/>
    <x v="0"/>
    <x v="1"/>
    <n v="13162"/>
    <x v="0"/>
    <x v="4"/>
    <x v="0"/>
    <n v="5"/>
    <n v="0"/>
    <n v="5"/>
    <s v="Success"/>
  </r>
  <r>
    <s v="TXN48413944"/>
    <x v="3506"/>
    <x v="4"/>
    <x v="1"/>
    <n v="134804"/>
    <x v="0"/>
    <x v="6"/>
    <x v="0"/>
    <n v="5"/>
    <n v="0"/>
    <n v="5"/>
    <s v="Success"/>
  </r>
  <r>
    <s v="TXN21479947"/>
    <x v="3507"/>
    <x v="5"/>
    <x v="1"/>
    <n v="14741"/>
    <x v="0"/>
    <x v="3"/>
    <x v="0"/>
    <n v="5"/>
    <n v="0"/>
    <n v="5"/>
    <s v="Success"/>
  </r>
  <r>
    <s v="TXN76940149"/>
    <x v="3508"/>
    <x v="4"/>
    <x v="4"/>
    <n v="60903"/>
    <x v="1"/>
    <x v="0"/>
    <x v="4"/>
    <n v="609.03"/>
    <n v="0"/>
    <n v="609.03"/>
    <s v="Success"/>
  </r>
  <r>
    <s v="TXN67425041"/>
    <x v="3509"/>
    <x v="0"/>
    <x v="0"/>
    <n v="162500"/>
    <x v="0"/>
    <x v="3"/>
    <x v="0"/>
    <n v="3006.25"/>
    <n v="1202.5"/>
    <n v="1803.75"/>
    <s v="Success"/>
  </r>
  <r>
    <s v="TXN58896551"/>
    <x v="3510"/>
    <x v="2"/>
    <x v="2"/>
    <n v="3015"/>
    <x v="0"/>
    <x v="5"/>
    <x v="0"/>
    <n v="0"/>
    <n v="0"/>
    <n v="0"/>
    <s v="Success"/>
  </r>
  <r>
    <s v="TXN75914732"/>
    <x v="3511"/>
    <x v="4"/>
    <x v="4"/>
    <n v="105746"/>
    <x v="0"/>
    <x v="6"/>
    <x v="2"/>
    <n v="1057.46"/>
    <n v="0"/>
    <n v="1057.46"/>
    <s v="Success"/>
  </r>
  <r>
    <s v="TXN15339383"/>
    <x v="3512"/>
    <x v="5"/>
    <x v="0"/>
    <n v="129500"/>
    <x v="0"/>
    <x v="5"/>
    <x v="0"/>
    <n v="2395.75"/>
    <n v="958.3"/>
    <n v="1437.45"/>
    <s v="Success"/>
  </r>
  <r>
    <s v="TXN99736175"/>
    <x v="3513"/>
    <x v="1"/>
    <x v="0"/>
    <n v="206500"/>
    <x v="0"/>
    <x v="6"/>
    <x v="0"/>
    <n v="3820.25"/>
    <n v="1528.1"/>
    <n v="2292.15"/>
    <s v="Success"/>
  </r>
  <r>
    <s v="TXN69491390"/>
    <x v="3514"/>
    <x v="1"/>
    <x v="0"/>
    <n v="107500"/>
    <x v="0"/>
    <x v="5"/>
    <x v="0"/>
    <n v="1988.75"/>
    <n v="795.5"/>
    <n v="1193.25"/>
    <s v="Success"/>
  </r>
  <r>
    <s v="TXN33079222"/>
    <x v="3515"/>
    <x v="5"/>
    <x v="3"/>
    <n v="50489"/>
    <x v="0"/>
    <x v="8"/>
    <x v="0"/>
    <n v="0"/>
    <n v="0"/>
    <n v="0"/>
    <s v="Success"/>
  </r>
  <r>
    <s v="TXN14042811"/>
    <x v="3516"/>
    <x v="2"/>
    <x v="1"/>
    <n v="112859"/>
    <x v="0"/>
    <x v="7"/>
    <x v="0"/>
    <n v="5"/>
    <n v="0"/>
    <n v="5"/>
    <s v="Success"/>
  </r>
  <r>
    <s v="TXN84533258"/>
    <x v="3517"/>
    <x v="0"/>
    <x v="3"/>
    <n v="108910"/>
    <x v="0"/>
    <x v="5"/>
    <x v="0"/>
    <n v="0"/>
    <n v="0"/>
    <n v="0"/>
    <s v="Success"/>
  </r>
  <r>
    <s v="TXN19199919"/>
    <x v="3518"/>
    <x v="5"/>
    <x v="2"/>
    <n v="134"/>
    <x v="0"/>
    <x v="2"/>
    <x v="0"/>
    <n v="0"/>
    <n v="0"/>
    <n v="0"/>
    <s v="Success"/>
  </r>
  <r>
    <s v="TXN14357399"/>
    <x v="3519"/>
    <x v="1"/>
    <x v="3"/>
    <n v="85592"/>
    <x v="0"/>
    <x v="6"/>
    <x v="0"/>
    <n v="0"/>
    <n v="0"/>
    <n v="0"/>
    <s v="Success"/>
  </r>
  <r>
    <s v="TXN95203995"/>
    <x v="3520"/>
    <x v="2"/>
    <x v="2"/>
    <n v="4472"/>
    <x v="1"/>
    <x v="0"/>
    <x v="0"/>
    <n v="0"/>
    <n v="0"/>
    <n v="0"/>
    <s v="Failed"/>
  </r>
  <r>
    <s v="TXN63489071"/>
    <x v="3521"/>
    <x v="4"/>
    <x v="2"/>
    <n v="2400"/>
    <x v="0"/>
    <x v="0"/>
    <x v="0"/>
    <n v="0"/>
    <n v="0"/>
    <n v="0"/>
    <s v="Success"/>
  </r>
  <r>
    <s v="TXN89159257"/>
    <x v="3522"/>
    <x v="0"/>
    <x v="4"/>
    <n v="2424"/>
    <x v="1"/>
    <x v="5"/>
    <x v="5"/>
    <n v="24.24"/>
    <n v="0"/>
    <n v="24.24"/>
    <s v="Success"/>
  </r>
  <r>
    <s v="TXN59107773"/>
    <x v="3523"/>
    <x v="1"/>
    <x v="1"/>
    <n v="5088"/>
    <x v="0"/>
    <x v="5"/>
    <x v="0"/>
    <n v="5"/>
    <n v="0"/>
    <n v="5"/>
    <s v="Failed"/>
  </r>
  <r>
    <s v="TXN80502992"/>
    <x v="3524"/>
    <x v="5"/>
    <x v="4"/>
    <n v="21294"/>
    <x v="0"/>
    <x v="0"/>
    <x v="2"/>
    <n v="212.94"/>
    <n v="0"/>
    <n v="212.94"/>
    <s v="Success"/>
  </r>
  <r>
    <s v="TXN42527714"/>
    <x v="3525"/>
    <x v="1"/>
    <x v="1"/>
    <n v="67590"/>
    <x v="0"/>
    <x v="1"/>
    <x v="0"/>
    <n v="5"/>
    <n v="0"/>
    <n v="5"/>
    <s v="Success"/>
  </r>
  <r>
    <s v="TXN92692748"/>
    <x v="3526"/>
    <x v="3"/>
    <x v="0"/>
    <n v="132000"/>
    <x v="0"/>
    <x v="8"/>
    <x v="0"/>
    <n v="2442"/>
    <n v="976.8"/>
    <n v="1465.2"/>
    <s v="Success"/>
  </r>
  <r>
    <s v="TXN42965366"/>
    <x v="3527"/>
    <x v="1"/>
    <x v="2"/>
    <n v="4700"/>
    <x v="0"/>
    <x v="0"/>
    <x v="0"/>
    <n v="0"/>
    <n v="0"/>
    <n v="0"/>
    <s v="Success"/>
  </r>
  <r>
    <s v="TXN32923444"/>
    <x v="3528"/>
    <x v="7"/>
    <x v="0"/>
    <n v="1500"/>
    <x v="0"/>
    <x v="3"/>
    <x v="0"/>
    <n v="27.75"/>
    <n v="11.1"/>
    <n v="16.649999999999999"/>
    <s v="Success"/>
  </r>
  <r>
    <s v="TXN32601688"/>
    <x v="3529"/>
    <x v="3"/>
    <x v="0"/>
    <n v="175000"/>
    <x v="0"/>
    <x v="5"/>
    <x v="0"/>
    <n v="3237.5"/>
    <n v="1295"/>
    <n v="1942.5"/>
    <s v="Success"/>
  </r>
  <r>
    <s v="TXN37561755"/>
    <x v="3530"/>
    <x v="2"/>
    <x v="3"/>
    <n v="113365"/>
    <x v="0"/>
    <x v="4"/>
    <x v="0"/>
    <n v="0"/>
    <n v="0"/>
    <n v="0"/>
    <s v="Success"/>
  </r>
  <r>
    <s v="TXN57426457"/>
    <x v="3531"/>
    <x v="7"/>
    <x v="0"/>
    <n v="5000"/>
    <x v="0"/>
    <x v="4"/>
    <x v="0"/>
    <n v="92.5"/>
    <n v="37"/>
    <n v="55.5"/>
    <s v="Success"/>
  </r>
  <r>
    <s v="TXN44564553"/>
    <x v="3532"/>
    <x v="7"/>
    <x v="2"/>
    <n v="2973"/>
    <x v="0"/>
    <x v="1"/>
    <x v="0"/>
    <n v="0"/>
    <n v="0"/>
    <n v="0"/>
    <s v="Success"/>
  </r>
  <r>
    <s v="TXN39491282"/>
    <x v="3533"/>
    <x v="4"/>
    <x v="3"/>
    <n v="58079"/>
    <x v="0"/>
    <x v="0"/>
    <x v="0"/>
    <n v="0"/>
    <n v="0"/>
    <n v="0"/>
    <s v="Success"/>
  </r>
  <r>
    <s v="TXN71026705"/>
    <x v="3534"/>
    <x v="5"/>
    <x v="4"/>
    <n v="53801"/>
    <x v="0"/>
    <x v="2"/>
    <x v="2"/>
    <n v="538.01"/>
    <n v="0"/>
    <n v="538.01"/>
    <s v="Success"/>
  </r>
  <r>
    <s v="TXN81282135"/>
    <x v="3535"/>
    <x v="4"/>
    <x v="2"/>
    <n v="4335"/>
    <x v="0"/>
    <x v="3"/>
    <x v="0"/>
    <n v="0"/>
    <n v="0"/>
    <n v="0"/>
    <s v="Success"/>
  </r>
  <r>
    <s v="TXN42226167"/>
    <x v="3536"/>
    <x v="6"/>
    <x v="1"/>
    <n v="130660"/>
    <x v="1"/>
    <x v="4"/>
    <x v="0"/>
    <n v="5"/>
    <n v="0"/>
    <n v="5"/>
    <s v="Success"/>
  </r>
  <r>
    <s v="TXN84883600"/>
    <x v="3537"/>
    <x v="7"/>
    <x v="3"/>
    <n v="114025"/>
    <x v="0"/>
    <x v="3"/>
    <x v="0"/>
    <n v="0"/>
    <n v="0"/>
    <n v="0"/>
    <s v="Success"/>
  </r>
  <r>
    <s v="TXN41943912"/>
    <x v="3538"/>
    <x v="1"/>
    <x v="2"/>
    <n v="2509"/>
    <x v="2"/>
    <x v="1"/>
    <x v="0"/>
    <n v="0"/>
    <n v="0"/>
    <n v="0"/>
    <s v="Success"/>
  </r>
  <r>
    <s v="TXN97791982"/>
    <x v="3539"/>
    <x v="5"/>
    <x v="3"/>
    <n v="126295"/>
    <x v="0"/>
    <x v="8"/>
    <x v="0"/>
    <n v="0"/>
    <n v="0"/>
    <n v="0"/>
    <s v="Success"/>
  </r>
  <r>
    <s v="TXN95388733"/>
    <x v="3540"/>
    <x v="1"/>
    <x v="0"/>
    <n v="145000"/>
    <x v="1"/>
    <x v="0"/>
    <x v="0"/>
    <n v="2682.5"/>
    <n v="1073"/>
    <n v="1609.5"/>
    <s v="Success"/>
  </r>
  <r>
    <s v="TXN98956651"/>
    <x v="3541"/>
    <x v="6"/>
    <x v="3"/>
    <n v="92160"/>
    <x v="0"/>
    <x v="7"/>
    <x v="0"/>
    <n v="0"/>
    <n v="0"/>
    <n v="0"/>
    <s v="Success"/>
  </r>
  <r>
    <s v="TXN98688981"/>
    <x v="3542"/>
    <x v="5"/>
    <x v="2"/>
    <n v="4478"/>
    <x v="1"/>
    <x v="5"/>
    <x v="0"/>
    <n v="0"/>
    <n v="0"/>
    <n v="0"/>
    <s v="Success"/>
  </r>
  <r>
    <s v="TXN43706788"/>
    <x v="3543"/>
    <x v="3"/>
    <x v="1"/>
    <n v="117120"/>
    <x v="0"/>
    <x v="6"/>
    <x v="0"/>
    <n v="5"/>
    <n v="0"/>
    <n v="5"/>
    <s v="Success"/>
  </r>
  <r>
    <s v="TXN56423201"/>
    <x v="3544"/>
    <x v="0"/>
    <x v="2"/>
    <n v="2483"/>
    <x v="0"/>
    <x v="5"/>
    <x v="0"/>
    <n v="0"/>
    <n v="0"/>
    <n v="0"/>
    <s v="Success"/>
  </r>
  <r>
    <s v="TXN90128909"/>
    <x v="3545"/>
    <x v="3"/>
    <x v="1"/>
    <n v="34166"/>
    <x v="0"/>
    <x v="5"/>
    <x v="0"/>
    <n v="5"/>
    <n v="0"/>
    <n v="5"/>
    <s v="Success"/>
  </r>
  <r>
    <s v="TXN35463637"/>
    <x v="3546"/>
    <x v="5"/>
    <x v="2"/>
    <n v="3387"/>
    <x v="0"/>
    <x v="5"/>
    <x v="0"/>
    <n v="0"/>
    <n v="0"/>
    <n v="0"/>
    <s v="Success"/>
  </r>
  <r>
    <s v="TXN99989973"/>
    <x v="3547"/>
    <x v="4"/>
    <x v="0"/>
    <n v="219500"/>
    <x v="0"/>
    <x v="5"/>
    <x v="0"/>
    <n v="4060.75"/>
    <n v="1624.3"/>
    <n v="2436.4499999999998"/>
    <s v="Success"/>
  </r>
  <r>
    <s v="TXN79819515"/>
    <x v="3548"/>
    <x v="5"/>
    <x v="4"/>
    <n v="144308"/>
    <x v="0"/>
    <x v="4"/>
    <x v="4"/>
    <n v="1443.08"/>
    <n v="0"/>
    <n v="1443.08"/>
    <s v="Success"/>
  </r>
  <r>
    <s v="TXN14258081"/>
    <x v="3549"/>
    <x v="5"/>
    <x v="4"/>
    <n v="53990"/>
    <x v="2"/>
    <x v="7"/>
    <x v="1"/>
    <n v="539.9"/>
    <n v="0"/>
    <n v="539.9"/>
    <s v="Success"/>
  </r>
  <r>
    <s v="TXN59702126"/>
    <x v="3550"/>
    <x v="2"/>
    <x v="1"/>
    <n v="40318"/>
    <x v="0"/>
    <x v="5"/>
    <x v="0"/>
    <n v="5"/>
    <n v="0"/>
    <n v="5"/>
    <s v="Success"/>
  </r>
  <r>
    <s v="TXN89668896"/>
    <x v="3551"/>
    <x v="7"/>
    <x v="3"/>
    <n v="4743"/>
    <x v="0"/>
    <x v="5"/>
    <x v="0"/>
    <n v="0"/>
    <n v="0"/>
    <n v="0"/>
    <s v="Failed"/>
  </r>
  <r>
    <s v="TXN22116182"/>
    <x v="3552"/>
    <x v="3"/>
    <x v="3"/>
    <n v="92660"/>
    <x v="0"/>
    <x v="3"/>
    <x v="0"/>
    <n v="0"/>
    <n v="0"/>
    <n v="0"/>
    <s v="Success"/>
  </r>
  <r>
    <s v="TXN99512758"/>
    <x v="3553"/>
    <x v="6"/>
    <x v="2"/>
    <n v="1351"/>
    <x v="0"/>
    <x v="3"/>
    <x v="0"/>
    <n v="0"/>
    <n v="0"/>
    <n v="0"/>
    <s v="Failed"/>
  </r>
  <r>
    <s v="TXN94127209"/>
    <x v="3554"/>
    <x v="2"/>
    <x v="3"/>
    <n v="128281"/>
    <x v="2"/>
    <x v="5"/>
    <x v="0"/>
    <n v="0"/>
    <n v="0"/>
    <n v="0"/>
    <s v="Success"/>
  </r>
  <r>
    <s v="TXN71898231"/>
    <x v="3555"/>
    <x v="0"/>
    <x v="1"/>
    <n v="16518"/>
    <x v="1"/>
    <x v="1"/>
    <x v="0"/>
    <n v="5"/>
    <n v="0"/>
    <n v="5"/>
    <s v="Success"/>
  </r>
  <r>
    <s v="TXN10926300"/>
    <x v="3556"/>
    <x v="6"/>
    <x v="3"/>
    <n v="61301"/>
    <x v="0"/>
    <x v="4"/>
    <x v="0"/>
    <n v="0"/>
    <n v="0"/>
    <n v="0"/>
    <s v="Success"/>
  </r>
  <r>
    <s v="TXN35995423"/>
    <x v="3557"/>
    <x v="5"/>
    <x v="2"/>
    <n v="4922"/>
    <x v="0"/>
    <x v="1"/>
    <x v="0"/>
    <n v="0"/>
    <n v="0"/>
    <n v="0"/>
    <s v="Success"/>
  </r>
  <r>
    <s v="TXN52032583"/>
    <x v="3558"/>
    <x v="2"/>
    <x v="4"/>
    <n v="145893"/>
    <x v="2"/>
    <x v="4"/>
    <x v="5"/>
    <n v="1458.93"/>
    <n v="0"/>
    <n v="1458.93"/>
    <s v="Success"/>
  </r>
  <r>
    <s v="TXN85673758"/>
    <x v="3559"/>
    <x v="4"/>
    <x v="2"/>
    <n v="2500"/>
    <x v="0"/>
    <x v="5"/>
    <x v="0"/>
    <n v="0"/>
    <n v="0"/>
    <n v="0"/>
    <s v="Success"/>
  </r>
  <r>
    <s v="TXN17912471"/>
    <x v="3560"/>
    <x v="5"/>
    <x v="3"/>
    <n v="132619"/>
    <x v="0"/>
    <x v="5"/>
    <x v="0"/>
    <n v="0"/>
    <n v="0"/>
    <n v="0"/>
    <s v="Success"/>
  </r>
  <r>
    <s v="TXN53208040"/>
    <x v="3561"/>
    <x v="4"/>
    <x v="1"/>
    <n v="145791"/>
    <x v="0"/>
    <x v="1"/>
    <x v="0"/>
    <n v="5"/>
    <n v="0"/>
    <n v="5"/>
    <s v="Success"/>
  </r>
  <r>
    <s v="TXN96106566"/>
    <x v="3562"/>
    <x v="5"/>
    <x v="4"/>
    <n v="55412"/>
    <x v="0"/>
    <x v="3"/>
    <x v="3"/>
    <n v="554.12"/>
    <n v="0"/>
    <n v="554.12"/>
    <s v="Success"/>
  </r>
  <r>
    <s v="TXN60340393"/>
    <x v="3563"/>
    <x v="2"/>
    <x v="3"/>
    <n v="19779"/>
    <x v="0"/>
    <x v="2"/>
    <x v="0"/>
    <n v="0"/>
    <n v="0"/>
    <n v="0"/>
    <s v="Success"/>
  </r>
  <r>
    <s v="TXN15732244"/>
    <x v="3564"/>
    <x v="2"/>
    <x v="4"/>
    <n v="137312"/>
    <x v="0"/>
    <x v="6"/>
    <x v="1"/>
    <n v="1373.12"/>
    <n v="0"/>
    <n v="1373.12"/>
    <s v="Success"/>
  </r>
  <r>
    <s v="TXN10217895"/>
    <x v="3565"/>
    <x v="2"/>
    <x v="4"/>
    <n v="115832"/>
    <x v="0"/>
    <x v="2"/>
    <x v="3"/>
    <n v="1158.32"/>
    <n v="0"/>
    <n v="1158.32"/>
    <s v="Failed"/>
  </r>
  <r>
    <s v="TXN14511825"/>
    <x v="3566"/>
    <x v="6"/>
    <x v="4"/>
    <n v="144863"/>
    <x v="1"/>
    <x v="1"/>
    <x v="2"/>
    <n v="1448.63"/>
    <n v="0"/>
    <n v="1448.63"/>
    <s v="Success"/>
  </r>
  <r>
    <s v="TXN41933108"/>
    <x v="3567"/>
    <x v="1"/>
    <x v="4"/>
    <n v="10106"/>
    <x v="2"/>
    <x v="7"/>
    <x v="4"/>
    <n v="101.06"/>
    <n v="0"/>
    <n v="101.06"/>
    <s v="Success"/>
  </r>
  <r>
    <s v="TXN95046697"/>
    <x v="3568"/>
    <x v="3"/>
    <x v="1"/>
    <n v="7839"/>
    <x v="0"/>
    <x v="3"/>
    <x v="0"/>
    <n v="5"/>
    <n v="0"/>
    <n v="5"/>
    <s v="Success"/>
  </r>
  <r>
    <s v="TXN50971949"/>
    <x v="3569"/>
    <x v="4"/>
    <x v="3"/>
    <n v="4656"/>
    <x v="0"/>
    <x v="8"/>
    <x v="0"/>
    <n v="0"/>
    <n v="0"/>
    <n v="0"/>
    <s v="Success"/>
  </r>
  <r>
    <s v="TXN47396045"/>
    <x v="3570"/>
    <x v="4"/>
    <x v="1"/>
    <n v="99401"/>
    <x v="0"/>
    <x v="2"/>
    <x v="0"/>
    <n v="5"/>
    <n v="0"/>
    <n v="5"/>
    <s v="Success"/>
  </r>
  <r>
    <s v="TXN34682188"/>
    <x v="3571"/>
    <x v="6"/>
    <x v="4"/>
    <n v="112192"/>
    <x v="0"/>
    <x v="4"/>
    <x v="5"/>
    <n v="1121.92"/>
    <n v="0"/>
    <n v="1121.92"/>
    <s v="Success"/>
  </r>
  <r>
    <s v="TXN45193967"/>
    <x v="3572"/>
    <x v="1"/>
    <x v="3"/>
    <n v="74984"/>
    <x v="0"/>
    <x v="4"/>
    <x v="0"/>
    <n v="0"/>
    <n v="0"/>
    <n v="0"/>
    <s v="Success"/>
  </r>
  <r>
    <s v="TXN63744544"/>
    <x v="3573"/>
    <x v="4"/>
    <x v="0"/>
    <n v="21000"/>
    <x v="0"/>
    <x v="8"/>
    <x v="0"/>
    <n v="388.5"/>
    <n v="155.4"/>
    <n v="233.1"/>
    <s v="Success"/>
  </r>
  <r>
    <s v="TXN22157674"/>
    <x v="3574"/>
    <x v="0"/>
    <x v="4"/>
    <n v="3270"/>
    <x v="0"/>
    <x v="0"/>
    <x v="2"/>
    <n v="32.700000000000003"/>
    <n v="0"/>
    <n v="32.700000000000003"/>
    <s v="Success"/>
  </r>
  <r>
    <s v="TXN41241899"/>
    <x v="3575"/>
    <x v="3"/>
    <x v="2"/>
    <n v="3268"/>
    <x v="0"/>
    <x v="5"/>
    <x v="0"/>
    <n v="0"/>
    <n v="0"/>
    <n v="0"/>
    <s v="Success"/>
  </r>
  <r>
    <s v="TXN97534323"/>
    <x v="3576"/>
    <x v="0"/>
    <x v="3"/>
    <n v="112063"/>
    <x v="1"/>
    <x v="2"/>
    <x v="0"/>
    <n v="0"/>
    <n v="0"/>
    <n v="0"/>
    <s v="Success"/>
  </r>
  <r>
    <s v="TXN61766368"/>
    <x v="3577"/>
    <x v="2"/>
    <x v="3"/>
    <n v="43019"/>
    <x v="2"/>
    <x v="8"/>
    <x v="0"/>
    <n v="0"/>
    <n v="0"/>
    <n v="0"/>
    <s v="Success"/>
  </r>
  <r>
    <s v="TXN19167844"/>
    <x v="3578"/>
    <x v="1"/>
    <x v="1"/>
    <n v="13619"/>
    <x v="0"/>
    <x v="3"/>
    <x v="0"/>
    <n v="5"/>
    <n v="0"/>
    <n v="5"/>
    <s v="Success"/>
  </r>
  <r>
    <s v="TXN25528185"/>
    <x v="3579"/>
    <x v="2"/>
    <x v="3"/>
    <n v="55843"/>
    <x v="2"/>
    <x v="2"/>
    <x v="0"/>
    <n v="0"/>
    <n v="0"/>
    <n v="0"/>
    <s v="Success"/>
  </r>
  <r>
    <s v="TXN85447605"/>
    <x v="3580"/>
    <x v="3"/>
    <x v="3"/>
    <n v="98693"/>
    <x v="0"/>
    <x v="3"/>
    <x v="0"/>
    <n v="0"/>
    <n v="0"/>
    <n v="0"/>
    <s v="Success"/>
  </r>
  <r>
    <s v="TXN63229215"/>
    <x v="3581"/>
    <x v="0"/>
    <x v="1"/>
    <n v="1182"/>
    <x v="0"/>
    <x v="5"/>
    <x v="0"/>
    <n v="5"/>
    <n v="0"/>
    <n v="5"/>
    <s v="Success"/>
  </r>
  <r>
    <s v="TXN34075738"/>
    <x v="3582"/>
    <x v="2"/>
    <x v="1"/>
    <n v="106257"/>
    <x v="0"/>
    <x v="2"/>
    <x v="0"/>
    <n v="5"/>
    <n v="0"/>
    <n v="5"/>
    <s v="Success"/>
  </r>
  <r>
    <s v="TXN90907451"/>
    <x v="3583"/>
    <x v="5"/>
    <x v="3"/>
    <n v="122974"/>
    <x v="1"/>
    <x v="7"/>
    <x v="0"/>
    <n v="0"/>
    <n v="0"/>
    <n v="0"/>
    <s v="Success"/>
  </r>
  <r>
    <s v="TXN23675215"/>
    <x v="3584"/>
    <x v="7"/>
    <x v="3"/>
    <n v="3252"/>
    <x v="1"/>
    <x v="2"/>
    <x v="0"/>
    <n v="0"/>
    <n v="0"/>
    <n v="0"/>
    <s v="Success"/>
  </r>
  <r>
    <s v="TXN17401868"/>
    <x v="3585"/>
    <x v="7"/>
    <x v="3"/>
    <n v="38111"/>
    <x v="0"/>
    <x v="6"/>
    <x v="0"/>
    <n v="0"/>
    <n v="0"/>
    <n v="0"/>
    <s v="Failed"/>
  </r>
  <r>
    <s v="TXN28031162"/>
    <x v="3586"/>
    <x v="2"/>
    <x v="4"/>
    <n v="27602"/>
    <x v="1"/>
    <x v="0"/>
    <x v="2"/>
    <n v="276.02"/>
    <n v="0"/>
    <n v="276.02"/>
    <s v="Success"/>
  </r>
  <r>
    <s v="TXN12917300"/>
    <x v="3587"/>
    <x v="5"/>
    <x v="4"/>
    <n v="134633"/>
    <x v="0"/>
    <x v="5"/>
    <x v="2"/>
    <n v="1346.33"/>
    <n v="0"/>
    <n v="1346.33"/>
    <s v="Failed"/>
  </r>
  <r>
    <s v="TXN73862087"/>
    <x v="3588"/>
    <x v="5"/>
    <x v="4"/>
    <n v="147546"/>
    <x v="0"/>
    <x v="5"/>
    <x v="1"/>
    <n v="1475.46"/>
    <n v="0"/>
    <n v="1475.46"/>
    <s v="Success"/>
  </r>
  <r>
    <s v="TXN94984000"/>
    <x v="3589"/>
    <x v="1"/>
    <x v="1"/>
    <n v="114395"/>
    <x v="1"/>
    <x v="4"/>
    <x v="0"/>
    <n v="5"/>
    <n v="0"/>
    <n v="5"/>
    <s v="Success"/>
  </r>
  <r>
    <s v="TXN29839491"/>
    <x v="3590"/>
    <x v="4"/>
    <x v="4"/>
    <n v="96563"/>
    <x v="0"/>
    <x v="1"/>
    <x v="3"/>
    <n v="965.63"/>
    <n v="0"/>
    <n v="965.63"/>
    <s v="Success"/>
  </r>
  <r>
    <s v="TXN68091417"/>
    <x v="3591"/>
    <x v="5"/>
    <x v="2"/>
    <n v="48"/>
    <x v="0"/>
    <x v="8"/>
    <x v="0"/>
    <n v="0"/>
    <n v="0"/>
    <n v="0"/>
    <s v="Success"/>
  </r>
  <r>
    <s v="TXN21151362"/>
    <x v="3592"/>
    <x v="6"/>
    <x v="1"/>
    <n v="71054"/>
    <x v="0"/>
    <x v="1"/>
    <x v="0"/>
    <n v="5"/>
    <n v="0"/>
    <n v="5"/>
    <s v="Success"/>
  </r>
  <r>
    <s v="TXN26770253"/>
    <x v="3593"/>
    <x v="5"/>
    <x v="1"/>
    <n v="64998"/>
    <x v="0"/>
    <x v="4"/>
    <x v="0"/>
    <n v="5"/>
    <n v="0"/>
    <n v="5"/>
    <s v="Success"/>
  </r>
  <r>
    <s v="TXN33246519"/>
    <x v="3594"/>
    <x v="5"/>
    <x v="1"/>
    <n v="434"/>
    <x v="0"/>
    <x v="0"/>
    <x v="0"/>
    <n v="5"/>
    <n v="0"/>
    <n v="5"/>
    <s v="Success"/>
  </r>
  <r>
    <s v="TXN22840617"/>
    <x v="3595"/>
    <x v="6"/>
    <x v="2"/>
    <n v="3806"/>
    <x v="0"/>
    <x v="8"/>
    <x v="0"/>
    <n v="0"/>
    <n v="0"/>
    <n v="0"/>
    <s v="Success"/>
  </r>
  <r>
    <s v="TXN35464217"/>
    <x v="3596"/>
    <x v="1"/>
    <x v="0"/>
    <n v="121500"/>
    <x v="1"/>
    <x v="8"/>
    <x v="0"/>
    <n v="2247.75"/>
    <n v="899.1"/>
    <n v="1348.65"/>
    <s v="Success"/>
  </r>
  <r>
    <s v="TXN51908434"/>
    <x v="3597"/>
    <x v="3"/>
    <x v="1"/>
    <n v="37988"/>
    <x v="0"/>
    <x v="8"/>
    <x v="0"/>
    <n v="5"/>
    <n v="0"/>
    <n v="5"/>
    <s v="Success"/>
  </r>
  <r>
    <s v="TXN40533632"/>
    <x v="3598"/>
    <x v="3"/>
    <x v="1"/>
    <n v="87149"/>
    <x v="0"/>
    <x v="2"/>
    <x v="0"/>
    <n v="5"/>
    <n v="0"/>
    <n v="5"/>
    <s v="Success"/>
  </r>
  <r>
    <s v="TXN12107813"/>
    <x v="3599"/>
    <x v="5"/>
    <x v="2"/>
    <n v="4082"/>
    <x v="0"/>
    <x v="3"/>
    <x v="0"/>
    <n v="0"/>
    <n v="0"/>
    <n v="0"/>
    <s v="Success"/>
  </r>
  <r>
    <s v="TXN96842446"/>
    <x v="3600"/>
    <x v="6"/>
    <x v="4"/>
    <n v="66459"/>
    <x v="0"/>
    <x v="3"/>
    <x v="3"/>
    <n v="664.59"/>
    <n v="0"/>
    <n v="664.59"/>
    <s v="Success"/>
  </r>
  <r>
    <s v="TXN18909240"/>
    <x v="3601"/>
    <x v="3"/>
    <x v="2"/>
    <n v="351"/>
    <x v="1"/>
    <x v="5"/>
    <x v="0"/>
    <n v="0"/>
    <n v="0"/>
    <n v="0"/>
    <s v="Success"/>
  </r>
  <r>
    <s v="TXN17178694"/>
    <x v="3602"/>
    <x v="6"/>
    <x v="1"/>
    <n v="25915"/>
    <x v="0"/>
    <x v="4"/>
    <x v="0"/>
    <n v="5"/>
    <n v="0"/>
    <n v="5"/>
    <s v="Success"/>
  </r>
  <r>
    <s v="TXN33308910"/>
    <x v="3603"/>
    <x v="0"/>
    <x v="2"/>
    <n v="3687"/>
    <x v="0"/>
    <x v="5"/>
    <x v="0"/>
    <n v="0"/>
    <n v="0"/>
    <n v="0"/>
    <s v="Success"/>
  </r>
  <r>
    <s v="TXN22937769"/>
    <x v="3604"/>
    <x v="1"/>
    <x v="1"/>
    <n v="69543"/>
    <x v="0"/>
    <x v="0"/>
    <x v="0"/>
    <n v="5"/>
    <n v="0"/>
    <n v="5"/>
    <s v="Success"/>
  </r>
  <r>
    <s v="TXN56938803"/>
    <x v="3605"/>
    <x v="6"/>
    <x v="2"/>
    <n v="4877"/>
    <x v="0"/>
    <x v="3"/>
    <x v="0"/>
    <n v="0"/>
    <n v="0"/>
    <n v="0"/>
    <s v="Success"/>
  </r>
  <r>
    <s v="TXN99255460"/>
    <x v="3606"/>
    <x v="1"/>
    <x v="1"/>
    <n v="36932"/>
    <x v="0"/>
    <x v="6"/>
    <x v="0"/>
    <n v="5"/>
    <n v="0"/>
    <n v="5"/>
    <s v="Success"/>
  </r>
  <r>
    <s v="TXN62943749"/>
    <x v="3607"/>
    <x v="4"/>
    <x v="3"/>
    <n v="148300"/>
    <x v="0"/>
    <x v="5"/>
    <x v="0"/>
    <n v="0"/>
    <n v="0"/>
    <n v="0"/>
    <s v="Success"/>
  </r>
  <r>
    <s v="TXN83333385"/>
    <x v="3608"/>
    <x v="5"/>
    <x v="0"/>
    <n v="140500"/>
    <x v="1"/>
    <x v="5"/>
    <x v="0"/>
    <n v="2599.25"/>
    <n v="1039.7"/>
    <n v="1559.55"/>
    <s v="Success"/>
  </r>
  <r>
    <s v="TXN80249295"/>
    <x v="3609"/>
    <x v="6"/>
    <x v="0"/>
    <n v="78000"/>
    <x v="0"/>
    <x v="3"/>
    <x v="0"/>
    <n v="1443"/>
    <n v="577.20000000000005"/>
    <n v="865.8"/>
    <s v="Success"/>
  </r>
  <r>
    <s v="TXN75073470"/>
    <x v="3610"/>
    <x v="6"/>
    <x v="4"/>
    <n v="22946"/>
    <x v="0"/>
    <x v="8"/>
    <x v="4"/>
    <n v="229.46"/>
    <n v="0"/>
    <n v="229.46"/>
    <s v="Success"/>
  </r>
  <r>
    <s v="TXN57966313"/>
    <x v="3611"/>
    <x v="5"/>
    <x v="0"/>
    <n v="162000"/>
    <x v="0"/>
    <x v="3"/>
    <x v="0"/>
    <n v="2997"/>
    <n v="1198.8"/>
    <n v="1798.2"/>
    <s v="Success"/>
  </r>
  <r>
    <s v="TXN52819676"/>
    <x v="3612"/>
    <x v="5"/>
    <x v="0"/>
    <n v="25500"/>
    <x v="0"/>
    <x v="8"/>
    <x v="0"/>
    <n v="471.75"/>
    <n v="188.7"/>
    <n v="283.05"/>
    <s v="Success"/>
  </r>
  <r>
    <s v="TXN36075105"/>
    <x v="3613"/>
    <x v="4"/>
    <x v="1"/>
    <n v="94058"/>
    <x v="1"/>
    <x v="0"/>
    <x v="0"/>
    <n v="5"/>
    <n v="0"/>
    <n v="5"/>
    <s v="Success"/>
  </r>
  <r>
    <s v="TXN91339565"/>
    <x v="3614"/>
    <x v="4"/>
    <x v="1"/>
    <n v="20619"/>
    <x v="0"/>
    <x v="6"/>
    <x v="0"/>
    <n v="5"/>
    <n v="0"/>
    <n v="5"/>
    <s v="Success"/>
  </r>
  <r>
    <s v="TXN83290411"/>
    <x v="3615"/>
    <x v="6"/>
    <x v="4"/>
    <n v="138985"/>
    <x v="0"/>
    <x v="1"/>
    <x v="4"/>
    <n v="1389.85"/>
    <n v="0"/>
    <n v="1389.85"/>
    <s v="Success"/>
  </r>
  <r>
    <s v="TXN99630565"/>
    <x v="3616"/>
    <x v="6"/>
    <x v="1"/>
    <n v="114738"/>
    <x v="0"/>
    <x v="0"/>
    <x v="0"/>
    <n v="5"/>
    <n v="0"/>
    <n v="5"/>
    <s v="Failed"/>
  </r>
  <r>
    <s v="TXN78924054"/>
    <x v="3617"/>
    <x v="2"/>
    <x v="4"/>
    <n v="140277"/>
    <x v="1"/>
    <x v="1"/>
    <x v="2"/>
    <n v="1402.77"/>
    <n v="0"/>
    <n v="1402.77"/>
    <s v="Success"/>
  </r>
  <r>
    <s v="TXN25928176"/>
    <x v="3618"/>
    <x v="5"/>
    <x v="4"/>
    <n v="32695"/>
    <x v="0"/>
    <x v="0"/>
    <x v="2"/>
    <n v="326.95"/>
    <n v="0"/>
    <n v="326.95"/>
    <s v="Success"/>
  </r>
  <r>
    <s v="TXN47450036"/>
    <x v="3619"/>
    <x v="1"/>
    <x v="1"/>
    <n v="54117"/>
    <x v="0"/>
    <x v="5"/>
    <x v="0"/>
    <n v="5"/>
    <n v="0"/>
    <n v="5"/>
    <s v="Success"/>
  </r>
  <r>
    <s v="TXN41336044"/>
    <x v="3620"/>
    <x v="6"/>
    <x v="0"/>
    <n v="168500"/>
    <x v="0"/>
    <x v="8"/>
    <x v="0"/>
    <n v="3117.25"/>
    <n v="1246.9000000000001"/>
    <n v="1870.35"/>
    <s v="Success"/>
  </r>
  <r>
    <s v="TXN91038685"/>
    <x v="3621"/>
    <x v="0"/>
    <x v="4"/>
    <n v="4551"/>
    <x v="0"/>
    <x v="5"/>
    <x v="3"/>
    <n v="45.51"/>
    <n v="0"/>
    <n v="45.51"/>
    <s v="Success"/>
  </r>
  <r>
    <s v="TXN99887046"/>
    <x v="3622"/>
    <x v="2"/>
    <x v="1"/>
    <n v="53752"/>
    <x v="0"/>
    <x v="0"/>
    <x v="0"/>
    <n v="5"/>
    <n v="0"/>
    <n v="5"/>
    <s v="Success"/>
  </r>
  <r>
    <s v="TXN34408960"/>
    <x v="3623"/>
    <x v="4"/>
    <x v="3"/>
    <n v="79875"/>
    <x v="0"/>
    <x v="4"/>
    <x v="0"/>
    <n v="0"/>
    <n v="0"/>
    <n v="0"/>
    <s v="Success"/>
  </r>
  <r>
    <s v="TXN44358604"/>
    <x v="3624"/>
    <x v="4"/>
    <x v="4"/>
    <n v="37166"/>
    <x v="0"/>
    <x v="3"/>
    <x v="5"/>
    <n v="371.66"/>
    <n v="0"/>
    <n v="371.66"/>
    <s v="Success"/>
  </r>
  <r>
    <s v="TXN95096719"/>
    <x v="3625"/>
    <x v="5"/>
    <x v="1"/>
    <n v="82194"/>
    <x v="0"/>
    <x v="5"/>
    <x v="0"/>
    <n v="5"/>
    <n v="0"/>
    <n v="5"/>
    <s v="Success"/>
  </r>
  <r>
    <s v="TXN57895237"/>
    <x v="3626"/>
    <x v="6"/>
    <x v="1"/>
    <n v="35367"/>
    <x v="0"/>
    <x v="0"/>
    <x v="0"/>
    <n v="5"/>
    <n v="0"/>
    <n v="5"/>
    <s v="Success"/>
  </r>
  <r>
    <s v="TXN20200821"/>
    <x v="3627"/>
    <x v="3"/>
    <x v="1"/>
    <n v="93383"/>
    <x v="0"/>
    <x v="2"/>
    <x v="0"/>
    <n v="5"/>
    <n v="0"/>
    <n v="5"/>
    <s v="Success"/>
  </r>
  <r>
    <s v="TXN43329788"/>
    <x v="3628"/>
    <x v="4"/>
    <x v="2"/>
    <n v="3706"/>
    <x v="0"/>
    <x v="6"/>
    <x v="0"/>
    <n v="0"/>
    <n v="0"/>
    <n v="0"/>
    <s v="Success"/>
  </r>
  <r>
    <s v="TXN72619948"/>
    <x v="3629"/>
    <x v="3"/>
    <x v="1"/>
    <n v="127083"/>
    <x v="0"/>
    <x v="5"/>
    <x v="0"/>
    <n v="5"/>
    <n v="0"/>
    <n v="5"/>
    <s v="Success"/>
  </r>
  <r>
    <s v="TXN22589037"/>
    <x v="3630"/>
    <x v="7"/>
    <x v="3"/>
    <n v="42673"/>
    <x v="0"/>
    <x v="1"/>
    <x v="0"/>
    <n v="0"/>
    <n v="0"/>
    <n v="0"/>
    <s v="Success"/>
  </r>
  <r>
    <s v="TXN67123632"/>
    <x v="3631"/>
    <x v="6"/>
    <x v="4"/>
    <n v="68233"/>
    <x v="0"/>
    <x v="0"/>
    <x v="1"/>
    <n v="682.33"/>
    <n v="0"/>
    <n v="682.33"/>
    <s v="Success"/>
  </r>
  <r>
    <s v="TXN65500809"/>
    <x v="3632"/>
    <x v="5"/>
    <x v="3"/>
    <n v="10337"/>
    <x v="0"/>
    <x v="3"/>
    <x v="0"/>
    <n v="0"/>
    <n v="0"/>
    <n v="0"/>
    <s v="Success"/>
  </r>
  <r>
    <s v="TXN44799532"/>
    <x v="3633"/>
    <x v="4"/>
    <x v="0"/>
    <n v="236000"/>
    <x v="0"/>
    <x v="3"/>
    <x v="0"/>
    <n v="4366"/>
    <n v="1746.4"/>
    <n v="2619.6"/>
    <s v="Success"/>
  </r>
  <r>
    <s v="TXN20785885"/>
    <x v="3634"/>
    <x v="3"/>
    <x v="1"/>
    <n v="124648"/>
    <x v="0"/>
    <x v="5"/>
    <x v="0"/>
    <n v="5"/>
    <n v="0"/>
    <n v="5"/>
    <s v="Success"/>
  </r>
  <r>
    <s v="TXN51801809"/>
    <x v="3635"/>
    <x v="0"/>
    <x v="2"/>
    <n v="3101"/>
    <x v="0"/>
    <x v="7"/>
    <x v="0"/>
    <n v="0"/>
    <n v="0"/>
    <n v="0"/>
    <s v="Success"/>
  </r>
  <r>
    <s v="TXN64166023"/>
    <x v="3636"/>
    <x v="2"/>
    <x v="1"/>
    <n v="17210"/>
    <x v="0"/>
    <x v="1"/>
    <x v="0"/>
    <n v="5"/>
    <n v="0"/>
    <n v="5"/>
    <s v="Success"/>
  </r>
  <r>
    <s v="TXN55939782"/>
    <x v="3637"/>
    <x v="5"/>
    <x v="2"/>
    <n v="1503"/>
    <x v="0"/>
    <x v="0"/>
    <x v="0"/>
    <n v="0"/>
    <n v="0"/>
    <n v="0"/>
    <s v="Success"/>
  </r>
  <r>
    <s v="TXN34499835"/>
    <x v="3638"/>
    <x v="6"/>
    <x v="0"/>
    <n v="46500"/>
    <x v="0"/>
    <x v="5"/>
    <x v="0"/>
    <n v="860.25"/>
    <n v="344.1"/>
    <n v="516.15"/>
    <s v="Success"/>
  </r>
  <r>
    <s v="TXN25377709"/>
    <x v="3639"/>
    <x v="2"/>
    <x v="2"/>
    <n v="3848"/>
    <x v="2"/>
    <x v="6"/>
    <x v="0"/>
    <n v="0"/>
    <n v="0"/>
    <n v="0"/>
    <s v="Success"/>
  </r>
  <r>
    <s v="TXN35851297"/>
    <x v="3640"/>
    <x v="7"/>
    <x v="3"/>
    <n v="38647"/>
    <x v="0"/>
    <x v="1"/>
    <x v="0"/>
    <n v="0"/>
    <n v="0"/>
    <n v="0"/>
    <s v="Success"/>
  </r>
  <r>
    <s v="TXN84877891"/>
    <x v="3641"/>
    <x v="0"/>
    <x v="4"/>
    <n v="79818"/>
    <x v="0"/>
    <x v="8"/>
    <x v="1"/>
    <n v="798.18"/>
    <n v="0"/>
    <n v="798.18"/>
    <s v="Success"/>
  </r>
  <r>
    <s v="TXN16071894"/>
    <x v="3642"/>
    <x v="5"/>
    <x v="3"/>
    <n v="120462"/>
    <x v="0"/>
    <x v="4"/>
    <x v="0"/>
    <n v="0"/>
    <n v="0"/>
    <n v="0"/>
    <s v="Success"/>
  </r>
  <r>
    <s v="TXN55043521"/>
    <x v="3643"/>
    <x v="7"/>
    <x v="2"/>
    <n v="1354"/>
    <x v="0"/>
    <x v="5"/>
    <x v="0"/>
    <n v="0"/>
    <n v="0"/>
    <n v="0"/>
    <s v="Success"/>
  </r>
  <r>
    <s v="TXN28296682"/>
    <x v="3644"/>
    <x v="4"/>
    <x v="2"/>
    <n v="2028"/>
    <x v="0"/>
    <x v="3"/>
    <x v="0"/>
    <n v="0"/>
    <n v="0"/>
    <n v="0"/>
    <s v="Success"/>
  </r>
  <r>
    <s v="TXN22657458"/>
    <x v="3645"/>
    <x v="2"/>
    <x v="1"/>
    <n v="17230"/>
    <x v="0"/>
    <x v="5"/>
    <x v="0"/>
    <n v="5"/>
    <n v="0"/>
    <n v="5"/>
    <s v="Success"/>
  </r>
  <r>
    <s v="TXN91101071"/>
    <x v="3646"/>
    <x v="6"/>
    <x v="3"/>
    <n v="108358"/>
    <x v="0"/>
    <x v="8"/>
    <x v="0"/>
    <n v="0"/>
    <n v="0"/>
    <n v="0"/>
    <s v="Success"/>
  </r>
  <r>
    <s v="TXN53447789"/>
    <x v="3647"/>
    <x v="3"/>
    <x v="2"/>
    <n v="3399"/>
    <x v="1"/>
    <x v="1"/>
    <x v="0"/>
    <n v="0"/>
    <n v="0"/>
    <n v="0"/>
    <s v="Failed"/>
  </r>
  <r>
    <s v="TXN69069264"/>
    <x v="3648"/>
    <x v="7"/>
    <x v="4"/>
    <n v="84620"/>
    <x v="1"/>
    <x v="6"/>
    <x v="3"/>
    <n v="846.2"/>
    <n v="0"/>
    <n v="846.2"/>
    <s v="Success"/>
  </r>
  <r>
    <s v="TXN10723778"/>
    <x v="3649"/>
    <x v="7"/>
    <x v="2"/>
    <n v="3851"/>
    <x v="0"/>
    <x v="7"/>
    <x v="0"/>
    <n v="0"/>
    <n v="0"/>
    <n v="0"/>
    <s v="Success"/>
  </r>
  <r>
    <s v="TXN46019960"/>
    <x v="3650"/>
    <x v="4"/>
    <x v="0"/>
    <n v="58500"/>
    <x v="1"/>
    <x v="7"/>
    <x v="0"/>
    <n v="1082.25"/>
    <n v="432.9"/>
    <n v="649.35"/>
    <s v="Success"/>
  </r>
  <r>
    <s v="TXN85937796"/>
    <x v="3651"/>
    <x v="5"/>
    <x v="0"/>
    <n v="74000"/>
    <x v="0"/>
    <x v="3"/>
    <x v="0"/>
    <n v="1369"/>
    <n v="547.6"/>
    <n v="821.4"/>
    <s v="Success"/>
  </r>
  <r>
    <s v="TXN88556736"/>
    <x v="3652"/>
    <x v="2"/>
    <x v="0"/>
    <n v="233000"/>
    <x v="0"/>
    <x v="5"/>
    <x v="0"/>
    <n v="4310.5"/>
    <n v="1724.2"/>
    <n v="2586.3000000000002"/>
    <s v="Success"/>
  </r>
  <r>
    <s v="TXN34562545"/>
    <x v="3653"/>
    <x v="7"/>
    <x v="1"/>
    <n v="69134"/>
    <x v="0"/>
    <x v="4"/>
    <x v="0"/>
    <n v="5"/>
    <n v="0"/>
    <n v="5"/>
    <s v="Success"/>
  </r>
  <r>
    <s v="TXN49658221"/>
    <x v="3654"/>
    <x v="1"/>
    <x v="0"/>
    <n v="2500"/>
    <x v="0"/>
    <x v="6"/>
    <x v="0"/>
    <n v="46.25"/>
    <n v="18.5"/>
    <n v="27.75"/>
    <s v="Success"/>
  </r>
  <r>
    <s v="TXN29564216"/>
    <x v="3655"/>
    <x v="6"/>
    <x v="1"/>
    <n v="134025"/>
    <x v="0"/>
    <x v="2"/>
    <x v="0"/>
    <n v="5"/>
    <n v="0"/>
    <n v="5"/>
    <s v="Success"/>
  </r>
  <r>
    <s v="TXN73611319"/>
    <x v="3656"/>
    <x v="0"/>
    <x v="4"/>
    <n v="130700"/>
    <x v="0"/>
    <x v="5"/>
    <x v="2"/>
    <n v="1307"/>
    <n v="0"/>
    <n v="1307"/>
    <s v="Success"/>
  </r>
  <r>
    <s v="TXN15017175"/>
    <x v="3657"/>
    <x v="7"/>
    <x v="2"/>
    <n v="2120"/>
    <x v="1"/>
    <x v="8"/>
    <x v="0"/>
    <n v="0"/>
    <n v="0"/>
    <n v="0"/>
    <s v="Success"/>
  </r>
  <r>
    <s v="TXN27439377"/>
    <x v="3658"/>
    <x v="6"/>
    <x v="2"/>
    <n v="4051"/>
    <x v="1"/>
    <x v="1"/>
    <x v="0"/>
    <n v="0"/>
    <n v="0"/>
    <n v="0"/>
    <s v="Success"/>
  </r>
  <r>
    <s v="TXN21893637"/>
    <x v="3659"/>
    <x v="6"/>
    <x v="3"/>
    <n v="26462"/>
    <x v="0"/>
    <x v="2"/>
    <x v="0"/>
    <n v="0"/>
    <n v="0"/>
    <n v="0"/>
    <s v="Success"/>
  </r>
  <r>
    <s v="TXN45121185"/>
    <x v="3660"/>
    <x v="4"/>
    <x v="1"/>
    <n v="79512"/>
    <x v="0"/>
    <x v="0"/>
    <x v="0"/>
    <n v="5"/>
    <n v="0"/>
    <n v="5"/>
    <s v="Success"/>
  </r>
  <r>
    <s v="TXN88623629"/>
    <x v="3661"/>
    <x v="2"/>
    <x v="1"/>
    <n v="76868"/>
    <x v="1"/>
    <x v="8"/>
    <x v="0"/>
    <n v="5"/>
    <n v="0"/>
    <n v="5"/>
    <s v="Success"/>
  </r>
  <r>
    <s v="TXN30744724"/>
    <x v="3662"/>
    <x v="2"/>
    <x v="0"/>
    <n v="152000"/>
    <x v="0"/>
    <x v="0"/>
    <x v="0"/>
    <n v="2812"/>
    <n v="1124.8"/>
    <n v="1687.2"/>
    <s v="Success"/>
  </r>
  <r>
    <s v="TXN31108220"/>
    <x v="3663"/>
    <x v="3"/>
    <x v="3"/>
    <n v="84246"/>
    <x v="0"/>
    <x v="1"/>
    <x v="0"/>
    <n v="0"/>
    <n v="0"/>
    <n v="0"/>
    <s v="Success"/>
  </r>
  <r>
    <s v="TXN38055178"/>
    <x v="3664"/>
    <x v="1"/>
    <x v="0"/>
    <n v="222000"/>
    <x v="0"/>
    <x v="6"/>
    <x v="0"/>
    <n v="4107"/>
    <n v="1642.8"/>
    <n v="2464.1999999999998"/>
    <s v="Success"/>
  </r>
  <r>
    <s v="TXN28563549"/>
    <x v="3665"/>
    <x v="2"/>
    <x v="0"/>
    <n v="73000"/>
    <x v="2"/>
    <x v="5"/>
    <x v="0"/>
    <n v="1350.5"/>
    <n v="540.20000000000005"/>
    <n v="810.3"/>
    <s v="Success"/>
  </r>
  <r>
    <s v="TXN20829932"/>
    <x v="3666"/>
    <x v="7"/>
    <x v="3"/>
    <n v="149025"/>
    <x v="0"/>
    <x v="6"/>
    <x v="0"/>
    <n v="0"/>
    <n v="0"/>
    <n v="0"/>
    <s v="Success"/>
  </r>
  <r>
    <s v="TXN80779633"/>
    <x v="3667"/>
    <x v="4"/>
    <x v="2"/>
    <n v="1814"/>
    <x v="0"/>
    <x v="4"/>
    <x v="0"/>
    <n v="0"/>
    <n v="0"/>
    <n v="0"/>
    <s v="Success"/>
  </r>
  <r>
    <s v="TXN17260093"/>
    <x v="3668"/>
    <x v="6"/>
    <x v="0"/>
    <n v="137000"/>
    <x v="0"/>
    <x v="5"/>
    <x v="0"/>
    <n v="2534.5"/>
    <n v="1013.8"/>
    <n v="1520.7"/>
    <s v="Success"/>
  </r>
  <r>
    <s v="TXN63487869"/>
    <x v="3669"/>
    <x v="0"/>
    <x v="2"/>
    <n v="832"/>
    <x v="0"/>
    <x v="0"/>
    <x v="0"/>
    <n v="0"/>
    <n v="0"/>
    <n v="0"/>
    <s v="Success"/>
  </r>
  <r>
    <s v="TXN79316150"/>
    <x v="3670"/>
    <x v="0"/>
    <x v="4"/>
    <n v="101020"/>
    <x v="0"/>
    <x v="7"/>
    <x v="4"/>
    <n v="1010.2"/>
    <n v="0"/>
    <n v="1010.2"/>
    <s v="Success"/>
  </r>
  <r>
    <s v="TXN19909935"/>
    <x v="3671"/>
    <x v="1"/>
    <x v="0"/>
    <n v="209500"/>
    <x v="1"/>
    <x v="5"/>
    <x v="0"/>
    <n v="3875.75"/>
    <n v="1550.3"/>
    <n v="2325.4499999999998"/>
    <s v="Success"/>
  </r>
  <r>
    <s v="TXN79438824"/>
    <x v="3672"/>
    <x v="4"/>
    <x v="4"/>
    <n v="22466"/>
    <x v="1"/>
    <x v="3"/>
    <x v="3"/>
    <n v="224.66"/>
    <n v="0"/>
    <n v="224.66"/>
    <s v="Success"/>
  </r>
  <r>
    <s v="TXN67359702"/>
    <x v="3673"/>
    <x v="6"/>
    <x v="1"/>
    <n v="70664"/>
    <x v="0"/>
    <x v="4"/>
    <x v="0"/>
    <n v="5"/>
    <n v="0"/>
    <n v="5"/>
    <s v="Success"/>
  </r>
  <r>
    <s v="TXN59768360"/>
    <x v="3674"/>
    <x v="5"/>
    <x v="0"/>
    <n v="146000"/>
    <x v="0"/>
    <x v="3"/>
    <x v="0"/>
    <n v="2701"/>
    <n v="1080.4000000000001"/>
    <n v="1620.6"/>
    <s v="Success"/>
  </r>
  <r>
    <s v="TXN99187770"/>
    <x v="3675"/>
    <x v="3"/>
    <x v="0"/>
    <n v="136000"/>
    <x v="0"/>
    <x v="5"/>
    <x v="0"/>
    <n v="2516"/>
    <n v="1006.4"/>
    <n v="1509.6"/>
    <s v="Success"/>
  </r>
  <r>
    <s v="TXN52922173"/>
    <x v="3676"/>
    <x v="3"/>
    <x v="4"/>
    <n v="93571"/>
    <x v="1"/>
    <x v="0"/>
    <x v="5"/>
    <n v="935.71"/>
    <n v="0"/>
    <n v="935.71"/>
    <s v="Failed"/>
  </r>
  <r>
    <s v="TXN57034652"/>
    <x v="3677"/>
    <x v="5"/>
    <x v="3"/>
    <n v="123730"/>
    <x v="0"/>
    <x v="4"/>
    <x v="0"/>
    <n v="0"/>
    <n v="0"/>
    <n v="0"/>
    <s v="Success"/>
  </r>
  <r>
    <s v="TXN18181360"/>
    <x v="3678"/>
    <x v="7"/>
    <x v="2"/>
    <n v="4597"/>
    <x v="0"/>
    <x v="4"/>
    <x v="0"/>
    <n v="0"/>
    <n v="0"/>
    <n v="0"/>
    <s v="Success"/>
  </r>
  <r>
    <s v="TXN95663821"/>
    <x v="3679"/>
    <x v="0"/>
    <x v="4"/>
    <n v="128415"/>
    <x v="0"/>
    <x v="2"/>
    <x v="3"/>
    <n v="1284.1500000000001"/>
    <n v="0"/>
    <n v="1284.1500000000001"/>
    <s v="Success"/>
  </r>
  <r>
    <s v="TXN61113210"/>
    <x v="3680"/>
    <x v="6"/>
    <x v="2"/>
    <n v="1958"/>
    <x v="0"/>
    <x v="5"/>
    <x v="0"/>
    <n v="0"/>
    <n v="0"/>
    <n v="0"/>
    <s v="Success"/>
  </r>
  <r>
    <s v="TXN18928888"/>
    <x v="3681"/>
    <x v="1"/>
    <x v="1"/>
    <n v="31440"/>
    <x v="0"/>
    <x v="3"/>
    <x v="0"/>
    <n v="5"/>
    <n v="0"/>
    <n v="5"/>
    <s v="Success"/>
  </r>
  <r>
    <s v="TXN55510052"/>
    <x v="3682"/>
    <x v="1"/>
    <x v="1"/>
    <n v="119644"/>
    <x v="0"/>
    <x v="7"/>
    <x v="0"/>
    <n v="5"/>
    <n v="0"/>
    <n v="5"/>
    <s v="Success"/>
  </r>
  <r>
    <s v="TXN97372316"/>
    <x v="3683"/>
    <x v="6"/>
    <x v="0"/>
    <n v="11000"/>
    <x v="0"/>
    <x v="7"/>
    <x v="0"/>
    <n v="203.5"/>
    <n v="81.400000000000006"/>
    <n v="122.1"/>
    <s v="Success"/>
  </r>
  <r>
    <s v="TXN90816983"/>
    <x v="3684"/>
    <x v="4"/>
    <x v="3"/>
    <n v="81609"/>
    <x v="0"/>
    <x v="4"/>
    <x v="0"/>
    <n v="0"/>
    <n v="0"/>
    <n v="0"/>
    <s v="Success"/>
  </r>
  <r>
    <s v="TXN12994056"/>
    <x v="3685"/>
    <x v="7"/>
    <x v="3"/>
    <n v="127499"/>
    <x v="0"/>
    <x v="8"/>
    <x v="0"/>
    <n v="0"/>
    <n v="0"/>
    <n v="0"/>
    <s v="Success"/>
  </r>
  <r>
    <s v="TXN32914422"/>
    <x v="3686"/>
    <x v="1"/>
    <x v="1"/>
    <n v="132364"/>
    <x v="0"/>
    <x v="0"/>
    <x v="0"/>
    <n v="5"/>
    <n v="0"/>
    <n v="5"/>
    <s v="Success"/>
  </r>
  <r>
    <s v="TXN23505544"/>
    <x v="3687"/>
    <x v="7"/>
    <x v="1"/>
    <n v="2259"/>
    <x v="2"/>
    <x v="0"/>
    <x v="0"/>
    <n v="5"/>
    <n v="0"/>
    <n v="5"/>
    <s v="Success"/>
  </r>
  <r>
    <s v="TXN13325641"/>
    <x v="3688"/>
    <x v="5"/>
    <x v="3"/>
    <n v="82445"/>
    <x v="0"/>
    <x v="0"/>
    <x v="0"/>
    <n v="0"/>
    <n v="0"/>
    <n v="0"/>
    <s v="Success"/>
  </r>
  <r>
    <s v="TXN61202775"/>
    <x v="3689"/>
    <x v="0"/>
    <x v="2"/>
    <n v="2009"/>
    <x v="0"/>
    <x v="0"/>
    <x v="0"/>
    <n v="0"/>
    <n v="0"/>
    <n v="0"/>
    <s v="Success"/>
  </r>
  <r>
    <s v="TXN55856495"/>
    <x v="3690"/>
    <x v="1"/>
    <x v="1"/>
    <n v="131972"/>
    <x v="2"/>
    <x v="6"/>
    <x v="0"/>
    <n v="5"/>
    <n v="0"/>
    <n v="5"/>
    <s v="Success"/>
  </r>
  <r>
    <s v="TXN71534545"/>
    <x v="3691"/>
    <x v="7"/>
    <x v="4"/>
    <n v="109178"/>
    <x v="0"/>
    <x v="8"/>
    <x v="4"/>
    <n v="1091.78"/>
    <n v="0"/>
    <n v="1091.78"/>
    <s v="Success"/>
  </r>
  <r>
    <s v="TXN43778793"/>
    <x v="3692"/>
    <x v="3"/>
    <x v="0"/>
    <n v="80000"/>
    <x v="0"/>
    <x v="7"/>
    <x v="0"/>
    <n v="1480"/>
    <n v="592"/>
    <n v="888"/>
    <s v="Success"/>
  </r>
  <r>
    <s v="TXN20644069"/>
    <x v="3693"/>
    <x v="7"/>
    <x v="0"/>
    <n v="195000"/>
    <x v="0"/>
    <x v="0"/>
    <x v="0"/>
    <n v="3607.5"/>
    <n v="1443"/>
    <n v="2164.5"/>
    <s v="Success"/>
  </r>
  <r>
    <s v="TXN63093259"/>
    <x v="3694"/>
    <x v="4"/>
    <x v="2"/>
    <n v="4577"/>
    <x v="0"/>
    <x v="5"/>
    <x v="0"/>
    <n v="0"/>
    <n v="0"/>
    <n v="0"/>
    <s v="Success"/>
  </r>
  <r>
    <s v="TXN52659750"/>
    <x v="3695"/>
    <x v="4"/>
    <x v="3"/>
    <n v="81207"/>
    <x v="0"/>
    <x v="5"/>
    <x v="0"/>
    <n v="0"/>
    <n v="0"/>
    <n v="0"/>
    <s v="Success"/>
  </r>
  <r>
    <s v="TXN28990981"/>
    <x v="3696"/>
    <x v="2"/>
    <x v="3"/>
    <n v="78951"/>
    <x v="0"/>
    <x v="6"/>
    <x v="0"/>
    <n v="0"/>
    <n v="0"/>
    <n v="0"/>
    <s v="Success"/>
  </r>
  <r>
    <s v="TXN47633169"/>
    <x v="3697"/>
    <x v="3"/>
    <x v="3"/>
    <n v="70919"/>
    <x v="0"/>
    <x v="6"/>
    <x v="0"/>
    <n v="0"/>
    <n v="0"/>
    <n v="0"/>
    <s v="Success"/>
  </r>
  <r>
    <s v="TXN21762766"/>
    <x v="3698"/>
    <x v="4"/>
    <x v="1"/>
    <n v="118864"/>
    <x v="0"/>
    <x v="4"/>
    <x v="0"/>
    <n v="5"/>
    <n v="0"/>
    <n v="5"/>
    <s v="Success"/>
  </r>
  <r>
    <s v="TXN50379946"/>
    <x v="3699"/>
    <x v="4"/>
    <x v="0"/>
    <n v="76000"/>
    <x v="0"/>
    <x v="3"/>
    <x v="0"/>
    <n v="1406"/>
    <n v="562.4"/>
    <n v="843.6"/>
    <s v="Success"/>
  </r>
  <r>
    <s v="TXN99441722"/>
    <x v="3700"/>
    <x v="2"/>
    <x v="3"/>
    <n v="24402"/>
    <x v="0"/>
    <x v="8"/>
    <x v="0"/>
    <n v="0"/>
    <n v="0"/>
    <n v="0"/>
    <s v="Success"/>
  </r>
  <r>
    <s v="TXN52616930"/>
    <x v="3701"/>
    <x v="3"/>
    <x v="2"/>
    <n v="3478"/>
    <x v="2"/>
    <x v="5"/>
    <x v="0"/>
    <n v="0"/>
    <n v="0"/>
    <n v="0"/>
    <s v="Success"/>
  </r>
  <r>
    <s v="TXN15805399"/>
    <x v="3702"/>
    <x v="4"/>
    <x v="3"/>
    <n v="146622"/>
    <x v="0"/>
    <x v="4"/>
    <x v="0"/>
    <n v="0"/>
    <n v="0"/>
    <n v="0"/>
    <s v="Success"/>
  </r>
  <r>
    <s v="TXN42311855"/>
    <x v="3703"/>
    <x v="5"/>
    <x v="0"/>
    <n v="141500"/>
    <x v="0"/>
    <x v="5"/>
    <x v="0"/>
    <n v="2617.75"/>
    <n v="1047.0999999999999"/>
    <n v="1570.65"/>
    <s v="Failed"/>
  </r>
  <r>
    <s v="TXN60559107"/>
    <x v="3704"/>
    <x v="5"/>
    <x v="4"/>
    <n v="111808"/>
    <x v="0"/>
    <x v="6"/>
    <x v="3"/>
    <n v="1118.08"/>
    <n v="0"/>
    <n v="1118.08"/>
    <s v="Success"/>
  </r>
  <r>
    <s v="TXN94587562"/>
    <x v="3705"/>
    <x v="6"/>
    <x v="0"/>
    <n v="112000"/>
    <x v="0"/>
    <x v="3"/>
    <x v="0"/>
    <n v="2072"/>
    <n v="828.8"/>
    <n v="1243.2"/>
    <s v="Success"/>
  </r>
  <r>
    <s v="TXN72257688"/>
    <x v="3706"/>
    <x v="7"/>
    <x v="2"/>
    <n v="439"/>
    <x v="0"/>
    <x v="7"/>
    <x v="0"/>
    <n v="0"/>
    <n v="0"/>
    <n v="0"/>
    <s v="Success"/>
  </r>
  <r>
    <s v="TXN28857520"/>
    <x v="3707"/>
    <x v="3"/>
    <x v="2"/>
    <n v="4523"/>
    <x v="0"/>
    <x v="1"/>
    <x v="0"/>
    <n v="0"/>
    <n v="0"/>
    <n v="0"/>
    <s v="Failed"/>
  </r>
  <r>
    <s v="TXN16608834"/>
    <x v="3708"/>
    <x v="4"/>
    <x v="2"/>
    <n v="2799"/>
    <x v="0"/>
    <x v="5"/>
    <x v="0"/>
    <n v="0"/>
    <n v="0"/>
    <n v="0"/>
    <s v="Success"/>
  </r>
  <r>
    <s v="TXN63041800"/>
    <x v="3709"/>
    <x v="4"/>
    <x v="0"/>
    <n v="147000"/>
    <x v="0"/>
    <x v="8"/>
    <x v="0"/>
    <n v="2719.5"/>
    <n v="1087.8"/>
    <n v="1631.7"/>
    <s v="Success"/>
  </r>
  <r>
    <s v="TXN51338916"/>
    <x v="3710"/>
    <x v="2"/>
    <x v="3"/>
    <n v="61792"/>
    <x v="0"/>
    <x v="2"/>
    <x v="0"/>
    <n v="0"/>
    <n v="0"/>
    <n v="0"/>
    <s v="Success"/>
  </r>
  <r>
    <s v="TXN49569059"/>
    <x v="3711"/>
    <x v="7"/>
    <x v="3"/>
    <n v="83638"/>
    <x v="0"/>
    <x v="6"/>
    <x v="0"/>
    <n v="0"/>
    <n v="0"/>
    <n v="0"/>
    <s v="Success"/>
  </r>
  <r>
    <s v="TXN65078751"/>
    <x v="3712"/>
    <x v="7"/>
    <x v="2"/>
    <n v="3995"/>
    <x v="0"/>
    <x v="4"/>
    <x v="0"/>
    <n v="0"/>
    <n v="0"/>
    <n v="0"/>
    <s v="Success"/>
  </r>
  <r>
    <s v="TXN42744936"/>
    <x v="3713"/>
    <x v="4"/>
    <x v="0"/>
    <n v="186000"/>
    <x v="0"/>
    <x v="6"/>
    <x v="0"/>
    <n v="3441"/>
    <n v="1376.4"/>
    <n v="2064.6"/>
    <s v="Failed"/>
  </r>
  <r>
    <s v="TXN87882544"/>
    <x v="3714"/>
    <x v="2"/>
    <x v="3"/>
    <n v="52137"/>
    <x v="2"/>
    <x v="5"/>
    <x v="0"/>
    <n v="0"/>
    <n v="0"/>
    <n v="0"/>
    <s v="Success"/>
  </r>
  <r>
    <s v="TXN36218793"/>
    <x v="3715"/>
    <x v="3"/>
    <x v="2"/>
    <n v="4440"/>
    <x v="2"/>
    <x v="0"/>
    <x v="0"/>
    <n v="0"/>
    <n v="0"/>
    <n v="0"/>
    <s v="Success"/>
  </r>
  <r>
    <s v="TXN77699848"/>
    <x v="3716"/>
    <x v="5"/>
    <x v="4"/>
    <n v="122559"/>
    <x v="0"/>
    <x v="0"/>
    <x v="5"/>
    <n v="1225.5899999999999"/>
    <n v="0"/>
    <n v="1225.5899999999999"/>
    <s v="Success"/>
  </r>
  <r>
    <s v="TXN14206498"/>
    <x v="3717"/>
    <x v="1"/>
    <x v="2"/>
    <n v="4427"/>
    <x v="0"/>
    <x v="1"/>
    <x v="0"/>
    <n v="0"/>
    <n v="0"/>
    <n v="0"/>
    <s v="Success"/>
  </r>
  <r>
    <s v="TXN57726470"/>
    <x v="3718"/>
    <x v="4"/>
    <x v="2"/>
    <n v="3334"/>
    <x v="0"/>
    <x v="2"/>
    <x v="0"/>
    <n v="0"/>
    <n v="0"/>
    <n v="0"/>
    <s v="Success"/>
  </r>
  <r>
    <s v="TXN28827690"/>
    <x v="3719"/>
    <x v="1"/>
    <x v="2"/>
    <n v="2218"/>
    <x v="0"/>
    <x v="3"/>
    <x v="0"/>
    <n v="0"/>
    <n v="0"/>
    <n v="0"/>
    <s v="Success"/>
  </r>
  <r>
    <s v="TXN54704602"/>
    <x v="3720"/>
    <x v="6"/>
    <x v="0"/>
    <n v="90500"/>
    <x v="1"/>
    <x v="6"/>
    <x v="0"/>
    <n v="1674.25"/>
    <n v="669.7"/>
    <n v="1004.55"/>
    <s v="Success"/>
  </r>
  <r>
    <s v="TXN15319937"/>
    <x v="3721"/>
    <x v="1"/>
    <x v="3"/>
    <n v="30586"/>
    <x v="0"/>
    <x v="4"/>
    <x v="0"/>
    <n v="0"/>
    <n v="0"/>
    <n v="0"/>
    <s v="Success"/>
  </r>
  <r>
    <s v="TXN15314638"/>
    <x v="3722"/>
    <x v="1"/>
    <x v="4"/>
    <n v="132353"/>
    <x v="0"/>
    <x v="7"/>
    <x v="3"/>
    <n v="1323.53"/>
    <n v="0"/>
    <n v="1323.53"/>
    <s v="Success"/>
  </r>
  <r>
    <s v="TXN89476287"/>
    <x v="3723"/>
    <x v="0"/>
    <x v="4"/>
    <n v="83604"/>
    <x v="2"/>
    <x v="0"/>
    <x v="5"/>
    <n v="836.04"/>
    <n v="0"/>
    <n v="836.04"/>
    <s v="Success"/>
  </r>
  <r>
    <s v="TXN55325838"/>
    <x v="3724"/>
    <x v="5"/>
    <x v="4"/>
    <n v="28086"/>
    <x v="0"/>
    <x v="8"/>
    <x v="4"/>
    <n v="280.86"/>
    <n v="0"/>
    <n v="280.86"/>
    <s v="Success"/>
  </r>
  <r>
    <s v="TXN91810283"/>
    <x v="3725"/>
    <x v="2"/>
    <x v="0"/>
    <n v="104500"/>
    <x v="0"/>
    <x v="5"/>
    <x v="0"/>
    <n v="1933.25"/>
    <n v="773.3"/>
    <n v="1159.95"/>
    <s v="Success"/>
  </r>
  <r>
    <s v="TXN90904032"/>
    <x v="3726"/>
    <x v="4"/>
    <x v="3"/>
    <n v="61950"/>
    <x v="1"/>
    <x v="7"/>
    <x v="0"/>
    <n v="0"/>
    <n v="0"/>
    <n v="0"/>
    <s v="Success"/>
  </r>
  <r>
    <s v="TXN19192552"/>
    <x v="3727"/>
    <x v="7"/>
    <x v="3"/>
    <n v="9781"/>
    <x v="2"/>
    <x v="1"/>
    <x v="0"/>
    <n v="0"/>
    <n v="0"/>
    <n v="0"/>
    <s v="Success"/>
  </r>
  <r>
    <s v="TXN78490133"/>
    <x v="3728"/>
    <x v="0"/>
    <x v="1"/>
    <n v="50612"/>
    <x v="0"/>
    <x v="6"/>
    <x v="0"/>
    <n v="5"/>
    <n v="0"/>
    <n v="5"/>
    <s v="Success"/>
  </r>
  <r>
    <s v="TXN93580580"/>
    <x v="3729"/>
    <x v="6"/>
    <x v="4"/>
    <n v="38770"/>
    <x v="1"/>
    <x v="7"/>
    <x v="1"/>
    <n v="387.7"/>
    <n v="0"/>
    <n v="387.7"/>
    <s v="Success"/>
  </r>
  <r>
    <s v="TXN85923801"/>
    <x v="3730"/>
    <x v="6"/>
    <x v="1"/>
    <n v="93093"/>
    <x v="0"/>
    <x v="7"/>
    <x v="0"/>
    <n v="5"/>
    <n v="0"/>
    <n v="5"/>
    <s v="Success"/>
  </r>
  <r>
    <s v="TXN97968099"/>
    <x v="3731"/>
    <x v="2"/>
    <x v="1"/>
    <n v="17635"/>
    <x v="0"/>
    <x v="1"/>
    <x v="0"/>
    <n v="5"/>
    <n v="0"/>
    <n v="5"/>
    <s v="Success"/>
  </r>
  <r>
    <s v="TXN16721747"/>
    <x v="3732"/>
    <x v="2"/>
    <x v="2"/>
    <n v="3842"/>
    <x v="1"/>
    <x v="8"/>
    <x v="0"/>
    <n v="0"/>
    <n v="0"/>
    <n v="0"/>
    <s v="Success"/>
  </r>
  <r>
    <s v="TXN38827702"/>
    <x v="3733"/>
    <x v="5"/>
    <x v="2"/>
    <n v="375"/>
    <x v="0"/>
    <x v="2"/>
    <x v="0"/>
    <n v="0"/>
    <n v="0"/>
    <n v="0"/>
    <s v="Success"/>
  </r>
  <r>
    <s v="TXN26000329"/>
    <x v="3734"/>
    <x v="3"/>
    <x v="1"/>
    <n v="65594"/>
    <x v="0"/>
    <x v="3"/>
    <x v="0"/>
    <n v="5"/>
    <n v="0"/>
    <n v="5"/>
    <s v="Success"/>
  </r>
  <r>
    <s v="TXN56088214"/>
    <x v="3735"/>
    <x v="2"/>
    <x v="2"/>
    <n v="590"/>
    <x v="0"/>
    <x v="2"/>
    <x v="0"/>
    <n v="0"/>
    <n v="0"/>
    <n v="0"/>
    <s v="Success"/>
  </r>
  <r>
    <s v="TXN65921697"/>
    <x v="3736"/>
    <x v="0"/>
    <x v="2"/>
    <n v="2204"/>
    <x v="1"/>
    <x v="0"/>
    <x v="0"/>
    <n v="0"/>
    <n v="0"/>
    <n v="0"/>
    <s v="Success"/>
  </r>
  <r>
    <s v="TXN20179852"/>
    <x v="3737"/>
    <x v="4"/>
    <x v="2"/>
    <n v="705"/>
    <x v="0"/>
    <x v="1"/>
    <x v="0"/>
    <n v="0"/>
    <n v="0"/>
    <n v="0"/>
    <s v="Success"/>
  </r>
  <r>
    <s v="TXN43520624"/>
    <x v="3738"/>
    <x v="7"/>
    <x v="1"/>
    <n v="80517"/>
    <x v="0"/>
    <x v="5"/>
    <x v="0"/>
    <n v="5"/>
    <n v="0"/>
    <n v="5"/>
    <s v="Success"/>
  </r>
  <r>
    <s v="TXN94948196"/>
    <x v="3739"/>
    <x v="0"/>
    <x v="3"/>
    <n v="76295"/>
    <x v="1"/>
    <x v="4"/>
    <x v="0"/>
    <n v="0"/>
    <n v="0"/>
    <n v="0"/>
    <s v="Success"/>
  </r>
  <r>
    <s v="TXN14594714"/>
    <x v="3740"/>
    <x v="3"/>
    <x v="2"/>
    <n v="3215"/>
    <x v="0"/>
    <x v="4"/>
    <x v="0"/>
    <n v="0"/>
    <n v="0"/>
    <n v="0"/>
    <s v="Success"/>
  </r>
  <r>
    <s v="TXN64289411"/>
    <x v="3741"/>
    <x v="2"/>
    <x v="1"/>
    <n v="22312"/>
    <x v="0"/>
    <x v="3"/>
    <x v="0"/>
    <n v="5"/>
    <n v="0"/>
    <n v="5"/>
    <s v="Success"/>
  </r>
  <r>
    <s v="TXN87629811"/>
    <x v="3742"/>
    <x v="2"/>
    <x v="3"/>
    <n v="67453"/>
    <x v="0"/>
    <x v="5"/>
    <x v="0"/>
    <n v="0"/>
    <n v="0"/>
    <n v="0"/>
    <s v="Success"/>
  </r>
  <r>
    <s v="TXN46942084"/>
    <x v="3743"/>
    <x v="6"/>
    <x v="3"/>
    <n v="82298"/>
    <x v="0"/>
    <x v="4"/>
    <x v="0"/>
    <n v="0"/>
    <n v="0"/>
    <n v="0"/>
    <s v="Success"/>
  </r>
  <r>
    <s v="TXN78165696"/>
    <x v="3744"/>
    <x v="7"/>
    <x v="1"/>
    <n v="53347"/>
    <x v="0"/>
    <x v="5"/>
    <x v="0"/>
    <n v="5"/>
    <n v="0"/>
    <n v="5"/>
    <s v="Success"/>
  </r>
  <r>
    <s v="TXN35636477"/>
    <x v="3745"/>
    <x v="3"/>
    <x v="4"/>
    <n v="3244"/>
    <x v="0"/>
    <x v="1"/>
    <x v="2"/>
    <n v="32.44"/>
    <n v="0"/>
    <n v="32.44"/>
    <s v="Success"/>
  </r>
  <r>
    <s v="TXN44396002"/>
    <x v="3746"/>
    <x v="4"/>
    <x v="1"/>
    <n v="135549"/>
    <x v="0"/>
    <x v="0"/>
    <x v="0"/>
    <n v="5"/>
    <n v="0"/>
    <n v="5"/>
    <s v="Success"/>
  </r>
  <r>
    <s v="TXN61581394"/>
    <x v="3747"/>
    <x v="5"/>
    <x v="2"/>
    <n v="661"/>
    <x v="0"/>
    <x v="4"/>
    <x v="0"/>
    <n v="0"/>
    <n v="0"/>
    <n v="0"/>
    <s v="Success"/>
  </r>
  <r>
    <s v="TXN78941243"/>
    <x v="3748"/>
    <x v="1"/>
    <x v="4"/>
    <n v="80146"/>
    <x v="2"/>
    <x v="4"/>
    <x v="5"/>
    <n v="801.46"/>
    <n v="0"/>
    <n v="801.46"/>
    <s v="Success"/>
  </r>
  <r>
    <s v="TXN76137818"/>
    <x v="3749"/>
    <x v="0"/>
    <x v="1"/>
    <n v="14395"/>
    <x v="0"/>
    <x v="1"/>
    <x v="0"/>
    <n v="5"/>
    <n v="0"/>
    <n v="5"/>
    <s v="Success"/>
  </r>
  <r>
    <s v="TXN37794015"/>
    <x v="3750"/>
    <x v="5"/>
    <x v="3"/>
    <n v="112595"/>
    <x v="0"/>
    <x v="5"/>
    <x v="0"/>
    <n v="0"/>
    <n v="0"/>
    <n v="0"/>
    <s v="Success"/>
  </r>
  <r>
    <s v="TXN66938563"/>
    <x v="3751"/>
    <x v="3"/>
    <x v="4"/>
    <n v="55355"/>
    <x v="1"/>
    <x v="5"/>
    <x v="2"/>
    <n v="553.54999999999995"/>
    <n v="0"/>
    <n v="553.54999999999995"/>
    <s v="Success"/>
  </r>
  <r>
    <s v="TXN81378174"/>
    <x v="3752"/>
    <x v="1"/>
    <x v="4"/>
    <n v="82560"/>
    <x v="1"/>
    <x v="4"/>
    <x v="2"/>
    <n v="825.6"/>
    <n v="0"/>
    <n v="825.6"/>
    <s v="Failed"/>
  </r>
  <r>
    <s v="TXN46003342"/>
    <x v="3753"/>
    <x v="0"/>
    <x v="4"/>
    <n v="2296"/>
    <x v="0"/>
    <x v="8"/>
    <x v="4"/>
    <n v="22.96"/>
    <n v="0"/>
    <n v="22.96"/>
    <s v="Success"/>
  </r>
  <r>
    <s v="TXN38004060"/>
    <x v="3754"/>
    <x v="5"/>
    <x v="2"/>
    <n v="1118"/>
    <x v="1"/>
    <x v="0"/>
    <x v="0"/>
    <n v="0"/>
    <n v="0"/>
    <n v="0"/>
    <s v="Success"/>
  </r>
  <r>
    <s v="TXN60174082"/>
    <x v="3755"/>
    <x v="5"/>
    <x v="4"/>
    <n v="123323"/>
    <x v="1"/>
    <x v="0"/>
    <x v="4"/>
    <n v="1233.23"/>
    <n v="0"/>
    <n v="1233.23"/>
    <s v="Failed"/>
  </r>
  <r>
    <s v="TXN62650824"/>
    <x v="3756"/>
    <x v="2"/>
    <x v="0"/>
    <n v="26000"/>
    <x v="0"/>
    <x v="5"/>
    <x v="0"/>
    <n v="481"/>
    <n v="192.4"/>
    <n v="288.60000000000002"/>
    <s v="Success"/>
  </r>
  <r>
    <s v="TXN25116425"/>
    <x v="3757"/>
    <x v="0"/>
    <x v="4"/>
    <n v="65621"/>
    <x v="0"/>
    <x v="2"/>
    <x v="4"/>
    <n v="656.21"/>
    <n v="0"/>
    <n v="656.21"/>
    <s v="Success"/>
  </r>
  <r>
    <s v="TXN96995947"/>
    <x v="3758"/>
    <x v="6"/>
    <x v="1"/>
    <n v="80123"/>
    <x v="1"/>
    <x v="0"/>
    <x v="0"/>
    <n v="5"/>
    <n v="0"/>
    <n v="5"/>
    <s v="Success"/>
  </r>
  <r>
    <s v="TXN36794689"/>
    <x v="3759"/>
    <x v="0"/>
    <x v="2"/>
    <n v="1617"/>
    <x v="0"/>
    <x v="6"/>
    <x v="0"/>
    <n v="0"/>
    <n v="0"/>
    <n v="0"/>
    <s v="Success"/>
  </r>
  <r>
    <s v="TXN71132504"/>
    <x v="3760"/>
    <x v="4"/>
    <x v="3"/>
    <n v="41545"/>
    <x v="0"/>
    <x v="5"/>
    <x v="0"/>
    <n v="0"/>
    <n v="0"/>
    <n v="0"/>
    <s v="Success"/>
  </r>
  <r>
    <s v="TXN98006019"/>
    <x v="3761"/>
    <x v="0"/>
    <x v="1"/>
    <n v="74027"/>
    <x v="1"/>
    <x v="1"/>
    <x v="0"/>
    <n v="5"/>
    <n v="0"/>
    <n v="5"/>
    <s v="Success"/>
  </r>
  <r>
    <s v="TXN39748228"/>
    <x v="3762"/>
    <x v="5"/>
    <x v="3"/>
    <n v="35682"/>
    <x v="0"/>
    <x v="0"/>
    <x v="0"/>
    <n v="0"/>
    <n v="0"/>
    <n v="0"/>
    <s v="Success"/>
  </r>
  <r>
    <s v="TXN27805901"/>
    <x v="3763"/>
    <x v="6"/>
    <x v="3"/>
    <n v="36347"/>
    <x v="0"/>
    <x v="6"/>
    <x v="0"/>
    <n v="0"/>
    <n v="0"/>
    <n v="0"/>
    <s v="Success"/>
  </r>
  <r>
    <s v="TXN96749784"/>
    <x v="3764"/>
    <x v="4"/>
    <x v="1"/>
    <n v="64604"/>
    <x v="1"/>
    <x v="6"/>
    <x v="0"/>
    <n v="5"/>
    <n v="0"/>
    <n v="5"/>
    <s v="Success"/>
  </r>
  <r>
    <s v="TXN23869557"/>
    <x v="3765"/>
    <x v="5"/>
    <x v="4"/>
    <n v="149408"/>
    <x v="0"/>
    <x v="4"/>
    <x v="3"/>
    <n v="1494.08"/>
    <n v="0"/>
    <n v="1494.08"/>
    <s v="Success"/>
  </r>
  <r>
    <s v="TXN38342613"/>
    <x v="3766"/>
    <x v="7"/>
    <x v="4"/>
    <n v="90649"/>
    <x v="0"/>
    <x v="7"/>
    <x v="4"/>
    <n v="906.49"/>
    <n v="0"/>
    <n v="906.49"/>
    <s v="Success"/>
  </r>
  <r>
    <s v="TXN58471167"/>
    <x v="3767"/>
    <x v="0"/>
    <x v="1"/>
    <n v="131561"/>
    <x v="2"/>
    <x v="3"/>
    <x v="0"/>
    <n v="5"/>
    <n v="0"/>
    <n v="5"/>
    <s v="Success"/>
  </r>
  <r>
    <s v="TXN79067974"/>
    <x v="3768"/>
    <x v="2"/>
    <x v="2"/>
    <n v="2149"/>
    <x v="1"/>
    <x v="5"/>
    <x v="0"/>
    <n v="0"/>
    <n v="0"/>
    <n v="0"/>
    <s v="Success"/>
  </r>
  <r>
    <s v="TXN48312030"/>
    <x v="3769"/>
    <x v="3"/>
    <x v="3"/>
    <n v="74477"/>
    <x v="0"/>
    <x v="7"/>
    <x v="0"/>
    <n v="0"/>
    <n v="0"/>
    <n v="0"/>
    <s v="Success"/>
  </r>
  <r>
    <s v="TXN17036837"/>
    <x v="3770"/>
    <x v="7"/>
    <x v="1"/>
    <n v="98330"/>
    <x v="0"/>
    <x v="8"/>
    <x v="0"/>
    <n v="5"/>
    <n v="0"/>
    <n v="5"/>
    <s v="Success"/>
  </r>
  <r>
    <s v="TXN98418419"/>
    <x v="3771"/>
    <x v="6"/>
    <x v="4"/>
    <n v="19310"/>
    <x v="2"/>
    <x v="0"/>
    <x v="1"/>
    <n v="193.1"/>
    <n v="0"/>
    <n v="193.1"/>
    <s v="Success"/>
  </r>
  <r>
    <s v="TXN49768109"/>
    <x v="3772"/>
    <x v="2"/>
    <x v="2"/>
    <n v="3004"/>
    <x v="1"/>
    <x v="2"/>
    <x v="0"/>
    <n v="0"/>
    <n v="0"/>
    <n v="0"/>
    <s v="Success"/>
  </r>
  <r>
    <s v="TXN30492762"/>
    <x v="3773"/>
    <x v="6"/>
    <x v="2"/>
    <n v="3896"/>
    <x v="0"/>
    <x v="0"/>
    <x v="0"/>
    <n v="0"/>
    <n v="0"/>
    <n v="0"/>
    <s v="Success"/>
  </r>
  <r>
    <s v="TXN92078283"/>
    <x v="3774"/>
    <x v="4"/>
    <x v="1"/>
    <n v="14073"/>
    <x v="0"/>
    <x v="1"/>
    <x v="0"/>
    <n v="5"/>
    <n v="0"/>
    <n v="5"/>
    <s v="Success"/>
  </r>
  <r>
    <s v="TXN30745803"/>
    <x v="3775"/>
    <x v="6"/>
    <x v="4"/>
    <n v="144369"/>
    <x v="0"/>
    <x v="3"/>
    <x v="4"/>
    <n v="1443.69"/>
    <n v="0"/>
    <n v="1443.69"/>
    <s v="Success"/>
  </r>
  <r>
    <s v="TXN76493138"/>
    <x v="3776"/>
    <x v="4"/>
    <x v="2"/>
    <n v="1302"/>
    <x v="0"/>
    <x v="5"/>
    <x v="0"/>
    <n v="0"/>
    <n v="0"/>
    <n v="0"/>
    <s v="Success"/>
  </r>
  <r>
    <s v="TXN18268507"/>
    <x v="3777"/>
    <x v="5"/>
    <x v="3"/>
    <n v="39741"/>
    <x v="0"/>
    <x v="4"/>
    <x v="0"/>
    <n v="0"/>
    <n v="0"/>
    <n v="0"/>
    <s v="Success"/>
  </r>
  <r>
    <s v="TXN25281733"/>
    <x v="3778"/>
    <x v="7"/>
    <x v="2"/>
    <n v="1302"/>
    <x v="0"/>
    <x v="7"/>
    <x v="0"/>
    <n v="0"/>
    <n v="0"/>
    <n v="0"/>
    <s v="Success"/>
  </r>
  <r>
    <s v="TXN42376291"/>
    <x v="3779"/>
    <x v="6"/>
    <x v="1"/>
    <n v="106106"/>
    <x v="0"/>
    <x v="7"/>
    <x v="0"/>
    <n v="5"/>
    <n v="0"/>
    <n v="5"/>
    <s v="Success"/>
  </r>
  <r>
    <s v="TXN77174525"/>
    <x v="3780"/>
    <x v="0"/>
    <x v="2"/>
    <n v="1476"/>
    <x v="0"/>
    <x v="5"/>
    <x v="0"/>
    <n v="0"/>
    <n v="0"/>
    <n v="0"/>
    <s v="Success"/>
  </r>
  <r>
    <s v="TXN31108766"/>
    <x v="3781"/>
    <x v="3"/>
    <x v="3"/>
    <n v="128570"/>
    <x v="0"/>
    <x v="4"/>
    <x v="0"/>
    <n v="0"/>
    <n v="0"/>
    <n v="0"/>
    <s v="Success"/>
  </r>
  <r>
    <s v="TXN95655311"/>
    <x v="3782"/>
    <x v="3"/>
    <x v="0"/>
    <n v="145000"/>
    <x v="0"/>
    <x v="3"/>
    <x v="0"/>
    <n v="2682.5"/>
    <n v="1073"/>
    <n v="1609.5"/>
    <s v="Failed"/>
  </r>
  <r>
    <s v="TXN67072161"/>
    <x v="3783"/>
    <x v="5"/>
    <x v="4"/>
    <n v="133162"/>
    <x v="0"/>
    <x v="1"/>
    <x v="3"/>
    <n v="1331.62"/>
    <n v="0"/>
    <n v="1331.62"/>
    <s v="Success"/>
  </r>
  <r>
    <s v="TXN98413455"/>
    <x v="3784"/>
    <x v="6"/>
    <x v="1"/>
    <n v="34054"/>
    <x v="1"/>
    <x v="5"/>
    <x v="0"/>
    <n v="5"/>
    <n v="0"/>
    <n v="5"/>
    <s v="Success"/>
  </r>
  <r>
    <s v="TXN50135372"/>
    <x v="3785"/>
    <x v="1"/>
    <x v="3"/>
    <n v="140664"/>
    <x v="1"/>
    <x v="7"/>
    <x v="0"/>
    <n v="0"/>
    <n v="0"/>
    <n v="0"/>
    <s v="Success"/>
  </r>
  <r>
    <s v="TXN13383199"/>
    <x v="3786"/>
    <x v="1"/>
    <x v="4"/>
    <n v="27554"/>
    <x v="0"/>
    <x v="3"/>
    <x v="1"/>
    <n v="275.54000000000002"/>
    <n v="0"/>
    <n v="275.54000000000002"/>
    <s v="Success"/>
  </r>
  <r>
    <s v="TXN41165850"/>
    <x v="3787"/>
    <x v="7"/>
    <x v="3"/>
    <n v="61841"/>
    <x v="0"/>
    <x v="2"/>
    <x v="0"/>
    <n v="0"/>
    <n v="0"/>
    <n v="0"/>
    <s v="Success"/>
  </r>
  <r>
    <s v="TXN74631162"/>
    <x v="3788"/>
    <x v="1"/>
    <x v="3"/>
    <n v="94581"/>
    <x v="0"/>
    <x v="3"/>
    <x v="0"/>
    <n v="0"/>
    <n v="0"/>
    <n v="0"/>
    <s v="Success"/>
  </r>
  <r>
    <s v="TXN90798124"/>
    <x v="3789"/>
    <x v="2"/>
    <x v="0"/>
    <n v="43500"/>
    <x v="2"/>
    <x v="2"/>
    <x v="0"/>
    <n v="804.75"/>
    <n v="321.89999999999998"/>
    <n v="482.85"/>
    <s v="Success"/>
  </r>
  <r>
    <s v="TXN15287943"/>
    <x v="3790"/>
    <x v="6"/>
    <x v="0"/>
    <n v="167500"/>
    <x v="0"/>
    <x v="2"/>
    <x v="0"/>
    <n v="3098.75"/>
    <n v="1239.5"/>
    <n v="1859.25"/>
    <s v="Success"/>
  </r>
  <r>
    <s v="TXN81290702"/>
    <x v="3791"/>
    <x v="7"/>
    <x v="1"/>
    <n v="3858"/>
    <x v="0"/>
    <x v="7"/>
    <x v="0"/>
    <n v="5"/>
    <n v="0"/>
    <n v="5"/>
    <s v="Success"/>
  </r>
  <r>
    <s v="TXN77326898"/>
    <x v="3792"/>
    <x v="7"/>
    <x v="2"/>
    <n v="1388"/>
    <x v="0"/>
    <x v="7"/>
    <x v="0"/>
    <n v="0"/>
    <n v="0"/>
    <n v="0"/>
    <s v="Success"/>
  </r>
  <r>
    <s v="TXN92194364"/>
    <x v="3793"/>
    <x v="5"/>
    <x v="4"/>
    <n v="104946"/>
    <x v="0"/>
    <x v="4"/>
    <x v="5"/>
    <n v="1049.46"/>
    <n v="0"/>
    <n v="1049.46"/>
    <s v="Success"/>
  </r>
  <r>
    <s v="TXN36348961"/>
    <x v="3794"/>
    <x v="2"/>
    <x v="1"/>
    <n v="22446"/>
    <x v="1"/>
    <x v="0"/>
    <x v="0"/>
    <n v="5"/>
    <n v="0"/>
    <n v="5"/>
    <s v="Success"/>
  </r>
  <r>
    <s v="TXN57320911"/>
    <x v="3795"/>
    <x v="5"/>
    <x v="1"/>
    <n v="112657"/>
    <x v="0"/>
    <x v="5"/>
    <x v="0"/>
    <n v="5"/>
    <n v="0"/>
    <n v="5"/>
    <s v="Success"/>
  </r>
  <r>
    <s v="TXN43006100"/>
    <x v="3796"/>
    <x v="0"/>
    <x v="0"/>
    <n v="57500"/>
    <x v="0"/>
    <x v="2"/>
    <x v="0"/>
    <n v="1063.75"/>
    <n v="425.5"/>
    <n v="638.25"/>
    <s v="Success"/>
  </r>
  <r>
    <s v="TXN28604825"/>
    <x v="3797"/>
    <x v="4"/>
    <x v="1"/>
    <n v="115062"/>
    <x v="0"/>
    <x v="0"/>
    <x v="0"/>
    <n v="5"/>
    <n v="0"/>
    <n v="5"/>
    <s v="Success"/>
  </r>
  <r>
    <s v="TXN45272458"/>
    <x v="3798"/>
    <x v="5"/>
    <x v="3"/>
    <n v="37367"/>
    <x v="0"/>
    <x v="3"/>
    <x v="0"/>
    <n v="0"/>
    <n v="0"/>
    <n v="0"/>
    <s v="Success"/>
  </r>
  <r>
    <s v="TXN71682184"/>
    <x v="3799"/>
    <x v="2"/>
    <x v="3"/>
    <n v="22630"/>
    <x v="0"/>
    <x v="1"/>
    <x v="0"/>
    <n v="0"/>
    <n v="0"/>
    <n v="0"/>
    <s v="Success"/>
  </r>
  <r>
    <s v="TXN98582764"/>
    <x v="3800"/>
    <x v="6"/>
    <x v="3"/>
    <n v="132732"/>
    <x v="0"/>
    <x v="4"/>
    <x v="0"/>
    <n v="0"/>
    <n v="0"/>
    <n v="0"/>
    <s v="Success"/>
  </r>
  <r>
    <s v="TXN60861960"/>
    <x v="3801"/>
    <x v="5"/>
    <x v="0"/>
    <n v="15000"/>
    <x v="0"/>
    <x v="5"/>
    <x v="0"/>
    <n v="277.5"/>
    <n v="111"/>
    <n v="166.5"/>
    <s v="Success"/>
  </r>
  <r>
    <s v="TXN58352656"/>
    <x v="3802"/>
    <x v="2"/>
    <x v="0"/>
    <n v="57500"/>
    <x v="0"/>
    <x v="4"/>
    <x v="0"/>
    <n v="1063.75"/>
    <n v="425.5"/>
    <n v="638.25"/>
    <s v="Success"/>
  </r>
  <r>
    <s v="TXN46164555"/>
    <x v="3803"/>
    <x v="5"/>
    <x v="1"/>
    <n v="94587"/>
    <x v="0"/>
    <x v="5"/>
    <x v="0"/>
    <n v="5"/>
    <n v="0"/>
    <n v="5"/>
    <s v="Failed"/>
  </r>
  <r>
    <s v="TXN20264185"/>
    <x v="3804"/>
    <x v="2"/>
    <x v="3"/>
    <n v="23471"/>
    <x v="2"/>
    <x v="4"/>
    <x v="0"/>
    <n v="0"/>
    <n v="0"/>
    <n v="0"/>
    <s v="Success"/>
  </r>
  <r>
    <s v="TXN41346345"/>
    <x v="3805"/>
    <x v="7"/>
    <x v="2"/>
    <n v="4598"/>
    <x v="0"/>
    <x v="6"/>
    <x v="0"/>
    <n v="0"/>
    <n v="0"/>
    <n v="0"/>
    <s v="Success"/>
  </r>
  <r>
    <s v="TXN65670234"/>
    <x v="3806"/>
    <x v="2"/>
    <x v="3"/>
    <n v="49756"/>
    <x v="0"/>
    <x v="5"/>
    <x v="0"/>
    <n v="0"/>
    <n v="0"/>
    <n v="0"/>
    <s v="Success"/>
  </r>
  <r>
    <s v="TXN60983650"/>
    <x v="3807"/>
    <x v="3"/>
    <x v="1"/>
    <n v="85717"/>
    <x v="0"/>
    <x v="6"/>
    <x v="0"/>
    <n v="5"/>
    <n v="0"/>
    <n v="5"/>
    <s v="Success"/>
  </r>
  <r>
    <s v="TXN60948257"/>
    <x v="3808"/>
    <x v="3"/>
    <x v="4"/>
    <n v="90856"/>
    <x v="0"/>
    <x v="5"/>
    <x v="2"/>
    <n v="908.56"/>
    <n v="0"/>
    <n v="908.56"/>
    <s v="Success"/>
  </r>
  <r>
    <s v="TXN19980005"/>
    <x v="3809"/>
    <x v="0"/>
    <x v="2"/>
    <n v="4473"/>
    <x v="0"/>
    <x v="4"/>
    <x v="0"/>
    <n v="0"/>
    <n v="0"/>
    <n v="0"/>
    <s v="Success"/>
  </r>
  <r>
    <s v="TXN29018803"/>
    <x v="3810"/>
    <x v="2"/>
    <x v="1"/>
    <n v="141138"/>
    <x v="0"/>
    <x v="2"/>
    <x v="0"/>
    <n v="5"/>
    <n v="0"/>
    <n v="5"/>
    <s v="Success"/>
  </r>
  <r>
    <s v="TXN68200154"/>
    <x v="3811"/>
    <x v="5"/>
    <x v="3"/>
    <n v="6779"/>
    <x v="0"/>
    <x v="5"/>
    <x v="0"/>
    <n v="0"/>
    <n v="0"/>
    <n v="0"/>
    <s v="Success"/>
  </r>
  <r>
    <s v="TXN86236837"/>
    <x v="3812"/>
    <x v="3"/>
    <x v="0"/>
    <n v="123500"/>
    <x v="0"/>
    <x v="7"/>
    <x v="0"/>
    <n v="2284.75"/>
    <n v="913.9"/>
    <n v="1370.85"/>
    <s v="Success"/>
  </r>
  <r>
    <s v="TXN43870146"/>
    <x v="3813"/>
    <x v="7"/>
    <x v="1"/>
    <n v="44978"/>
    <x v="0"/>
    <x v="7"/>
    <x v="0"/>
    <n v="5"/>
    <n v="0"/>
    <n v="5"/>
    <s v="Success"/>
  </r>
  <r>
    <s v="TXN87009615"/>
    <x v="3814"/>
    <x v="1"/>
    <x v="0"/>
    <n v="35000"/>
    <x v="0"/>
    <x v="5"/>
    <x v="0"/>
    <n v="647.5"/>
    <n v="259"/>
    <n v="388.5"/>
    <s v="Failed"/>
  </r>
  <r>
    <s v="TXN37388862"/>
    <x v="3815"/>
    <x v="1"/>
    <x v="1"/>
    <n v="33885"/>
    <x v="0"/>
    <x v="7"/>
    <x v="0"/>
    <n v="5"/>
    <n v="0"/>
    <n v="5"/>
    <s v="Success"/>
  </r>
  <r>
    <s v="TXN26906563"/>
    <x v="3816"/>
    <x v="2"/>
    <x v="0"/>
    <n v="90000"/>
    <x v="1"/>
    <x v="2"/>
    <x v="0"/>
    <n v="1665"/>
    <n v="666"/>
    <n v="999"/>
    <s v="Success"/>
  </r>
  <r>
    <s v="TXN67706888"/>
    <x v="3817"/>
    <x v="5"/>
    <x v="1"/>
    <n v="59633"/>
    <x v="0"/>
    <x v="6"/>
    <x v="0"/>
    <n v="5"/>
    <n v="0"/>
    <n v="5"/>
    <s v="Success"/>
  </r>
  <r>
    <s v="TXN23609384"/>
    <x v="3818"/>
    <x v="5"/>
    <x v="1"/>
    <n v="130678"/>
    <x v="1"/>
    <x v="4"/>
    <x v="0"/>
    <n v="5"/>
    <n v="0"/>
    <n v="5"/>
    <s v="Failed"/>
  </r>
  <r>
    <s v="TXN28315070"/>
    <x v="3819"/>
    <x v="0"/>
    <x v="1"/>
    <n v="21400"/>
    <x v="0"/>
    <x v="7"/>
    <x v="0"/>
    <n v="5"/>
    <n v="0"/>
    <n v="5"/>
    <s v="Success"/>
  </r>
  <r>
    <s v="TXN69432909"/>
    <x v="3820"/>
    <x v="4"/>
    <x v="4"/>
    <n v="110515"/>
    <x v="0"/>
    <x v="2"/>
    <x v="4"/>
    <n v="1105.1500000000001"/>
    <n v="0"/>
    <n v="1105.1500000000001"/>
    <s v="Success"/>
  </r>
  <r>
    <s v="TXN56251944"/>
    <x v="3821"/>
    <x v="2"/>
    <x v="3"/>
    <n v="83651"/>
    <x v="2"/>
    <x v="0"/>
    <x v="0"/>
    <n v="0"/>
    <n v="0"/>
    <n v="0"/>
    <s v="Success"/>
  </r>
  <r>
    <s v="TXN12113577"/>
    <x v="3822"/>
    <x v="4"/>
    <x v="1"/>
    <n v="49988"/>
    <x v="0"/>
    <x v="2"/>
    <x v="0"/>
    <n v="5"/>
    <n v="0"/>
    <n v="5"/>
    <s v="Success"/>
  </r>
  <r>
    <s v="TXN93803860"/>
    <x v="3823"/>
    <x v="5"/>
    <x v="2"/>
    <n v="3132"/>
    <x v="0"/>
    <x v="0"/>
    <x v="0"/>
    <n v="0"/>
    <n v="0"/>
    <n v="0"/>
    <s v="Success"/>
  </r>
  <r>
    <s v="TXN75778059"/>
    <x v="3824"/>
    <x v="6"/>
    <x v="1"/>
    <n v="149199"/>
    <x v="0"/>
    <x v="1"/>
    <x v="0"/>
    <n v="5"/>
    <n v="0"/>
    <n v="5"/>
    <s v="Success"/>
  </r>
  <r>
    <s v="TXN45791838"/>
    <x v="3825"/>
    <x v="1"/>
    <x v="0"/>
    <n v="141000"/>
    <x v="0"/>
    <x v="1"/>
    <x v="0"/>
    <n v="2608.5"/>
    <n v="1043.4000000000001"/>
    <n v="1565.1"/>
    <s v="Success"/>
  </r>
  <r>
    <s v="TXN90301173"/>
    <x v="3826"/>
    <x v="6"/>
    <x v="0"/>
    <n v="119000"/>
    <x v="0"/>
    <x v="5"/>
    <x v="0"/>
    <n v="2201.5"/>
    <n v="880.6"/>
    <n v="1320.9"/>
    <s v="Success"/>
  </r>
  <r>
    <s v="TXN32392939"/>
    <x v="3827"/>
    <x v="3"/>
    <x v="2"/>
    <n v="2384"/>
    <x v="0"/>
    <x v="3"/>
    <x v="0"/>
    <n v="0"/>
    <n v="0"/>
    <n v="0"/>
    <s v="Success"/>
  </r>
  <r>
    <s v="TXN10216807"/>
    <x v="3828"/>
    <x v="7"/>
    <x v="0"/>
    <n v="185000"/>
    <x v="0"/>
    <x v="2"/>
    <x v="0"/>
    <n v="3422.5"/>
    <n v="1369"/>
    <n v="2053.5"/>
    <s v="Success"/>
  </r>
  <r>
    <s v="TXN90842346"/>
    <x v="3829"/>
    <x v="5"/>
    <x v="1"/>
    <n v="82057"/>
    <x v="1"/>
    <x v="0"/>
    <x v="0"/>
    <n v="5"/>
    <n v="0"/>
    <n v="5"/>
    <s v="Success"/>
  </r>
  <r>
    <s v="TXN24810085"/>
    <x v="3830"/>
    <x v="0"/>
    <x v="1"/>
    <n v="15258"/>
    <x v="1"/>
    <x v="1"/>
    <x v="0"/>
    <n v="5"/>
    <n v="0"/>
    <n v="5"/>
    <s v="Success"/>
  </r>
  <r>
    <s v="TXN72621373"/>
    <x v="3831"/>
    <x v="0"/>
    <x v="4"/>
    <n v="148375"/>
    <x v="0"/>
    <x v="5"/>
    <x v="3"/>
    <n v="1483.75"/>
    <n v="0"/>
    <n v="1483.75"/>
    <s v="Success"/>
  </r>
  <r>
    <s v="TXN68840740"/>
    <x v="3832"/>
    <x v="0"/>
    <x v="0"/>
    <n v="158500"/>
    <x v="0"/>
    <x v="8"/>
    <x v="0"/>
    <n v="2932.25"/>
    <n v="1172.9000000000001"/>
    <n v="1759.35"/>
    <s v="Success"/>
  </r>
  <r>
    <s v="TXN62566817"/>
    <x v="3833"/>
    <x v="5"/>
    <x v="3"/>
    <n v="139998"/>
    <x v="0"/>
    <x v="1"/>
    <x v="0"/>
    <n v="0"/>
    <n v="0"/>
    <n v="0"/>
    <s v="Success"/>
  </r>
  <r>
    <s v="TXN72035916"/>
    <x v="3834"/>
    <x v="7"/>
    <x v="1"/>
    <n v="97227"/>
    <x v="0"/>
    <x v="0"/>
    <x v="0"/>
    <n v="5"/>
    <n v="0"/>
    <n v="5"/>
    <s v="Success"/>
  </r>
  <r>
    <s v="TXN20026492"/>
    <x v="3835"/>
    <x v="3"/>
    <x v="0"/>
    <n v="107000"/>
    <x v="0"/>
    <x v="7"/>
    <x v="0"/>
    <n v="1979.5"/>
    <n v="791.8"/>
    <n v="1187.7"/>
    <s v="Success"/>
  </r>
  <r>
    <s v="TXN78359920"/>
    <x v="3836"/>
    <x v="3"/>
    <x v="4"/>
    <n v="110116"/>
    <x v="0"/>
    <x v="3"/>
    <x v="1"/>
    <n v="1101.1600000000001"/>
    <n v="0"/>
    <n v="1101.1600000000001"/>
    <s v="Success"/>
  </r>
  <r>
    <s v="TXN13906153"/>
    <x v="3837"/>
    <x v="2"/>
    <x v="2"/>
    <n v="2599"/>
    <x v="0"/>
    <x v="1"/>
    <x v="0"/>
    <n v="0"/>
    <n v="0"/>
    <n v="0"/>
    <s v="Success"/>
  </r>
  <r>
    <s v="TXN15431673"/>
    <x v="3838"/>
    <x v="0"/>
    <x v="3"/>
    <n v="93335"/>
    <x v="0"/>
    <x v="2"/>
    <x v="0"/>
    <n v="0"/>
    <n v="0"/>
    <n v="0"/>
    <s v="Success"/>
  </r>
  <r>
    <s v="TXN44297545"/>
    <x v="3839"/>
    <x v="2"/>
    <x v="3"/>
    <n v="121648"/>
    <x v="0"/>
    <x v="1"/>
    <x v="0"/>
    <n v="0"/>
    <n v="0"/>
    <n v="0"/>
    <s v="Success"/>
  </r>
  <r>
    <s v="TXN98236281"/>
    <x v="3840"/>
    <x v="1"/>
    <x v="4"/>
    <n v="7974"/>
    <x v="0"/>
    <x v="5"/>
    <x v="3"/>
    <n v="79.739999999999995"/>
    <n v="0"/>
    <n v="79.739999999999995"/>
    <s v="Success"/>
  </r>
  <r>
    <s v="TXN45260591"/>
    <x v="3841"/>
    <x v="6"/>
    <x v="1"/>
    <n v="70935"/>
    <x v="0"/>
    <x v="5"/>
    <x v="0"/>
    <n v="5"/>
    <n v="0"/>
    <n v="5"/>
    <s v="Success"/>
  </r>
  <r>
    <s v="TXN26825555"/>
    <x v="3842"/>
    <x v="1"/>
    <x v="4"/>
    <n v="133406"/>
    <x v="0"/>
    <x v="3"/>
    <x v="1"/>
    <n v="1334.06"/>
    <n v="0"/>
    <n v="1334.06"/>
    <s v="Success"/>
  </r>
  <r>
    <s v="TXN19383827"/>
    <x v="3843"/>
    <x v="6"/>
    <x v="2"/>
    <n v="428"/>
    <x v="0"/>
    <x v="8"/>
    <x v="0"/>
    <n v="0"/>
    <n v="0"/>
    <n v="0"/>
    <s v="Success"/>
  </r>
  <r>
    <s v="TXN93330467"/>
    <x v="3844"/>
    <x v="5"/>
    <x v="3"/>
    <n v="91070"/>
    <x v="0"/>
    <x v="0"/>
    <x v="0"/>
    <n v="0"/>
    <n v="0"/>
    <n v="0"/>
    <s v="Failed"/>
  </r>
  <r>
    <s v="TXN89989062"/>
    <x v="3845"/>
    <x v="7"/>
    <x v="0"/>
    <n v="62500"/>
    <x v="1"/>
    <x v="5"/>
    <x v="0"/>
    <n v="1156.25"/>
    <n v="462.5"/>
    <n v="693.75"/>
    <s v="Success"/>
  </r>
  <r>
    <s v="TXN59850945"/>
    <x v="3846"/>
    <x v="4"/>
    <x v="0"/>
    <n v="92500"/>
    <x v="0"/>
    <x v="8"/>
    <x v="0"/>
    <n v="1711.25"/>
    <n v="684.5"/>
    <n v="1026.75"/>
    <s v="Success"/>
  </r>
  <r>
    <s v="TXN35054548"/>
    <x v="3847"/>
    <x v="4"/>
    <x v="3"/>
    <n v="35922"/>
    <x v="0"/>
    <x v="8"/>
    <x v="0"/>
    <n v="0"/>
    <n v="0"/>
    <n v="0"/>
    <s v="Success"/>
  </r>
  <r>
    <s v="TXN98391722"/>
    <x v="3848"/>
    <x v="3"/>
    <x v="4"/>
    <n v="45658"/>
    <x v="0"/>
    <x v="0"/>
    <x v="1"/>
    <n v="456.58"/>
    <n v="0"/>
    <n v="456.58"/>
    <s v="Success"/>
  </r>
  <r>
    <s v="TXN94926591"/>
    <x v="3849"/>
    <x v="5"/>
    <x v="1"/>
    <n v="35514"/>
    <x v="0"/>
    <x v="3"/>
    <x v="0"/>
    <n v="5"/>
    <n v="0"/>
    <n v="5"/>
    <s v="Success"/>
  </r>
  <r>
    <s v="TXN25588471"/>
    <x v="3850"/>
    <x v="0"/>
    <x v="3"/>
    <n v="46183"/>
    <x v="0"/>
    <x v="1"/>
    <x v="0"/>
    <n v="0"/>
    <n v="0"/>
    <n v="0"/>
    <s v="Success"/>
  </r>
  <r>
    <s v="TXN33275403"/>
    <x v="3851"/>
    <x v="6"/>
    <x v="2"/>
    <n v="2197"/>
    <x v="0"/>
    <x v="5"/>
    <x v="0"/>
    <n v="0"/>
    <n v="0"/>
    <n v="0"/>
    <s v="Success"/>
  </r>
  <r>
    <s v="TXN60639985"/>
    <x v="3852"/>
    <x v="2"/>
    <x v="1"/>
    <n v="64920"/>
    <x v="0"/>
    <x v="1"/>
    <x v="0"/>
    <n v="5"/>
    <n v="0"/>
    <n v="5"/>
    <s v="Success"/>
  </r>
  <r>
    <s v="TXN79988934"/>
    <x v="3853"/>
    <x v="3"/>
    <x v="1"/>
    <n v="7794"/>
    <x v="0"/>
    <x v="4"/>
    <x v="0"/>
    <n v="5"/>
    <n v="0"/>
    <n v="5"/>
    <s v="Success"/>
  </r>
  <r>
    <s v="TXN50746222"/>
    <x v="3854"/>
    <x v="1"/>
    <x v="1"/>
    <n v="148445"/>
    <x v="0"/>
    <x v="2"/>
    <x v="0"/>
    <n v="5"/>
    <n v="0"/>
    <n v="5"/>
    <s v="Success"/>
  </r>
  <r>
    <s v="TXN76768795"/>
    <x v="3855"/>
    <x v="0"/>
    <x v="0"/>
    <n v="33500"/>
    <x v="0"/>
    <x v="8"/>
    <x v="0"/>
    <n v="619.75"/>
    <n v="247.9"/>
    <n v="371.85"/>
    <s v="Success"/>
  </r>
  <r>
    <s v="TXN33627699"/>
    <x v="3856"/>
    <x v="3"/>
    <x v="2"/>
    <n v="1314"/>
    <x v="0"/>
    <x v="3"/>
    <x v="0"/>
    <n v="0"/>
    <n v="0"/>
    <n v="0"/>
    <s v="Failed"/>
  </r>
  <r>
    <s v="TXN88427059"/>
    <x v="3857"/>
    <x v="6"/>
    <x v="2"/>
    <n v="2423"/>
    <x v="0"/>
    <x v="4"/>
    <x v="0"/>
    <n v="0"/>
    <n v="0"/>
    <n v="0"/>
    <s v="Success"/>
  </r>
  <r>
    <s v="TXN43793141"/>
    <x v="3858"/>
    <x v="3"/>
    <x v="1"/>
    <n v="101735"/>
    <x v="0"/>
    <x v="6"/>
    <x v="0"/>
    <n v="5"/>
    <n v="0"/>
    <n v="5"/>
    <s v="Success"/>
  </r>
  <r>
    <s v="TXN52925600"/>
    <x v="3859"/>
    <x v="4"/>
    <x v="3"/>
    <n v="136451"/>
    <x v="0"/>
    <x v="6"/>
    <x v="0"/>
    <n v="0"/>
    <n v="0"/>
    <n v="0"/>
    <s v="Success"/>
  </r>
  <r>
    <s v="TXN86793368"/>
    <x v="3860"/>
    <x v="1"/>
    <x v="4"/>
    <n v="62899"/>
    <x v="0"/>
    <x v="3"/>
    <x v="4"/>
    <n v="628.99"/>
    <n v="0"/>
    <n v="628.99"/>
    <s v="Success"/>
  </r>
  <r>
    <s v="TXN22712666"/>
    <x v="3861"/>
    <x v="7"/>
    <x v="0"/>
    <n v="161500"/>
    <x v="0"/>
    <x v="8"/>
    <x v="0"/>
    <n v="2987.75"/>
    <n v="1195.0999999999999"/>
    <n v="1792.65"/>
    <s v="Success"/>
  </r>
  <r>
    <s v="TXN43969671"/>
    <x v="3862"/>
    <x v="3"/>
    <x v="4"/>
    <n v="129667"/>
    <x v="0"/>
    <x v="8"/>
    <x v="4"/>
    <n v="1296.67"/>
    <n v="0"/>
    <n v="1296.67"/>
    <s v="Success"/>
  </r>
  <r>
    <s v="TXN90619628"/>
    <x v="3863"/>
    <x v="3"/>
    <x v="0"/>
    <n v="239000"/>
    <x v="0"/>
    <x v="5"/>
    <x v="0"/>
    <n v="4421.5"/>
    <n v="1768.6"/>
    <n v="2652.9"/>
    <s v="Success"/>
  </r>
  <r>
    <s v="TXN73346481"/>
    <x v="3864"/>
    <x v="2"/>
    <x v="1"/>
    <n v="85003"/>
    <x v="0"/>
    <x v="0"/>
    <x v="0"/>
    <n v="5"/>
    <n v="0"/>
    <n v="5"/>
    <s v="Success"/>
  </r>
  <r>
    <s v="TXN26479337"/>
    <x v="3865"/>
    <x v="7"/>
    <x v="4"/>
    <n v="11988"/>
    <x v="1"/>
    <x v="8"/>
    <x v="5"/>
    <n v="119.88"/>
    <n v="0"/>
    <n v="119.88"/>
    <s v="Failed"/>
  </r>
  <r>
    <s v="TXN19650477"/>
    <x v="3866"/>
    <x v="2"/>
    <x v="4"/>
    <n v="136421"/>
    <x v="0"/>
    <x v="6"/>
    <x v="1"/>
    <n v="1364.21"/>
    <n v="0"/>
    <n v="1364.21"/>
    <s v="Success"/>
  </r>
  <r>
    <s v="TXN56053718"/>
    <x v="3867"/>
    <x v="5"/>
    <x v="3"/>
    <n v="140878"/>
    <x v="0"/>
    <x v="0"/>
    <x v="0"/>
    <n v="0"/>
    <n v="0"/>
    <n v="0"/>
    <s v="Success"/>
  </r>
  <r>
    <s v="TXN17367445"/>
    <x v="3868"/>
    <x v="3"/>
    <x v="4"/>
    <n v="46518"/>
    <x v="1"/>
    <x v="2"/>
    <x v="1"/>
    <n v="465.18"/>
    <n v="0"/>
    <n v="465.18"/>
    <s v="Success"/>
  </r>
  <r>
    <s v="TXN25241734"/>
    <x v="3869"/>
    <x v="5"/>
    <x v="3"/>
    <n v="88965"/>
    <x v="0"/>
    <x v="5"/>
    <x v="0"/>
    <n v="0"/>
    <n v="0"/>
    <n v="0"/>
    <s v="Success"/>
  </r>
  <r>
    <s v="TXN27961360"/>
    <x v="3870"/>
    <x v="6"/>
    <x v="2"/>
    <n v="2700"/>
    <x v="0"/>
    <x v="6"/>
    <x v="0"/>
    <n v="0"/>
    <n v="0"/>
    <n v="0"/>
    <s v="Success"/>
  </r>
  <r>
    <s v="TXN62218086"/>
    <x v="3871"/>
    <x v="4"/>
    <x v="1"/>
    <n v="33657"/>
    <x v="0"/>
    <x v="5"/>
    <x v="0"/>
    <n v="5"/>
    <n v="0"/>
    <n v="5"/>
    <s v="Success"/>
  </r>
  <r>
    <s v="TXN62793782"/>
    <x v="3872"/>
    <x v="1"/>
    <x v="4"/>
    <n v="61072"/>
    <x v="0"/>
    <x v="6"/>
    <x v="4"/>
    <n v="610.72"/>
    <n v="0"/>
    <n v="610.72"/>
    <s v="Success"/>
  </r>
  <r>
    <s v="TXN87567757"/>
    <x v="3873"/>
    <x v="5"/>
    <x v="0"/>
    <n v="18500"/>
    <x v="0"/>
    <x v="7"/>
    <x v="0"/>
    <n v="342.25"/>
    <n v="136.9"/>
    <n v="205.35"/>
    <s v="Success"/>
  </r>
  <r>
    <s v="TXN10887732"/>
    <x v="3874"/>
    <x v="3"/>
    <x v="2"/>
    <n v="4214"/>
    <x v="0"/>
    <x v="3"/>
    <x v="0"/>
    <n v="0"/>
    <n v="0"/>
    <n v="0"/>
    <s v="Success"/>
  </r>
  <r>
    <s v="TXN42994065"/>
    <x v="3875"/>
    <x v="6"/>
    <x v="2"/>
    <n v="812"/>
    <x v="0"/>
    <x v="0"/>
    <x v="0"/>
    <n v="0"/>
    <n v="0"/>
    <n v="0"/>
    <s v="Success"/>
  </r>
  <r>
    <s v="TXN52025874"/>
    <x v="3876"/>
    <x v="3"/>
    <x v="2"/>
    <n v="4095"/>
    <x v="0"/>
    <x v="6"/>
    <x v="0"/>
    <n v="0"/>
    <n v="0"/>
    <n v="0"/>
    <s v="Success"/>
  </r>
  <r>
    <s v="TXN69261915"/>
    <x v="3877"/>
    <x v="2"/>
    <x v="4"/>
    <n v="24637"/>
    <x v="1"/>
    <x v="6"/>
    <x v="1"/>
    <n v="246.37"/>
    <n v="0"/>
    <n v="246.37"/>
    <s v="Success"/>
  </r>
  <r>
    <s v="TXN61514203"/>
    <x v="3878"/>
    <x v="2"/>
    <x v="4"/>
    <n v="93257"/>
    <x v="0"/>
    <x v="7"/>
    <x v="2"/>
    <n v="932.57"/>
    <n v="0"/>
    <n v="932.57"/>
    <s v="Failed"/>
  </r>
  <r>
    <s v="TXN57647813"/>
    <x v="3879"/>
    <x v="5"/>
    <x v="4"/>
    <n v="121972"/>
    <x v="0"/>
    <x v="1"/>
    <x v="3"/>
    <n v="1219.72"/>
    <n v="0"/>
    <n v="1219.72"/>
    <s v="Success"/>
  </r>
  <r>
    <s v="TXN22937470"/>
    <x v="3880"/>
    <x v="5"/>
    <x v="3"/>
    <n v="71134"/>
    <x v="0"/>
    <x v="3"/>
    <x v="0"/>
    <n v="0"/>
    <n v="0"/>
    <n v="0"/>
    <s v="Success"/>
  </r>
  <r>
    <s v="TXN53386902"/>
    <x v="3881"/>
    <x v="2"/>
    <x v="1"/>
    <n v="17809"/>
    <x v="0"/>
    <x v="5"/>
    <x v="0"/>
    <n v="5"/>
    <n v="0"/>
    <n v="5"/>
    <s v="Success"/>
  </r>
  <r>
    <s v="TXN99909169"/>
    <x v="3882"/>
    <x v="4"/>
    <x v="1"/>
    <n v="94936"/>
    <x v="0"/>
    <x v="0"/>
    <x v="0"/>
    <n v="5"/>
    <n v="0"/>
    <n v="5"/>
    <s v="Success"/>
  </r>
  <r>
    <s v="TXN58276256"/>
    <x v="3883"/>
    <x v="6"/>
    <x v="1"/>
    <n v="27926"/>
    <x v="0"/>
    <x v="0"/>
    <x v="0"/>
    <n v="5"/>
    <n v="0"/>
    <n v="5"/>
    <s v="Success"/>
  </r>
  <r>
    <s v="TXN41076013"/>
    <x v="3884"/>
    <x v="0"/>
    <x v="0"/>
    <n v="47000"/>
    <x v="0"/>
    <x v="2"/>
    <x v="0"/>
    <n v="869.5"/>
    <n v="347.8"/>
    <n v="521.70000000000005"/>
    <s v="Success"/>
  </r>
  <r>
    <s v="TXN43017018"/>
    <x v="3885"/>
    <x v="0"/>
    <x v="1"/>
    <n v="4572"/>
    <x v="0"/>
    <x v="2"/>
    <x v="0"/>
    <n v="5"/>
    <n v="0"/>
    <n v="5"/>
    <s v="Success"/>
  </r>
  <r>
    <s v="TXN62547422"/>
    <x v="3886"/>
    <x v="1"/>
    <x v="3"/>
    <n v="39326"/>
    <x v="0"/>
    <x v="2"/>
    <x v="0"/>
    <n v="0"/>
    <n v="0"/>
    <n v="0"/>
    <s v="Success"/>
  </r>
  <r>
    <s v="TXN92418357"/>
    <x v="3887"/>
    <x v="1"/>
    <x v="3"/>
    <n v="85380"/>
    <x v="1"/>
    <x v="0"/>
    <x v="0"/>
    <n v="0"/>
    <n v="0"/>
    <n v="0"/>
    <s v="Success"/>
  </r>
  <r>
    <s v="TXN26151042"/>
    <x v="3888"/>
    <x v="6"/>
    <x v="4"/>
    <n v="68237"/>
    <x v="0"/>
    <x v="3"/>
    <x v="1"/>
    <n v="682.37"/>
    <n v="0"/>
    <n v="682.37"/>
    <s v="Success"/>
  </r>
  <r>
    <s v="TXN36449395"/>
    <x v="3889"/>
    <x v="3"/>
    <x v="1"/>
    <n v="133572"/>
    <x v="0"/>
    <x v="2"/>
    <x v="0"/>
    <n v="5"/>
    <n v="0"/>
    <n v="5"/>
    <s v="Success"/>
  </r>
  <r>
    <s v="TXN10266728"/>
    <x v="3890"/>
    <x v="7"/>
    <x v="3"/>
    <n v="16172"/>
    <x v="0"/>
    <x v="5"/>
    <x v="0"/>
    <n v="0"/>
    <n v="0"/>
    <n v="0"/>
    <s v="Success"/>
  </r>
  <r>
    <s v="TXN61053103"/>
    <x v="3891"/>
    <x v="3"/>
    <x v="3"/>
    <n v="54079"/>
    <x v="0"/>
    <x v="0"/>
    <x v="0"/>
    <n v="0"/>
    <n v="0"/>
    <n v="0"/>
    <s v="Success"/>
  </r>
  <r>
    <s v="TXN58525965"/>
    <x v="3892"/>
    <x v="7"/>
    <x v="1"/>
    <n v="433"/>
    <x v="0"/>
    <x v="5"/>
    <x v="0"/>
    <n v="5"/>
    <n v="0"/>
    <n v="5"/>
    <s v="Success"/>
  </r>
  <r>
    <s v="TXN41410267"/>
    <x v="3893"/>
    <x v="2"/>
    <x v="4"/>
    <n v="39113"/>
    <x v="1"/>
    <x v="8"/>
    <x v="2"/>
    <n v="391.13"/>
    <n v="0"/>
    <n v="391.13"/>
    <s v="Success"/>
  </r>
  <r>
    <s v="TXN20886137"/>
    <x v="3894"/>
    <x v="2"/>
    <x v="0"/>
    <n v="248000"/>
    <x v="0"/>
    <x v="7"/>
    <x v="0"/>
    <n v="4588"/>
    <n v="1835.2"/>
    <n v="2752.8"/>
    <s v="Success"/>
  </r>
  <r>
    <s v="TXN22713097"/>
    <x v="3895"/>
    <x v="3"/>
    <x v="1"/>
    <n v="43619"/>
    <x v="2"/>
    <x v="2"/>
    <x v="0"/>
    <n v="5"/>
    <n v="0"/>
    <n v="5"/>
    <s v="Success"/>
  </r>
  <r>
    <s v="TXN18940995"/>
    <x v="3896"/>
    <x v="1"/>
    <x v="3"/>
    <n v="18225"/>
    <x v="1"/>
    <x v="4"/>
    <x v="0"/>
    <n v="0"/>
    <n v="0"/>
    <n v="0"/>
    <s v="Success"/>
  </r>
  <r>
    <s v="TXN78080034"/>
    <x v="3897"/>
    <x v="5"/>
    <x v="1"/>
    <n v="93817"/>
    <x v="0"/>
    <x v="1"/>
    <x v="0"/>
    <n v="5"/>
    <n v="0"/>
    <n v="5"/>
    <s v="Success"/>
  </r>
  <r>
    <s v="TXN38667649"/>
    <x v="3898"/>
    <x v="4"/>
    <x v="3"/>
    <n v="122130"/>
    <x v="1"/>
    <x v="8"/>
    <x v="0"/>
    <n v="0"/>
    <n v="0"/>
    <n v="0"/>
    <s v="Success"/>
  </r>
  <r>
    <s v="TXN80714253"/>
    <x v="3899"/>
    <x v="4"/>
    <x v="1"/>
    <n v="5540"/>
    <x v="0"/>
    <x v="3"/>
    <x v="0"/>
    <n v="5"/>
    <n v="0"/>
    <n v="5"/>
    <s v="Success"/>
  </r>
  <r>
    <s v="TXN86837235"/>
    <x v="3900"/>
    <x v="6"/>
    <x v="4"/>
    <n v="147660"/>
    <x v="0"/>
    <x v="5"/>
    <x v="5"/>
    <n v="1476.6"/>
    <n v="0"/>
    <n v="1476.6"/>
    <s v="Success"/>
  </r>
  <r>
    <s v="TXN39130017"/>
    <x v="3901"/>
    <x v="3"/>
    <x v="3"/>
    <n v="40312"/>
    <x v="0"/>
    <x v="8"/>
    <x v="0"/>
    <n v="0"/>
    <n v="0"/>
    <n v="0"/>
    <s v="Failed"/>
  </r>
  <r>
    <s v="TXN48055519"/>
    <x v="3902"/>
    <x v="7"/>
    <x v="3"/>
    <n v="144234"/>
    <x v="0"/>
    <x v="5"/>
    <x v="0"/>
    <n v="0"/>
    <n v="0"/>
    <n v="0"/>
    <s v="Success"/>
  </r>
  <r>
    <s v="TXN48842040"/>
    <x v="3903"/>
    <x v="7"/>
    <x v="0"/>
    <n v="155000"/>
    <x v="0"/>
    <x v="4"/>
    <x v="0"/>
    <n v="2867.5"/>
    <n v="1147"/>
    <n v="1720.5"/>
    <s v="Success"/>
  </r>
  <r>
    <s v="TXN19384037"/>
    <x v="3904"/>
    <x v="7"/>
    <x v="4"/>
    <n v="81658"/>
    <x v="0"/>
    <x v="1"/>
    <x v="1"/>
    <n v="816.58"/>
    <n v="0"/>
    <n v="816.58"/>
    <s v="Success"/>
  </r>
  <r>
    <s v="TXN93436324"/>
    <x v="3905"/>
    <x v="7"/>
    <x v="3"/>
    <n v="71672"/>
    <x v="0"/>
    <x v="6"/>
    <x v="0"/>
    <n v="0"/>
    <n v="0"/>
    <n v="0"/>
    <s v="Success"/>
  </r>
  <r>
    <s v="TXN97105851"/>
    <x v="3906"/>
    <x v="4"/>
    <x v="4"/>
    <n v="118626"/>
    <x v="0"/>
    <x v="6"/>
    <x v="2"/>
    <n v="1186.26"/>
    <n v="0"/>
    <n v="1186.26"/>
    <s v="Success"/>
  </r>
  <r>
    <s v="TXN25660368"/>
    <x v="3907"/>
    <x v="2"/>
    <x v="3"/>
    <n v="22748"/>
    <x v="0"/>
    <x v="8"/>
    <x v="0"/>
    <n v="0"/>
    <n v="0"/>
    <n v="0"/>
    <s v="Success"/>
  </r>
  <r>
    <s v="TXN19632526"/>
    <x v="3908"/>
    <x v="2"/>
    <x v="4"/>
    <n v="72208"/>
    <x v="0"/>
    <x v="0"/>
    <x v="5"/>
    <n v="722.08"/>
    <n v="0"/>
    <n v="722.08"/>
    <s v="Failed"/>
  </r>
  <r>
    <s v="TXN58084066"/>
    <x v="3909"/>
    <x v="1"/>
    <x v="0"/>
    <n v="81000"/>
    <x v="0"/>
    <x v="6"/>
    <x v="0"/>
    <n v="1498.5"/>
    <n v="599.4"/>
    <n v="899.1"/>
    <s v="Success"/>
  </r>
  <r>
    <s v="TXN50199841"/>
    <x v="3910"/>
    <x v="4"/>
    <x v="0"/>
    <n v="152500"/>
    <x v="1"/>
    <x v="5"/>
    <x v="0"/>
    <n v="2821.25"/>
    <n v="1128.5"/>
    <n v="1692.75"/>
    <s v="Success"/>
  </r>
  <r>
    <s v="TXN84753025"/>
    <x v="3911"/>
    <x v="7"/>
    <x v="2"/>
    <n v="4762"/>
    <x v="0"/>
    <x v="1"/>
    <x v="0"/>
    <n v="0"/>
    <n v="0"/>
    <n v="0"/>
    <s v="Success"/>
  </r>
  <r>
    <s v="TXN81589804"/>
    <x v="3912"/>
    <x v="5"/>
    <x v="4"/>
    <n v="49931"/>
    <x v="0"/>
    <x v="0"/>
    <x v="5"/>
    <n v="499.31"/>
    <n v="0"/>
    <n v="499.31"/>
    <s v="Success"/>
  </r>
  <r>
    <s v="TXN87996249"/>
    <x v="3913"/>
    <x v="5"/>
    <x v="1"/>
    <n v="42380"/>
    <x v="0"/>
    <x v="5"/>
    <x v="0"/>
    <n v="5"/>
    <n v="0"/>
    <n v="5"/>
    <s v="Success"/>
  </r>
  <r>
    <s v="TXN31556683"/>
    <x v="3914"/>
    <x v="6"/>
    <x v="0"/>
    <n v="64500"/>
    <x v="0"/>
    <x v="5"/>
    <x v="0"/>
    <n v="1193.25"/>
    <n v="477.3"/>
    <n v="715.95"/>
    <s v="Success"/>
  </r>
  <r>
    <s v="TXN67075736"/>
    <x v="3915"/>
    <x v="6"/>
    <x v="1"/>
    <n v="112810"/>
    <x v="0"/>
    <x v="0"/>
    <x v="0"/>
    <n v="5"/>
    <n v="0"/>
    <n v="5"/>
    <s v="Success"/>
  </r>
  <r>
    <s v="TXN89388691"/>
    <x v="3916"/>
    <x v="3"/>
    <x v="2"/>
    <n v="4621"/>
    <x v="0"/>
    <x v="1"/>
    <x v="0"/>
    <n v="0"/>
    <n v="0"/>
    <n v="0"/>
    <s v="Success"/>
  </r>
  <r>
    <s v="TXN77666704"/>
    <x v="3917"/>
    <x v="5"/>
    <x v="1"/>
    <n v="21982"/>
    <x v="0"/>
    <x v="7"/>
    <x v="0"/>
    <n v="5"/>
    <n v="0"/>
    <n v="5"/>
    <s v="Success"/>
  </r>
  <r>
    <s v="TXN36053006"/>
    <x v="3918"/>
    <x v="1"/>
    <x v="2"/>
    <n v="2880"/>
    <x v="0"/>
    <x v="7"/>
    <x v="0"/>
    <n v="0"/>
    <n v="0"/>
    <n v="0"/>
    <s v="Success"/>
  </r>
  <r>
    <s v="TXN27014706"/>
    <x v="3919"/>
    <x v="6"/>
    <x v="3"/>
    <n v="114027"/>
    <x v="0"/>
    <x v="7"/>
    <x v="0"/>
    <n v="0"/>
    <n v="0"/>
    <n v="0"/>
    <s v="Success"/>
  </r>
  <r>
    <s v="TXN16728002"/>
    <x v="3920"/>
    <x v="5"/>
    <x v="3"/>
    <n v="59548"/>
    <x v="1"/>
    <x v="8"/>
    <x v="0"/>
    <n v="0"/>
    <n v="0"/>
    <n v="0"/>
    <s v="Success"/>
  </r>
  <r>
    <s v="TXN90702057"/>
    <x v="3921"/>
    <x v="1"/>
    <x v="2"/>
    <n v="4680"/>
    <x v="0"/>
    <x v="5"/>
    <x v="0"/>
    <n v="0"/>
    <n v="0"/>
    <n v="0"/>
    <s v="Success"/>
  </r>
  <r>
    <s v="TXN41806222"/>
    <x v="3922"/>
    <x v="3"/>
    <x v="0"/>
    <n v="212500"/>
    <x v="0"/>
    <x v="8"/>
    <x v="0"/>
    <n v="3931.25"/>
    <n v="1572.5"/>
    <n v="2358.75"/>
    <s v="Success"/>
  </r>
  <r>
    <s v="TXN67583088"/>
    <x v="3923"/>
    <x v="1"/>
    <x v="1"/>
    <n v="43518"/>
    <x v="0"/>
    <x v="0"/>
    <x v="0"/>
    <n v="5"/>
    <n v="0"/>
    <n v="5"/>
    <s v="Success"/>
  </r>
  <r>
    <s v="TXN61255873"/>
    <x v="3924"/>
    <x v="5"/>
    <x v="3"/>
    <n v="31895"/>
    <x v="0"/>
    <x v="7"/>
    <x v="0"/>
    <n v="0"/>
    <n v="0"/>
    <n v="0"/>
    <s v="Success"/>
  </r>
  <r>
    <s v="TXN99183046"/>
    <x v="3925"/>
    <x v="5"/>
    <x v="4"/>
    <n v="36739"/>
    <x v="0"/>
    <x v="4"/>
    <x v="5"/>
    <n v="367.39"/>
    <n v="0"/>
    <n v="367.39"/>
    <s v="Success"/>
  </r>
  <r>
    <s v="TXN48080053"/>
    <x v="3926"/>
    <x v="0"/>
    <x v="2"/>
    <n v="3773"/>
    <x v="0"/>
    <x v="7"/>
    <x v="0"/>
    <n v="0"/>
    <n v="0"/>
    <n v="0"/>
    <s v="Success"/>
  </r>
  <r>
    <s v="TXN15378669"/>
    <x v="3927"/>
    <x v="2"/>
    <x v="4"/>
    <n v="5864"/>
    <x v="0"/>
    <x v="2"/>
    <x v="5"/>
    <n v="58.64"/>
    <n v="0"/>
    <n v="58.64"/>
    <s v="Success"/>
  </r>
  <r>
    <s v="TXN38550326"/>
    <x v="3928"/>
    <x v="1"/>
    <x v="2"/>
    <n v="3980"/>
    <x v="1"/>
    <x v="5"/>
    <x v="0"/>
    <n v="0"/>
    <n v="0"/>
    <n v="0"/>
    <s v="Success"/>
  </r>
  <r>
    <s v="TXN28616126"/>
    <x v="3929"/>
    <x v="5"/>
    <x v="1"/>
    <n v="78452"/>
    <x v="0"/>
    <x v="8"/>
    <x v="0"/>
    <n v="5"/>
    <n v="0"/>
    <n v="5"/>
    <s v="Success"/>
  </r>
  <r>
    <s v="TXN19949146"/>
    <x v="3930"/>
    <x v="2"/>
    <x v="4"/>
    <n v="101896"/>
    <x v="1"/>
    <x v="1"/>
    <x v="2"/>
    <n v="1018.96"/>
    <n v="0"/>
    <n v="1018.96"/>
    <s v="Success"/>
  </r>
  <r>
    <s v="TXN72795466"/>
    <x v="3931"/>
    <x v="5"/>
    <x v="3"/>
    <n v="62054"/>
    <x v="0"/>
    <x v="8"/>
    <x v="0"/>
    <n v="0"/>
    <n v="0"/>
    <n v="0"/>
    <s v="Success"/>
  </r>
  <r>
    <s v="TXN89666707"/>
    <x v="3932"/>
    <x v="3"/>
    <x v="0"/>
    <n v="222000"/>
    <x v="1"/>
    <x v="3"/>
    <x v="0"/>
    <n v="4107"/>
    <n v="1642.8"/>
    <n v="2464.1999999999998"/>
    <s v="Success"/>
  </r>
  <r>
    <s v="TXN70626490"/>
    <x v="3933"/>
    <x v="2"/>
    <x v="3"/>
    <n v="72520"/>
    <x v="0"/>
    <x v="0"/>
    <x v="0"/>
    <n v="0"/>
    <n v="0"/>
    <n v="0"/>
    <s v="Success"/>
  </r>
  <r>
    <s v="TXN93830439"/>
    <x v="3934"/>
    <x v="3"/>
    <x v="0"/>
    <n v="86000"/>
    <x v="0"/>
    <x v="5"/>
    <x v="0"/>
    <n v="1591"/>
    <n v="636.4"/>
    <n v="954.6"/>
    <s v="Success"/>
  </r>
  <r>
    <s v="TXN31495699"/>
    <x v="3935"/>
    <x v="7"/>
    <x v="4"/>
    <n v="105871"/>
    <x v="0"/>
    <x v="4"/>
    <x v="5"/>
    <n v="1058.71"/>
    <n v="0"/>
    <n v="1058.71"/>
    <s v="Success"/>
  </r>
  <r>
    <s v="TXN42263487"/>
    <x v="3936"/>
    <x v="3"/>
    <x v="4"/>
    <n v="99611"/>
    <x v="0"/>
    <x v="5"/>
    <x v="4"/>
    <n v="996.11"/>
    <n v="0"/>
    <n v="996.11"/>
    <s v="Success"/>
  </r>
  <r>
    <s v="TXN28579253"/>
    <x v="3937"/>
    <x v="3"/>
    <x v="4"/>
    <n v="70929"/>
    <x v="0"/>
    <x v="5"/>
    <x v="1"/>
    <n v="709.29"/>
    <n v="0"/>
    <n v="709.29"/>
    <s v="Success"/>
  </r>
  <r>
    <s v="TXN23697073"/>
    <x v="3938"/>
    <x v="1"/>
    <x v="3"/>
    <n v="78617"/>
    <x v="0"/>
    <x v="3"/>
    <x v="0"/>
    <n v="0"/>
    <n v="0"/>
    <n v="0"/>
    <s v="Success"/>
  </r>
  <r>
    <s v="TXN51910786"/>
    <x v="3939"/>
    <x v="2"/>
    <x v="4"/>
    <n v="70979"/>
    <x v="0"/>
    <x v="1"/>
    <x v="1"/>
    <n v="709.79"/>
    <n v="0"/>
    <n v="709.79"/>
    <s v="Failed"/>
  </r>
  <r>
    <s v="TXN94211780"/>
    <x v="3940"/>
    <x v="6"/>
    <x v="0"/>
    <n v="174000"/>
    <x v="0"/>
    <x v="5"/>
    <x v="0"/>
    <n v="3219"/>
    <n v="1287.5999999999999"/>
    <n v="1931.4"/>
    <s v="Success"/>
  </r>
  <r>
    <s v="TXN92149774"/>
    <x v="3941"/>
    <x v="3"/>
    <x v="0"/>
    <n v="136000"/>
    <x v="0"/>
    <x v="3"/>
    <x v="0"/>
    <n v="2516"/>
    <n v="1006.4"/>
    <n v="1509.6"/>
    <s v="Success"/>
  </r>
  <r>
    <s v="TXN94884472"/>
    <x v="3942"/>
    <x v="0"/>
    <x v="2"/>
    <n v="4237"/>
    <x v="2"/>
    <x v="5"/>
    <x v="0"/>
    <n v="0"/>
    <n v="0"/>
    <n v="0"/>
    <s v="Success"/>
  </r>
  <r>
    <s v="TXN69584242"/>
    <x v="3943"/>
    <x v="4"/>
    <x v="2"/>
    <n v="4834"/>
    <x v="0"/>
    <x v="5"/>
    <x v="0"/>
    <n v="0"/>
    <n v="0"/>
    <n v="0"/>
    <s v="Success"/>
  </r>
  <r>
    <s v="TXN13771201"/>
    <x v="3944"/>
    <x v="7"/>
    <x v="1"/>
    <n v="4395"/>
    <x v="0"/>
    <x v="6"/>
    <x v="0"/>
    <n v="5"/>
    <n v="0"/>
    <n v="5"/>
    <s v="Success"/>
  </r>
  <r>
    <s v="TXN79569884"/>
    <x v="3945"/>
    <x v="1"/>
    <x v="3"/>
    <n v="56860"/>
    <x v="0"/>
    <x v="4"/>
    <x v="0"/>
    <n v="0"/>
    <n v="0"/>
    <n v="0"/>
    <s v="Success"/>
  </r>
  <r>
    <s v="TXN27189967"/>
    <x v="3946"/>
    <x v="3"/>
    <x v="0"/>
    <n v="82500"/>
    <x v="0"/>
    <x v="2"/>
    <x v="0"/>
    <n v="1526.25"/>
    <n v="610.5"/>
    <n v="915.75"/>
    <s v="Success"/>
  </r>
  <r>
    <s v="TXN98275549"/>
    <x v="3947"/>
    <x v="0"/>
    <x v="0"/>
    <n v="112500"/>
    <x v="0"/>
    <x v="5"/>
    <x v="0"/>
    <n v="2081.25"/>
    <n v="832.5"/>
    <n v="1248.75"/>
    <s v="Success"/>
  </r>
  <r>
    <s v="TXN77668224"/>
    <x v="3948"/>
    <x v="7"/>
    <x v="3"/>
    <n v="79034"/>
    <x v="0"/>
    <x v="3"/>
    <x v="0"/>
    <n v="0"/>
    <n v="0"/>
    <n v="0"/>
    <s v="Success"/>
  </r>
  <r>
    <s v="TXN21725104"/>
    <x v="3949"/>
    <x v="4"/>
    <x v="2"/>
    <n v="3065"/>
    <x v="0"/>
    <x v="3"/>
    <x v="0"/>
    <n v="0"/>
    <n v="0"/>
    <n v="0"/>
    <s v="Success"/>
  </r>
  <r>
    <s v="TXN12200487"/>
    <x v="3950"/>
    <x v="3"/>
    <x v="4"/>
    <n v="101089"/>
    <x v="0"/>
    <x v="3"/>
    <x v="3"/>
    <n v="1010.89"/>
    <n v="0"/>
    <n v="1010.89"/>
    <s v="Success"/>
  </r>
  <r>
    <s v="TXN58164122"/>
    <x v="3951"/>
    <x v="5"/>
    <x v="0"/>
    <n v="112000"/>
    <x v="0"/>
    <x v="2"/>
    <x v="0"/>
    <n v="2072"/>
    <n v="828.8"/>
    <n v="1243.2"/>
    <s v="Success"/>
  </r>
  <r>
    <s v="TXN78926221"/>
    <x v="3952"/>
    <x v="7"/>
    <x v="0"/>
    <n v="7500"/>
    <x v="0"/>
    <x v="7"/>
    <x v="0"/>
    <n v="138.75"/>
    <n v="55.5"/>
    <n v="83.25"/>
    <s v="Success"/>
  </r>
  <r>
    <s v="TXN80149116"/>
    <x v="3953"/>
    <x v="1"/>
    <x v="4"/>
    <n v="96444"/>
    <x v="0"/>
    <x v="7"/>
    <x v="3"/>
    <n v="964.44"/>
    <n v="0"/>
    <n v="964.44"/>
    <s v="Success"/>
  </r>
  <r>
    <s v="TXN91277854"/>
    <x v="3954"/>
    <x v="7"/>
    <x v="3"/>
    <n v="59148"/>
    <x v="2"/>
    <x v="4"/>
    <x v="0"/>
    <n v="0"/>
    <n v="0"/>
    <n v="0"/>
    <s v="Success"/>
  </r>
  <r>
    <s v="TXN13987190"/>
    <x v="3955"/>
    <x v="1"/>
    <x v="0"/>
    <n v="215500"/>
    <x v="0"/>
    <x v="8"/>
    <x v="0"/>
    <n v="3986.75"/>
    <n v="1594.7"/>
    <n v="2392.0500000000002"/>
    <s v="Success"/>
  </r>
  <r>
    <s v="TXN96239538"/>
    <x v="3956"/>
    <x v="7"/>
    <x v="3"/>
    <n v="137760"/>
    <x v="0"/>
    <x v="0"/>
    <x v="0"/>
    <n v="0"/>
    <n v="0"/>
    <n v="0"/>
    <s v="Success"/>
  </r>
  <r>
    <s v="TXN88543875"/>
    <x v="3957"/>
    <x v="2"/>
    <x v="3"/>
    <n v="12340"/>
    <x v="0"/>
    <x v="5"/>
    <x v="0"/>
    <n v="0"/>
    <n v="0"/>
    <n v="0"/>
    <s v="Success"/>
  </r>
  <r>
    <s v="TXN85961794"/>
    <x v="3958"/>
    <x v="6"/>
    <x v="0"/>
    <n v="58500"/>
    <x v="0"/>
    <x v="0"/>
    <x v="0"/>
    <n v="1082.25"/>
    <n v="432.9"/>
    <n v="649.35"/>
    <s v="Success"/>
  </r>
  <r>
    <s v="TXN69013353"/>
    <x v="3959"/>
    <x v="6"/>
    <x v="1"/>
    <n v="146091"/>
    <x v="0"/>
    <x v="4"/>
    <x v="0"/>
    <n v="5"/>
    <n v="0"/>
    <n v="5"/>
    <s v="Failed"/>
  </r>
  <r>
    <s v="TXN63007958"/>
    <x v="3960"/>
    <x v="4"/>
    <x v="3"/>
    <n v="54706"/>
    <x v="0"/>
    <x v="6"/>
    <x v="0"/>
    <n v="0"/>
    <n v="0"/>
    <n v="0"/>
    <s v="Success"/>
  </r>
  <r>
    <s v="TXN26328873"/>
    <x v="3961"/>
    <x v="4"/>
    <x v="0"/>
    <n v="140000"/>
    <x v="0"/>
    <x v="7"/>
    <x v="0"/>
    <n v="2590"/>
    <n v="1036"/>
    <n v="1554"/>
    <s v="Success"/>
  </r>
  <r>
    <s v="TXN87530577"/>
    <x v="3962"/>
    <x v="6"/>
    <x v="1"/>
    <n v="137757"/>
    <x v="0"/>
    <x v="7"/>
    <x v="0"/>
    <n v="5"/>
    <n v="0"/>
    <n v="5"/>
    <s v="Success"/>
  </r>
  <r>
    <s v="TXN84680074"/>
    <x v="3963"/>
    <x v="3"/>
    <x v="4"/>
    <n v="85594"/>
    <x v="0"/>
    <x v="7"/>
    <x v="5"/>
    <n v="855.94"/>
    <n v="0"/>
    <n v="855.94"/>
    <s v="Success"/>
  </r>
  <r>
    <s v="TXN88552128"/>
    <x v="3964"/>
    <x v="5"/>
    <x v="3"/>
    <n v="111511"/>
    <x v="0"/>
    <x v="1"/>
    <x v="0"/>
    <n v="0"/>
    <n v="0"/>
    <n v="0"/>
    <s v="Success"/>
  </r>
  <r>
    <s v="TXN26641440"/>
    <x v="3965"/>
    <x v="5"/>
    <x v="1"/>
    <n v="78084"/>
    <x v="0"/>
    <x v="7"/>
    <x v="0"/>
    <n v="5"/>
    <n v="0"/>
    <n v="5"/>
    <s v="Success"/>
  </r>
  <r>
    <s v="TXN51379301"/>
    <x v="3966"/>
    <x v="4"/>
    <x v="3"/>
    <n v="22064"/>
    <x v="0"/>
    <x v="5"/>
    <x v="0"/>
    <n v="0"/>
    <n v="0"/>
    <n v="0"/>
    <s v="Success"/>
  </r>
  <r>
    <s v="TXN43478374"/>
    <x v="3967"/>
    <x v="5"/>
    <x v="2"/>
    <n v="1792"/>
    <x v="1"/>
    <x v="1"/>
    <x v="0"/>
    <n v="0"/>
    <n v="0"/>
    <n v="0"/>
    <s v="Success"/>
  </r>
  <r>
    <s v="TXN70771590"/>
    <x v="3968"/>
    <x v="6"/>
    <x v="2"/>
    <n v="3556"/>
    <x v="0"/>
    <x v="7"/>
    <x v="0"/>
    <n v="0"/>
    <n v="0"/>
    <n v="0"/>
    <s v="Success"/>
  </r>
  <r>
    <s v="TXN35729761"/>
    <x v="3969"/>
    <x v="4"/>
    <x v="3"/>
    <n v="108905"/>
    <x v="2"/>
    <x v="6"/>
    <x v="0"/>
    <n v="0"/>
    <n v="0"/>
    <n v="0"/>
    <s v="Success"/>
  </r>
  <r>
    <s v="TXN61951272"/>
    <x v="3970"/>
    <x v="5"/>
    <x v="1"/>
    <n v="21505"/>
    <x v="0"/>
    <x v="6"/>
    <x v="0"/>
    <n v="5"/>
    <n v="0"/>
    <n v="5"/>
    <s v="Success"/>
  </r>
  <r>
    <s v="TXN57135270"/>
    <x v="3971"/>
    <x v="7"/>
    <x v="0"/>
    <n v="157000"/>
    <x v="0"/>
    <x v="3"/>
    <x v="0"/>
    <n v="2904.5"/>
    <n v="1161.8"/>
    <n v="1742.7"/>
    <s v="Success"/>
  </r>
  <r>
    <s v="TXN59750499"/>
    <x v="3972"/>
    <x v="0"/>
    <x v="1"/>
    <n v="2984"/>
    <x v="0"/>
    <x v="3"/>
    <x v="0"/>
    <n v="5"/>
    <n v="0"/>
    <n v="5"/>
    <s v="Success"/>
  </r>
  <r>
    <s v="TXN89078053"/>
    <x v="3973"/>
    <x v="5"/>
    <x v="0"/>
    <n v="247000"/>
    <x v="0"/>
    <x v="2"/>
    <x v="0"/>
    <n v="4569.5"/>
    <n v="1827.8"/>
    <n v="2741.7"/>
    <s v="Success"/>
  </r>
  <r>
    <s v="TXN67357141"/>
    <x v="3974"/>
    <x v="6"/>
    <x v="4"/>
    <n v="144176"/>
    <x v="0"/>
    <x v="8"/>
    <x v="5"/>
    <n v="1441.76"/>
    <n v="0"/>
    <n v="1441.76"/>
    <s v="Success"/>
  </r>
  <r>
    <s v="TXN69178692"/>
    <x v="3975"/>
    <x v="0"/>
    <x v="0"/>
    <n v="6000"/>
    <x v="0"/>
    <x v="5"/>
    <x v="0"/>
    <n v="111"/>
    <n v="44.4"/>
    <n v="66.599999999999994"/>
    <s v="Success"/>
  </r>
  <r>
    <s v="TXN62561410"/>
    <x v="3976"/>
    <x v="4"/>
    <x v="4"/>
    <n v="85138"/>
    <x v="0"/>
    <x v="4"/>
    <x v="2"/>
    <n v="851.38"/>
    <n v="0"/>
    <n v="851.38"/>
    <s v="Failed"/>
  </r>
  <r>
    <s v="TXN83748540"/>
    <x v="3977"/>
    <x v="0"/>
    <x v="2"/>
    <n v="3383"/>
    <x v="2"/>
    <x v="5"/>
    <x v="0"/>
    <n v="0"/>
    <n v="0"/>
    <n v="0"/>
    <s v="Success"/>
  </r>
  <r>
    <s v="TXN48166978"/>
    <x v="3978"/>
    <x v="7"/>
    <x v="1"/>
    <n v="53752"/>
    <x v="0"/>
    <x v="5"/>
    <x v="0"/>
    <n v="5"/>
    <n v="0"/>
    <n v="5"/>
    <s v="Success"/>
  </r>
  <r>
    <s v="TXN42622864"/>
    <x v="3979"/>
    <x v="0"/>
    <x v="4"/>
    <n v="85665"/>
    <x v="0"/>
    <x v="3"/>
    <x v="2"/>
    <n v="856.65"/>
    <n v="0"/>
    <n v="856.65"/>
    <s v="Success"/>
  </r>
  <r>
    <s v="TXN50499687"/>
    <x v="3980"/>
    <x v="2"/>
    <x v="4"/>
    <n v="62235"/>
    <x v="0"/>
    <x v="0"/>
    <x v="2"/>
    <n v="622.35"/>
    <n v="0"/>
    <n v="622.35"/>
    <s v="Success"/>
  </r>
  <r>
    <s v="TXN72737183"/>
    <x v="3981"/>
    <x v="4"/>
    <x v="1"/>
    <n v="28133"/>
    <x v="0"/>
    <x v="0"/>
    <x v="0"/>
    <n v="5"/>
    <n v="0"/>
    <n v="5"/>
    <s v="Success"/>
  </r>
  <r>
    <s v="TXN75568183"/>
    <x v="3982"/>
    <x v="0"/>
    <x v="3"/>
    <n v="118297"/>
    <x v="0"/>
    <x v="5"/>
    <x v="0"/>
    <n v="0"/>
    <n v="0"/>
    <n v="0"/>
    <s v="Success"/>
  </r>
  <r>
    <s v="TXN35925126"/>
    <x v="3983"/>
    <x v="6"/>
    <x v="3"/>
    <n v="93968"/>
    <x v="0"/>
    <x v="8"/>
    <x v="0"/>
    <n v="0"/>
    <n v="0"/>
    <n v="0"/>
    <s v="Success"/>
  </r>
  <r>
    <s v="TXN34208549"/>
    <x v="3984"/>
    <x v="3"/>
    <x v="0"/>
    <n v="129000"/>
    <x v="0"/>
    <x v="2"/>
    <x v="0"/>
    <n v="2386.5"/>
    <n v="954.6"/>
    <n v="1431.9"/>
    <s v="Success"/>
  </r>
  <r>
    <s v="TXN76365826"/>
    <x v="3985"/>
    <x v="4"/>
    <x v="4"/>
    <n v="109535"/>
    <x v="0"/>
    <x v="4"/>
    <x v="3"/>
    <n v="1095.3499999999999"/>
    <n v="0"/>
    <n v="1095.3499999999999"/>
    <s v="Success"/>
  </r>
  <r>
    <s v="TXN73719053"/>
    <x v="3986"/>
    <x v="0"/>
    <x v="1"/>
    <n v="33914"/>
    <x v="0"/>
    <x v="0"/>
    <x v="0"/>
    <n v="5"/>
    <n v="0"/>
    <n v="5"/>
    <s v="Success"/>
  </r>
  <r>
    <s v="TXN66244935"/>
    <x v="3987"/>
    <x v="4"/>
    <x v="4"/>
    <n v="87381"/>
    <x v="0"/>
    <x v="3"/>
    <x v="3"/>
    <n v="873.81"/>
    <n v="0"/>
    <n v="873.81"/>
    <s v="Success"/>
  </r>
  <r>
    <s v="TXN76648125"/>
    <x v="3988"/>
    <x v="2"/>
    <x v="1"/>
    <n v="68698"/>
    <x v="0"/>
    <x v="2"/>
    <x v="0"/>
    <n v="5"/>
    <n v="0"/>
    <n v="5"/>
    <s v="Success"/>
  </r>
  <r>
    <s v="TXN43503283"/>
    <x v="3989"/>
    <x v="1"/>
    <x v="2"/>
    <n v="3887"/>
    <x v="0"/>
    <x v="7"/>
    <x v="0"/>
    <n v="0"/>
    <n v="0"/>
    <n v="0"/>
    <s v="Success"/>
  </r>
  <r>
    <s v="TXN39527566"/>
    <x v="3990"/>
    <x v="1"/>
    <x v="4"/>
    <n v="90027"/>
    <x v="0"/>
    <x v="0"/>
    <x v="4"/>
    <n v="900.27"/>
    <n v="0"/>
    <n v="900.27"/>
    <s v="Success"/>
  </r>
  <r>
    <s v="TXN57784064"/>
    <x v="3991"/>
    <x v="5"/>
    <x v="3"/>
    <n v="41376"/>
    <x v="0"/>
    <x v="3"/>
    <x v="0"/>
    <n v="0"/>
    <n v="0"/>
    <n v="0"/>
    <s v="Success"/>
  </r>
  <r>
    <s v="TXN80627376"/>
    <x v="3992"/>
    <x v="5"/>
    <x v="0"/>
    <n v="213000"/>
    <x v="0"/>
    <x v="5"/>
    <x v="0"/>
    <n v="3940.5"/>
    <n v="1576.2"/>
    <n v="2364.3000000000002"/>
    <s v="Success"/>
  </r>
  <r>
    <s v="TXN84971067"/>
    <x v="3993"/>
    <x v="4"/>
    <x v="3"/>
    <n v="123407"/>
    <x v="0"/>
    <x v="8"/>
    <x v="0"/>
    <n v="0"/>
    <n v="0"/>
    <n v="0"/>
    <s v="Success"/>
  </r>
  <r>
    <s v="TXN70356359"/>
    <x v="3994"/>
    <x v="6"/>
    <x v="2"/>
    <n v="3567"/>
    <x v="0"/>
    <x v="0"/>
    <x v="0"/>
    <n v="0"/>
    <n v="0"/>
    <n v="0"/>
    <s v="Success"/>
  </r>
  <r>
    <s v="TXN45452501"/>
    <x v="3995"/>
    <x v="4"/>
    <x v="0"/>
    <n v="25500"/>
    <x v="0"/>
    <x v="7"/>
    <x v="0"/>
    <n v="471.75"/>
    <n v="188.7"/>
    <n v="283.05"/>
    <s v="Success"/>
  </r>
  <r>
    <s v="TXN96448280"/>
    <x v="3996"/>
    <x v="1"/>
    <x v="2"/>
    <n v="1229"/>
    <x v="0"/>
    <x v="5"/>
    <x v="0"/>
    <n v="0"/>
    <n v="0"/>
    <n v="0"/>
    <s v="Success"/>
  </r>
  <r>
    <s v="TXN43928915"/>
    <x v="3997"/>
    <x v="3"/>
    <x v="1"/>
    <n v="1662"/>
    <x v="1"/>
    <x v="2"/>
    <x v="0"/>
    <n v="5"/>
    <n v="0"/>
    <n v="5"/>
    <s v="Success"/>
  </r>
  <r>
    <s v="TXN33707831"/>
    <x v="3998"/>
    <x v="4"/>
    <x v="4"/>
    <n v="105065"/>
    <x v="0"/>
    <x v="4"/>
    <x v="5"/>
    <n v="1050.6500000000001"/>
    <n v="0"/>
    <n v="1050.6500000000001"/>
    <s v="Success"/>
  </r>
  <r>
    <s v="TXN52283312"/>
    <x v="3999"/>
    <x v="6"/>
    <x v="3"/>
    <n v="146651"/>
    <x v="0"/>
    <x v="5"/>
    <x v="0"/>
    <n v="0"/>
    <n v="0"/>
    <n v="0"/>
    <s v="Success"/>
  </r>
  <r>
    <s v="TXN48186153"/>
    <x v="4000"/>
    <x v="2"/>
    <x v="3"/>
    <n v="113032"/>
    <x v="0"/>
    <x v="3"/>
    <x v="0"/>
    <n v="0"/>
    <n v="0"/>
    <n v="0"/>
    <s v="Success"/>
  </r>
  <r>
    <s v="TXN36339413"/>
    <x v="4001"/>
    <x v="2"/>
    <x v="4"/>
    <n v="118349"/>
    <x v="0"/>
    <x v="0"/>
    <x v="2"/>
    <n v="1183.49"/>
    <n v="0"/>
    <n v="1183.49"/>
    <s v="Success"/>
  </r>
  <r>
    <s v="TXN12964286"/>
    <x v="4002"/>
    <x v="3"/>
    <x v="1"/>
    <n v="143728"/>
    <x v="0"/>
    <x v="2"/>
    <x v="0"/>
    <n v="5"/>
    <n v="0"/>
    <n v="5"/>
    <s v="Success"/>
  </r>
  <r>
    <s v="TXN12146383"/>
    <x v="4003"/>
    <x v="5"/>
    <x v="3"/>
    <n v="73138"/>
    <x v="0"/>
    <x v="3"/>
    <x v="0"/>
    <n v="0"/>
    <n v="0"/>
    <n v="0"/>
    <s v="Success"/>
  </r>
  <r>
    <s v="TXN73533205"/>
    <x v="4004"/>
    <x v="1"/>
    <x v="4"/>
    <n v="39588"/>
    <x v="0"/>
    <x v="7"/>
    <x v="2"/>
    <n v="395.88"/>
    <n v="0"/>
    <n v="395.88"/>
    <s v="Success"/>
  </r>
  <r>
    <s v="TXN76562710"/>
    <x v="4005"/>
    <x v="2"/>
    <x v="4"/>
    <n v="81029"/>
    <x v="2"/>
    <x v="5"/>
    <x v="5"/>
    <n v="810.29"/>
    <n v="0"/>
    <n v="810.29"/>
    <s v="Success"/>
  </r>
  <r>
    <s v="TXN26443989"/>
    <x v="4006"/>
    <x v="7"/>
    <x v="2"/>
    <n v="2971"/>
    <x v="1"/>
    <x v="1"/>
    <x v="0"/>
    <n v="0"/>
    <n v="0"/>
    <n v="0"/>
    <s v="Success"/>
  </r>
  <r>
    <s v="TXN80223017"/>
    <x v="4007"/>
    <x v="7"/>
    <x v="4"/>
    <n v="67138"/>
    <x v="0"/>
    <x v="5"/>
    <x v="4"/>
    <n v="671.38"/>
    <n v="0"/>
    <n v="671.38"/>
    <s v="Success"/>
  </r>
  <r>
    <s v="TXN16909993"/>
    <x v="4008"/>
    <x v="3"/>
    <x v="0"/>
    <n v="108000"/>
    <x v="1"/>
    <x v="2"/>
    <x v="0"/>
    <n v="1998"/>
    <n v="799.2"/>
    <n v="1198.8"/>
    <s v="Success"/>
  </r>
  <r>
    <s v="TXN66593884"/>
    <x v="4009"/>
    <x v="1"/>
    <x v="4"/>
    <n v="29489"/>
    <x v="0"/>
    <x v="6"/>
    <x v="4"/>
    <n v="294.89"/>
    <n v="0"/>
    <n v="294.89"/>
    <s v="Success"/>
  </r>
  <r>
    <s v="TXN51939882"/>
    <x v="4010"/>
    <x v="6"/>
    <x v="3"/>
    <n v="145545"/>
    <x v="0"/>
    <x v="4"/>
    <x v="0"/>
    <n v="0"/>
    <n v="0"/>
    <n v="0"/>
    <s v="Success"/>
  </r>
  <r>
    <s v="TXN93058493"/>
    <x v="4011"/>
    <x v="1"/>
    <x v="2"/>
    <n v="4441"/>
    <x v="1"/>
    <x v="6"/>
    <x v="0"/>
    <n v="0"/>
    <n v="0"/>
    <n v="0"/>
    <s v="Success"/>
  </r>
  <r>
    <s v="TXN55563321"/>
    <x v="4012"/>
    <x v="5"/>
    <x v="4"/>
    <n v="129613"/>
    <x v="0"/>
    <x v="5"/>
    <x v="5"/>
    <n v="1296.1300000000001"/>
    <n v="0"/>
    <n v="1296.1300000000001"/>
    <s v="Failed"/>
  </r>
  <r>
    <s v="TXN57570513"/>
    <x v="4013"/>
    <x v="1"/>
    <x v="2"/>
    <n v="4361"/>
    <x v="0"/>
    <x v="0"/>
    <x v="0"/>
    <n v="0"/>
    <n v="0"/>
    <n v="0"/>
    <s v="Success"/>
  </r>
  <r>
    <s v="TXN95073673"/>
    <x v="4014"/>
    <x v="4"/>
    <x v="0"/>
    <n v="78500"/>
    <x v="0"/>
    <x v="6"/>
    <x v="0"/>
    <n v="1452.25"/>
    <n v="580.9"/>
    <n v="871.35"/>
    <s v="Success"/>
  </r>
  <r>
    <s v="TXN81210747"/>
    <x v="4015"/>
    <x v="0"/>
    <x v="3"/>
    <n v="4300"/>
    <x v="0"/>
    <x v="6"/>
    <x v="0"/>
    <n v="0"/>
    <n v="0"/>
    <n v="0"/>
    <s v="Success"/>
  </r>
  <r>
    <s v="TXN70218022"/>
    <x v="4016"/>
    <x v="5"/>
    <x v="4"/>
    <n v="52502"/>
    <x v="0"/>
    <x v="8"/>
    <x v="4"/>
    <n v="525.02"/>
    <n v="0"/>
    <n v="525.02"/>
    <s v="Failed"/>
  </r>
  <r>
    <s v="TXN35793354"/>
    <x v="4017"/>
    <x v="2"/>
    <x v="0"/>
    <n v="129500"/>
    <x v="0"/>
    <x v="6"/>
    <x v="0"/>
    <n v="2395.75"/>
    <n v="958.3"/>
    <n v="1437.45"/>
    <s v="Success"/>
  </r>
  <r>
    <s v="TXN52199466"/>
    <x v="4018"/>
    <x v="6"/>
    <x v="3"/>
    <n v="105221"/>
    <x v="0"/>
    <x v="3"/>
    <x v="0"/>
    <n v="0"/>
    <n v="0"/>
    <n v="0"/>
    <s v="Success"/>
  </r>
  <r>
    <s v="TXN17517218"/>
    <x v="4019"/>
    <x v="5"/>
    <x v="3"/>
    <n v="102021"/>
    <x v="0"/>
    <x v="2"/>
    <x v="0"/>
    <n v="0"/>
    <n v="0"/>
    <n v="0"/>
    <s v="Success"/>
  </r>
  <r>
    <s v="TXN13413531"/>
    <x v="4020"/>
    <x v="1"/>
    <x v="4"/>
    <n v="63029"/>
    <x v="2"/>
    <x v="6"/>
    <x v="4"/>
    <n v="630.29"/>
    <n v="0"/>
    <n v="630.29"/>
    <s v="Success"/>
  </r>
  <r>
    <s v="TXN11600664"/>
    <x v="4021"/>
    <x v="7"/>
    <x v="4"/>
    <n v="47155"/>
    <x v="0"/>
    <x v="1"/>
    <x v="3"/>
    <n v="471.55"/>
    <n v="0"/>
    <n v="471.55"/>
    <s v="Success"/>
  </r>
  <r>
    <s v="TXN58826472"/>
    <x v="4022"/>
    <x v="6"/>
    <x v="0"/>
    <n v="18000"/>
    <x v="0"/>
    <x v="2"/>
    <x v="0"/>
    <n v="333"/>
    <n v="133.19999999999999"/>
    <n v="199.8"/>
    <s v="Success"/>
  </r>
  <r>
    <s v="TXN10712531"/>
    <x v="4023"/>
    <x v="4"/>
    <x v="0"/>
    <n v="22500"/>
    <x v="1"/>
    <x v="3"/>
    <x v="0"/>
    <n v="416.25"/>
    <n v="166.5"/>
    <n v="249.75"/>
    <s v="Success"/>
  </r>
  <r>
    <s v="TXN58569075"/>
    <x v="4024"/>
    <x v="3"/>
    <x v="0"/>
    <n v="118000"/>
    <x v="0"/>
    <x v="4"/>
    <x v="0"/>
    <n v="2183"/>
    <n v="873.2"/>
    <n v="1309.8"/>
    <s v="Success"/>
  </r>
  <r>
    <s v="TXN76517466"/>
    <x v="4025"/>
    <x v="5"/>
    <x v="4"/>
    <n v="20525"/>
    <x v="0"/>
    <x v="3"/>
    <x v="5"/>
    <n v="205.25"/>
    <n v="0"/>
    <n v="205.25"/>
    <s v="Success"/>
  </r>
  <r>
    <s v="TXN83184952"/>
    <x v="4026"/>
    <x v="7"/>
    <x v="4"/>
    <n v="97746"/>
    <x v="0"/>
    <x v="0"/>
    <x v="5"/>
    <n v="977.46"/>
    <n v="0"/>
    <n v="977.46"/>
    <s v="Success"/>
  </r>
  <r>
    <s v="TXN75562702"/>
    <x v="4027"/>
    <x v="4"/>
    <x v="2"/>
    <n v="2811"/>
    <x v="0"/>
    <x v="6"/>
    <x v="0"/>
    <n v="0"/>
    <n v="0"/>
    <n v="0"/>
    <s v="Success"/>
  </r>
  <r>
    <s v="TXN86742196"/>
    <x v="4028"/>
    <x v="5"/>
    <x v="0"/>
    <n v="188000"/>
    <x v="0"/>
    <x v="6"/>
    <x v="0"/>
    <n v="3478"/>
    <n v="1391.2"/>
    <n v="2086.8000000000002"/>
    <s v="Success"/>
  </r>
  <r>
    <s v="TXN91017231"/>
    <x v="4029"/>
    <x v="5"/>
    <x v="1"/>
    <n v="107338"/>
    <x v="0"/>
    <x v="0"/>
    <x v="0"/>
    <n v="5"/>
    <n v="0"/>
    <n v="5"/>
    <s v="Success"/>
  </r>
  <r>
    <s v="TXN37300737"/>
    <x v="4030"/>
    <x v="2"/>
    <x v="2"/>
    <n v="1082"/>
    <x v="1"/>
    <x v="4"/>
    <x v="0"/>
    <n v="0"/>
    <n v="0"/>
    <n v="0"/>
    <s v="Failed"/>
  </r>
  <r>
    <s v="TXN52275833"/>
    <x v="4031"/>
    <x v="4"/>
    <x v="3"/>
    <n v="1055"/>
    <x v="0"/>
    <x v="6"/>
    <x v="0"/>
    <n v="0"/>
    <n v="0"/>
    <n v="0"/>
    <s v="Success"/>
  </r>
  <r>
    <s v="TXN39033741"/>
    <x v="4032"/>
    <x v="1"/>
    <x v="1"/>
    <n v="35469"/>
    <x v="0"/>
    <x v="2"/>
    <x v="0"/>
    <n v="5"/>
    <n v="0"/>
    <n v="5"/>
    <s v="Success"/>
  </r>
  <r>
    <s v="TXN40062886"/>
    <x v="4033"/>
    <x v="0"/>
    <x v="2"/>
    <n v="1670"/>
    <x v="0"/>
    <x v="7"/>
    <x v="0"/>
    <n v="0"/>
    <n v="0"/>
    <n v="0"/>
    <s v="Success"/>
  </r>
  <r>
    <s v="TXN58433317"/>
    <x v="4034"/>
    <x v="5"/>
    <x v="1"/>
    <n v="58203"/>
    <x v="0"/>
    <x v="5"/>
    <x v="0"/>
    <n v="5"/>
    <n v="0"/>
    <n v="5"/>
    <s v="Success"/>
  </r>
  <r>
    <s v="TXN13050000"/>
    <x v="4035"/>
    <x v="4"/>
    <x v="1"/>
    <n v="29031"/>
    <x v="0"/>
    <x v="0"/>
    <x v="0"/>
    <n v="5"/>
    <n v="0"/>
    <n v="5"/>
    <s v="Failed"/>
  </r>
  <r>
    <s v="TXN27967736"/>
    <x v="4036"/>
    <x v="5"/>
    <x v="3"/>
    <n v="109321"/>
    <x v="0"/>
    <x v="1"/>
    <x v="0"/>
    <n v="0"/>
    <n v="0"/>
    <n v="0"/>
    <s v="Success"/>
  </r>
  <r>
    <s v="TXN50656553"/>
    <x v="4037"/>
    <x v="5"/>
    <x v="3"/>
    <n v="56491"/>
    <x v="0"/>
    <x v="1"/>
    <x v="0"/>
    <n v="0"/>
    <n v="0"/>
    <n v="0"/>
    <s v="Success"/>
  </r>
  <r>
    <s v="TXN64094986"/>
    <x v="4038"/>
    <x v="5"/>
    <x v="1"/>
    <n v="141052"/>
    <x v="0"/>
    <x v="5"/>
    <x v="0"/>
    <n v="5"/>
    <n v="0"/>
    <n v="5"/>
    <s v="Success"/>
  </r>
  <r>
    <s v="TXN17776975"/>
    <x v="4039"/>
    <x v="6"/>
    <x v="2"/>
    <n v="2506"/>
    <x v="1"/>
    <x v="1"/>
    <x v="0"/>
    <n v="0"/>
    <n v="0"/>
    <n v="0"/>
    <s v="Success"/>
  </r>
  <r>
    <s v="TXN83890132"/>
    <x v="4040"/>
    <x v="0"/>
    <x v="4"/>
    <n v="47431"/>
    <x v="1"/>
    <x v="2"/>
    <x v="2"/>
    <n v="474.31"/>
    <n v="0"/>
    <n v="474.31"/>
    <s v="Success"/>
  </r>
  <r>
    <s v="TXN80316422"/>
    <x v="4041"/>
    <x v="3"/>
    <x v="0"/>
    <n v="92500"/>
    <x v="0"/>
    <x v="4"/>
    <x v="0"/>
    <n v="1711.25"/>
    <n v="684.5"/>
    <n v="1026.75"/>
    <s v="Failed"/>
  </r>
  <r>
    <s v="TXN51255448"/>
    <x v="4042"/>
    <x v="5"/>
    <x v="0"/>
    <n v="14500"/>
    <x v="2"/>
    <x v="2"/>
    <x v="0"/>
    <n v="268.25"/>
    <n v="107.3"/>
    <n v="160.94999999999999"/>
    <s v="Success"/>
  </r>
  <r>
    <s v="TXN15152048"/>
    <x v="4043"/>
    <x v="5"/>
    <x v="2"/>
    <n v="1811"/>
    <x v="0"/>
    <x v="4"/>
    <x v="0"/>
    <n v="0"/>
    <n v="0"/>
    <n v="0"/>
    <s v="Success"/>
  </r>
  <r>
    <s v="TXN31941093"/>
    <x v="4044"/>
    <x v="4"/>
    <x v="0"/>
    <n v="107500"/>
    <x v="1"/>
    <x v="6"/>
    <x v="0"/>
    <n v="1988.75"/>
    <n v="795.5"/>
    <n v="1193.25"/>
    <s v="Success"/>
  </r>
  <r>
    <s v="TXN99722252"/>
    <x v="4045"/>
    <x v="7"/>
    <x v="1"/>
    <n v="109503"/>
    <x v="0"/>
    <x v="7"/>
    <x v="0"/>
    <n v="5"/>
    <n v="0"/>
    <n v="5"/>
    <s v="Failed"/>
  </r>
  <r>
    <s v="TXN38469027"/>
    <x v="4046"/>
    <x v="3"/>
    <x v="0"/>
    <n v="82000"/>
    <x v="0"/>
    <x v="1"/>
    <x v="0"/>
    <n v="1517"/>
    <n v="606.79999999999995"/>
    <n v="910.2"/>
    <s v="Success"/>
  </r>
  <r>
    <s v="TXN36780384"/>
    <x v="4047"/>
    <x v="1"/>
    <x v="4"/>
    <n v="19424"/>
    <x v="0"/>
    <x v="1"/>
    <x v="3"/>
    <n v="194.24"/>
    <n v="0"/>
    <n v="194.24"/>
    <s v="Success"/>
  </r>
  <r>
    <s v="TXN79384238"/>
    <x v="4048"/>
    <x v="4"/>
    <x v="1"/>
    <n v="146095"/>
    <x v="2"/>
    <x v="7"/>
    <x v="0"/>
    <n v="5"/>
    <n v="0"/>
    <n v="5"/>
    <s v="Success"/>
  </r>
  <r>
    <s v="TXN31321593"/>
    <x v="4049"/>
    <x v="3"/>
    <x v="4"/>
    <n v="142024"/>
    <x v="0"/>
    <x v="6"/>
    <x v="3"/>
    <n v="1420.24"/>
    <n v="0"/>
    <n v="1420.24"/>
    <s v="Success"/>
  </r>
  <r>
    <s v="TXN54060343"/>
    <x v="4050"/>
    <x v="0"/>
    <x v="0"/>
    <n v="22000"/>
    <x v="0"/>
    <x v="8"/>
    <x v="0"/>
    <n v="407"/>
    <n v="162.80000000000001"/>
    <n v="244.2"/>
    <s v="Success"/>
  </r>
  <r>
    <s v="TXN86544973"/>
    <x v="4051"/>
    <x v="5"/>
    <x v="3"/>
    <n v="63086"/>
    <x v="1"/>
    <x v="5"/>
    <x v="0"/>
    <n v="0"/>
    <n v="0"/>
    <n v="0"/>
    <s v="Success"/>
  </r>
  <r>
    <s v="TXN61684270"/>
    <x v="4052"/>
    <x v="3"/>
    <x v="1"/>
    <n v="74779"/>
    <x v="0"/>
    <x v="5"/>
    <x v="0"/>
    <n v="5"/>
    <n v="0"/>
    <n v="5"/>
    <s v="Success"/>
  </r>
  <r>
    <s v="TXN51306431"/>
    <x v="4053"/>
    <x v="5"/>
    <x v="0"/>
    <n v="23000"/>
    <x v="0"/>
    <x v="6"/>
    <x v="0"/>
    <n v="425.5"/>
    <n v="170.2"/>
    <n v="255.3"/>
    <s v="Success"/>
  </r>
  <r>
    <s v="TXN59966385"/>
    <x v="4054"/>
    <x v="1"/>
    <x v="3"/>
    <n v="126951"/>
    <x v="0"/>
    <x v="0"/>
    <x v="0"/>
    <n v="0"/>
    <n v="0"/>
    <n v="0"/>
    <s v="Failed"/>
  </r>
  <r>
    <s v="TXN46921911"/>
    <x v="4055"/>
    <x v="3"/>
    <x v="4"/>
    <n v="66545"/>
    <x v="0"/>
    <x v="6"/>
    <x v="2"/>
    <n v="665.45"/>
    <n v="0"/>
    <n v="665.45"/>
    <s v="Success"/>
  </r>
  <r>
    <s v="TXN95155965"/>
    <x v="4056"/>
    <x v="7"/>
    <x v="1"/>
    <n v="5972"/>
    <x v="0"/>
    <x v="1"/>
    <x v="0"/>
    <n v="5"/>
    <n v="0"/>
    <n v="5"/>
    <s v="Failed"/>
  </r>
  <r>
    <s v="TXN39527797"/>
    <x v="4057"/>
    <x v="3"/>
    <x v="2"/>
    <n v="2464"/>
    <x v="2"/>
    <x v="5"/>
    <x v="0"/>
    <n v="0"/>
    <n v="0"/>
    <n v="0"/>
    <s v="Success"/>
  </r>
  <r>
    <s v="TXN61109413"/>
    <x v="4058"/>
    <x v="2"/>
    <x v="2"/>
    <n v="785"/>
    <x v="0"/>
    <x v="7"/>
    <x v="0"/>
    <n v="0"/>
    <n v="0"/>
    <n v="0"/>
    <s v="Success"/>
  </r>
  <r>
    <s v="TXN75747648"/>
    <x v="4059"/>
    <x v="4"/>
    <x v="2"/>
    <n v="2724"/>
    <x v="1"/>
    <x v="5"/>
    <x v="0"/>
    <n v="0"/>
    <n v="0"/>
    <n v="0"/>
    <s v="Success"/>
  </r>
  <r>
    <s v="TXN71168060"/>
    <x v="4060"/>
    <x v="0"/>
    <x v="2"/>
    <n v="1949"/>
    <x v="0"/>
    <x v="5"/>
    <x v="0"/>
    <n v="0"/>
    <n v="0"/>
    <n v="0"/>
    <s v="Success"/>
  </r>
  <r>
    <s v="TXN39160148"/>
    <x v="4061"/>
    <x v="4"/>
    <x v="3"/>
    <n v="21431"/>
    <x v="0"/>
    <x v="3"/>
    <x v="0"/>
    <n v="0"/>
    <n v="0"/>
    <n v="0"/>
    <s v="Success"/>
  </r>
  <r>
    <s v="TXN61392653"/>
    <x v="4062"/>
    <x v="0"/>
    <x v="0"/>
    <n v="210000"/>
    <x v="0"/>
    <x v="8"/>
    <x v="0"/>
    <n v="3885"/>
    <n v="1554"/>
    <n v="2331"/>
    <s v="Success"/>
  </r>
  <r>
    <s v="TXN57270363"/>
    <x v="4063"/>
    <x v="6"/>
    <x v="1"/>
    <n v="116353"/>
    <x v="0"/>
    <x v="0"/>
    <x v="0"/>
    <n v="5"/>
    <n v="0"/>
    <n v="5"/>
    <s v="Success"/>
  </r>
  <r>
    <s v="TXN71898439"/>
    <x v="4064"/>
    <x v="2"/>
    <x v="4"/>
    <n v="60711"/>
    <x v="0"/>
    <x v="7"/>
    <x v="3"/>
    <n v="607.11"/>
    <n v="0"/>
    <n v="607.11"/>
    <s v="Success"/>
  </r>
  <r>
    <s v="TXN54836216"/>
    <x v="4065"/>
    <x v="5"/>
    <x v="4"/>
    <n v="29010"/>
    <x v="0"/>
    <x v="3"/>
    <x v="2"/>
    <n v="290.10000000000002"/>
    <n v="0"/>
    <n v="290.10000000000002"/>
    <s v="Success"/>
  </r>
  <r>
    <s v="TXN61026703"/>
    <x v="4066"/>
    <x v="2"/>
    <x v="1"/>
    <n v="73631"/>
    <x v="0"/>
    <x v="1"/>
    <x v="0"/>
    <n v="5"/>
    <n v="0"/>
    <n v="5"/>
    <s v="Failed"/>
  </r>
  <r>
    <s v="TXN72214451"/>
    <x v="4067"/>
    <x v="3"/>
    <x v="0"/>
    <n v="132000"/>
    <x v="0"/>
    <x v="2"/>
    <x v="0"/>
    <n v="2442"/>
    <n v="976.8"/>
    <n v="1465.2"/>
    <s v="Success"/>
  </r>
  <r>
    <s v="TXN13991191"/>
    <x v="4068"/>
    <x v="1"/>
    <x v="4"/>
    <n v="21917"/>
    <x v="0"/>
    <x v="5"/>
    <x v="3"/>
    <n v="219.17"/>
    <n v="0"/>
    <n v="219.17"/>
    <s v="Success"/>
  </r>
  <r>
    <s v="TXN19740296"/>
    <x v="4069"/>
    <x v="3"/>
    <x v="1"/>
    <n v="112274"/>
    <x v="0"/>
    <x v="3"/>
    <x v="0"/>
    <n v="5"/>
    <n v="0"/>
    <n v="5"/>
    <s v="Success"/>
  </r>
  <r>
    <s v="TXN20751424"/>
    <x v="4070"/>
    <x v="2"/>
    <x v="0"/>
    <n v="34000"/>
    <x v="0"/>
    <x v="1"/>
    <x v="0"/>
    <n v="629"/>
    <n v="251.6"/>
    <n v="377.4"/>
    <s v="Success"/>
  </r>
  <r>
    <s v="TXN77239569"/>
    <x v="4071"/>
    <x v="7"/>
    <x v="0"/>
    <n v="51500"/>
    <x v="0"/>
    <x v="3"/>
    <x v="0"/>
    <n v="952.75"/>
    <n v="381.1"/>
    <n v="571.65"/>
    <s v="Success"/>
  </r>
  <r>
    <s v="TXN81174967"/>
    <x v="4072"/>
    <x v="6"/>
    <x v="0"/>
    <n v="163500"/>
    <x v="0"/>
    <x v="3"/>
    <x v="0"/>
    <n v="3024.75"/>
    <n v="1209.9000000000001"/>
    <n v="1814.85"/>
    <s v="Success"/>
  </r>
  <r>
    <s v="TXN78386491"/>
    <x v="4073"/>
    <x v="5"/>
    <x v="4"/>
    <n v="119213"/>
    <x v="0"/>
    <x v="8"/>
    <x v="3"/>
    <n v="1192.1300000000001"/>
    <n v="0"/>
    <n v="1192.1300000000001"/>
    <s v="Success"/>
  </r>
  <r>
    <s v="TXN49481612"/>
    <x v="4074"/>
    <x v="5"/>
    <x v="1"/>
    <n v="144165"/>
    <x v="2"/>
    <x v="0"/>
    <x v="0"/>
    <n v="5"/>
    <n v="0"/>
    <n v="5"/>
    <s v="Success"/>
  </r>
  <r>
    <s v="TXN83748281"/>
    <x v="4075"/>
    <x v="4"/>
    <x v="0"/>
    <n v="242000"/>
    <x v="1"/>
    <x v="1"/>
    <x v="0"/>
    <n v="4477"/>
    <n v="1790.8"/>
    <n v="2686.2"/>
    <s v="Success"/>
  </r>
  <r>
    <s v="TXN29364724"/>
    <x v="4076"/>
    <x v="5"/>
    <x v="1"/>
    <n v="59333"/>
    <x v="0"/>
    <x v="2"/>
    <x v="0"/>
    <n v="5"/>
    <n v="0"/>
    <n v="5"/>
    <s v="Success"/>
  </r>
  <r>
    <s v="TXN14074535"/>
    <x v="4077"/>
    <x v="4"/>
    <x v="0"/>
    <n v="14500"/>
    <x v="0"/>
    <x v="6"/>
    <x v="0"/>
    <n v="268.25"/>
    <n v="107.3"/>
    <n v="160.94999999999999"/>
    <s v="Failed"/>
  </r>
  <r>
    <s v="TXN53573459"/>
    <x v="4078"/>
    <x v="0"/>
    <x v="3"/>
    <n v="66413"/>
    <x v="0"/>
    <x v="5"/>
    <x v="0"/>
    <n v="0"/>
    <n v="0"/>
    <n v="0"/>
    <s v="Success"/>
  </r>
  <r>
    <s v="TXN86620431"/>
    <x v="4079"/>
    <x v="7"/>
    <x v="0"/>
    <n v="73000"/>
    <x v="1"/>
    <x v="4"/>
    <x v="0"/>
    <n v="1350.5"/>
    <n v="540.20000000000005"/>
    <n v="810.3"/>
    <s v="Success"/>
  </r>
  <r>
    <s v="TXN18045106"/>
    <x v="4080"/>
    <x v="3"/>
    <x v="0"/>
    <n v="197000"/>
    <x v="2"/>
    <x v="1"/>
    <x v="0"/>
    <n v="3644.5"/>
    <n v="1457.8"/>
    <n v="2186.6999999999998"/>
    <s v="Success"/>
  </r>
  <r>
    <s v="TXN96597892"/>
    <x v="4081"/>
    <x v="3"/>
    <x v="2"/>
    <n v="3431"/>
    <x v="0"/>
    <x v="5"/>
    <x v="0"/>
    <n v="0"/>
    <n v="0"/>
    <n v="0"/>
    <s v="Success"/>
  </r>
  <r>
    <s v="TXN93075061"/>
    <x v="4082"/>
    <x v="7"/>
    <x v="3"/>
    <n v="46630"/>
    <x v="0"/>
    <x v="6"/>
    <x v="0"/>
    <n v="0"/>
    <n v="0"/>
    <n v="0"/>
    <s v="Success"/>
  </r>
  <r>
    <s v="TXN46045916"/>
    <x v="4083"/>
    <x v="5"/>
    <x v="0"/>
    <n v="96500"/>
    <x v="1"/>
    <x v="7"/>
    <x v="0"/>
    <n v="1785.25"/>
    <n v="714.1"/>
    <n v="1071.1500000000001"/>
    <s v="Success"/>
  </r>
  <r>
    <s v="TXN26210727"/>
    <x v="4084"/>
    <x v="7"/>
    <x v="2"/>
    <n v="3028"/>
    <x v="0"/>
    <x v="2"/>
    <x v="0"/>
    <n v="0"/>
    <n v="0"/>
    <n v="0"/>
    <s v="Success"/>
  </r>
  <r>
    <s v="TXN80002773"/>
    <x v="4085"/>
    <x v="2"/>
    <x v="2"/>
    <n v="686"/>
    <x v="0"/>
    <x v="0"/>
    <x v="0"/>
    <n v="0"/>
    <n v="0"/>
    <n v="0"/>
    <s v="Failed"/>
  </r>
  <r>
    <s v="TXN51440069"/>
    <x v="4086"/>
    <x v="3"/>
    <x v="1"/>
    <n v="69450"/>
    <x v="1"/>
    <x v="0"/>
    <x v="0"/>
    <n v="5"/>
    <n v="0"/>
    <n v="5"/>
    <s v="Success"/>
  </r>
  <r>
    <s v="TXN33720214"/>
    <x v="4087"/>
    <x v="5"/>
    <x v="2"/>
    <n v="3187"/>
    <x v="0"/>
    <x v="5"/>
    <x v="0"/>
    <n v="0"/>
    <n v="0"/>
    <n v="0"/>
    <s v="Success"/>
  </r>
  <r>
    <s v="TXN91019128"/>
    <x v="4088"/>
    <x v="2"/>
    <x v="2"/>
    <n v="2779"/>
    <x v="0"/>
    <x v="1"/>
    <x v="0"/>
    <n v="0"/>
    <n v="0"/>
    <n v="0"/>
    <s v="Success"/>
  </r>
  <r>
    <s v="TXN92663008"/>
    <x v="4089"/>
    <x v="5"/>
    <x v="4"/>
    <n v="127235"/>
    <x v="0"/>
    <x v="1"/>
    <x v="1"/>
    <n v="1272.3499999999999"/>
    <n v="0"/>
    <n v="1272.3499999999999"/>
    <s v="Success"/>
  </r>
  <r>
    <s v="TXN11975668"/>
    <x v="4090"/>
    <x v="6"/>
    <x v="4"/>
    <n v="81984"/>
    <x v="0"/>
    <x v="4"/>
    <x v="2"/>
    <n v="819.84"/>
    <n v="0"/>
    <n v="819.84"/>
    <s v="Success"/>
  </r>
  <r>
    <s v="TXN47946841"/>
    <x v="4091"/>
    <x v="0"/>
    <x v="4"/>
    <n v="84153"/>
    <x v="0"/>
    <x v="1"/>
    <x v="2"/>
    <n v="841.53"/>
    <n v="0"/>
    <n v="841.53"/>
    <s v="Success"/>
  </r>
  <r>
    <s v="TXN49992173"/>
    <x v="4092"/>
    <x v="5"/>
    <x v="0"/>
    <n v="126000"/>
    <x v="0"/>
    <x v="2"/>
    <x v="0"/>
    <n v="2331"/>
    <n v="932.4"/>
    <n v="1398.6"/>
    <s v="Success"/>
  </r>
  <r>
    <s v="TXN92498445"/>
    <x v="4093"/>
    <x v="3"/>
    <x v="3"/>
    <n v="77292"/>
    <x v="0"/>
    <x v="5"/>
    <x v="0"/>
    <n v="0"/>
    <n v="0"/>
    <n v="0"/>
    <s v="Success"/>
  </r>
  <r>
    <s v="TXN34170930"/>
    <x v="4094"/>
    <x v="1"/>
    <x v="0"/>
    <n v="181000"/>
    <x v="1"/>
    <x v="3"/>
    <x v="0"/>
    <n v="3348.5"/>
    <n v="1339.4"/>
    <n v="2009.1"/>
    <s v="Success"/>
  </r>
  <r>
    <s v="TXN67545289"/>
    <x v="4095"/>
    <x v="2"/>
    <x v="1"/>
    <n v="89718"/>
    <x v="1"/>
    <x v="0"/>
    <x v="0"/>
    <n v="5"/>
    <n v="0"/>
    <n v="5"/>
    <s v="Success"/>
  </r>
  <r>
    <s v="TXN37373392"/>
    <x v="4096"/>
    <x v="3"/>
    <x v="2"/>
    <n v="4985"/>
    <x v="0"/>
    <x v="8"/>
    <x v="0"/>
    <n v="0"/>
    <n v="0"/>
    <n v="0"/>
    <s v="Success"/>
  </r>
  <r>
    <s v="TXN83595736"/>
    <x v="4097"/>
    <x v="3"/>
    <x v="3"/>
    <n v="132460"/>
    <x v="0"/>
    <x v="2"/>
    <x v="0"/>
    <n v="0"/>
    <n v="0"/>
    <n v="0"/>
    <s v="Success"/>
  </r>
  <r>
    <s v="TXN28332431"/>
    <x v="4098"/>
    <x v="0"/>
    <x v="0"/>
    <n v="169500"/>
    <x v="0"/>
    <x v="5"/>
    <x v="0"/>
    <n v="3135.75"/>
    <n v="1254.3"/>
    <n v="1881.45"/>
    <s v="Success"/>
  </r>
  <r>
    <s v="TXN49521207"/>
    <x v="4099"/>
    <x v="7"/>
    <x v="0"/>
    <n v="112500"/>
    <x v="0"/>
    <x v="5"/>
    <x v="0"/>
    <n v="2081.25"/>
    <n v="832.5"/>
    <n v="1248.75"/>
    <s v="Success"/>
  </r>
  <r>
    <s v="TXN88634199"/>
    <x v="4100"/>
    <x v="3"/>
    <x v="2"/>
    <n v="2293"/>
    <x v="0"/>
    <x v="3"/>
    <x v="0"/>
    <n v="0"/>
    <n v="0"/>
    <n v="0"/>
    <s v="Success"/>
  </r>
  <r>
    <s v="TXN59568179"/>
    <x v="4101"/>
    <x v="3"/>
    <x v="3"/>
    <n v="37842"/>
    <x v="0"/>
    <x v="5"/>
    <x v="0"/>
    <n v="0"/>
    <n v="0"/>
    <n v="0"/>
    <s v="Success"/>
  </r>
  <r>
    <s v="TXN60444367"/>
    <x v="4102"/>
    <x v="2"/>
    <x v="3"/>
    <n v="103340"/>
    <x v="2"/>
    <x v="5"/>
    <x v="0"/>
    <n v="0"/>
    <n v="0"/>
    <n v="0"/>
    <s v="Success"/>
  </r>
  <r>
    <s v="TXN73322724"/>
    <x v="4103"/>
    <x v="4"/>
    <x v="1"/>
    <n v="38326"/>
    <x v="0"/>
    <x v="1"/>
    <x v="0"/>
    <n v="5"/>
    <n v="0"/>
    <n v="5"/>
    <s v="Success"/>
  </r>
  <r>
    <s v="TXN56439288"/>
    <x v="4104"/>
    <x v="2"/>
    <x v="1"/>
    <n v="135325"/>
    <x v="0"/>
    <x v="1"/>
    <x v="0"/>
    <n v="5"/>
    <n v="0"/>
    <n v="5"/>
    <s v="Success"/>
  </r>
  <r>
    <s v="TXN41514916"/>
    <x v="4105"/>
    <x v="5"/>
    <x v="2"/>
    <n v="3237"/>
    <x v="0"/>
    <x v="4"/>
    <x v="0"/>
    <n v="0"/>
    <n v="0"/>
    <n v="0"/>
    <s v="Success"/>
  </r>
  <r>
    <s v="TXN80050495"/>
    <x v="4106"/>
    <x v="6"/>
    <x v="1"/>
    <n v="71144"/>
    <x v="0"/>
    <x v="7"/>
    <x v="0"/>
    <n v="5"/>
    <n v="0"/>
    <n v="5"/>
    <s v="Failed"/>
  </r>
  <r>
    <s v="TXN66274246"/>
    <x v="4107"/>
    <x v="7"/>
    <x v="4"/>
    <n v="109610"/>
    <x v="1"/>
    <x v="3"/>
    <x v="2"/>
    <n v="1096.0999999999999"/>
    <n v="0"/>
    <n v="1096.0999999999999"/>
    <s v="Success"/>
  </r>
  <r>
    <s v="TXN21226497"/>
    <x v="4108"/>
    <x v="0"/>
    <x v="3"/>
    <n v="123689"/>
    <x v="0"/>
    <x v="1"/>
    <x v="0"/>
    <n v="0"/>
    <n v="0"/>
    <n v="0"/>
    <s v="Success"/>
  </r>
  <r>
    <s v="TXN49405808"/>
    <x v="4109"/>
    <x v="4"/>
    <x v="4"/>
    <n v="133113"/>
    <x v="0"/>
    <x v="5"/>
    <x v="2"/>
    <n v="1331.13"/>
    <n v="0"/>
    <n v="1331.13"/>
    <s v="Failed"/>
  </r>
  <r>
    <s v="TXN45684193"/>
    <x v="4110"/>
    <x v="5"/>
    <x v="3"/>
    <n v="127761"/>
    <x v="0"/>
    <x v="0"/>
    <x v="0"/>
    <n v="0"/>
    <n v="0"/>
    <n v="0"/>
    <s v="Failed"/>
  </r>
  <r>
    <s v="TXN71020930"/>
    <x v="4111"/>
    <x v="4"/>
    <x v="4"/>
    <n v="126480"/>
    <x v="1"/>
    <x v="5"/>
    <x v="2"/>
    <n v="1264.8"/>
    <n v="0"/>
    <n v="1264.8"/>
    <s v="Success"/>
  </r>
  <r>
    <s v="TXN81970918"/>
    <x v="4112"/>
    <x v="7"/>
    <x v="3"/>
    <n v="80317"/>
    <x v="0"/>
    <x v="5"/>
    <x v="0"/>
    <n v="0"/>
    <n v="0"/>
    <n v="0"/>
    <s v="Success"/>
  </r>
  <r>
    <s v="TXN52405849"/>
    <x v="4113"/>
    <x v="4"/>
    <x v="3"/>
    <n v="147852"/>
    <x v="0"/>
    <x v="5"/>
    <x v="0"/>
    <n v="0"/>
    <n v="0"/>
    <n v="0"/>
    <s v="Success"/>
  </r>
  <r>
    <s v="TXN20586445"/>
    <x v="4114"/>
    <x v="7"/>
    <x v="0"/>
    <n v="220500"/>
    <x v="0"/>
    <x v="8"/>
    <x v="0"/>
    <n v="4079.25"/>
    <n v="1631.7"/>
    <n v="2447.5500000000002"/>
    <s v="Success"/>
  </r>
  <r>
    <s v="TXN13548323"/>
    <x v="4115"/>
    <x v="7"/>
    <x v="3"/>
    <n v="3100"/>
    <x v="0"/>
    <x v="3"/>
    <x v="0"/>
    <n v="0"/>
    <n v="0"/>
    <n v="0"/>
    <s v="Success"/>
  </r>
  <r>
    <s v="TXN66886652"/>
    <x v="4116"/>
    <x v="0"/>
    <x v="3"/>
    <n v="68281"/>
    <x v="1"/>
    <x v="3"/>
    <x v="0"/>
    <n v="0"/>
    <n v="0"/>
    <n v="0"/>
    <s v="Success"/>
  </r>
  <r>
    <s v="TXN17081703"/>
    <x v="4117"/>
    <x v="3"/>
    <x v="3"/>
    <n v="19083"/>
    <x v="2"/>
    <x v="7"/>
    <x v="0"/>
    <n v="0"/>
    <n v="0"/>
    <n v="0"/>
    <s v="Success"/>
  </r>
  <r>
    <s v="TXN60620682"/>
    <x v="4118"/>
    <x v="3"/>
    <x v="3"/>
    <n v="103696"/>
    <x v="0"/>
    <x v="5"/>
    <x v="0"/>
    <n v="0"/>
    <n v="0"/>
    <n v="0"/>
    <s v="Success"/>
  </r>
  <r>
    <s v="TXN56004153"/>
    <x v="4119"/>
    <x v="7"/>
    <x v="0"/>
    <n v="142500"/>
    <x v="0"/>
    <x v="1"/>
    <x v="0"/>
    <n v="2636.25"/>
    <n v="1054.5"/>
    <n v="1581.75"/>
    <s v="Success"/>
  </r>
  <r>
    <s v="TXN90249892"/>
    <x v="4120"/>
    <x v="1"/>
    <x v="0"/>
    <n v="148000"/>
    <x v="0"/>
    <x v="8"/>
    <x v="0"/>
    <n v="2738"/>
    <n v="1095.2"/>
    <n v="1642.8"/>
    <s v="Success"/>
  </r>
  <r>
    <s v="TXN55885297"/>
    <x v="4121"/>
    <x v="5"/>
    <x v="2"/>
    <n v="1007"/>
    <x v="0"/>
    <x v="6"/>
    <x v="0"/>
    <n v="0"/>
    <n v="0"/>
    <n v="0"/>
    <s v="Success"/>
  </r>
  <r>
    <s v="TXN91896434"/>
    <x v="4122"/>
    <x v="0"/>
    <x v="1"/>
    <n v="35277"/>
    <x v="1"/>
    <x v="3"/>
    <x v="0"/>
    <n v="5"/>
    <n v="0"/>
    <n v="5"/>
    <s v="Success"/>
  </r>
  <r>
    <s v="TXN25459895"/>
    <x v="4123"/>
    <x v="3"/>
    <x v="4"/>
    <n v="23013"/>
    <x v="0"/>
    <x v="1"/>
    <x v="4"/>
    <n v="230.13"/>
    <n v="0"/>
    <n v="230.13"/>
    <s v="Success"/>
  </r>
  <r>
    <s v="TXN85681837"/>
    <x v="4124"/>
    <x v="1"/>
    <x v="4"/>
    <n v="145809"/>
    <x v="0"/>
    <x v="2"/>
    <x v="1"/>
    <n v="1458.09"/>
    <n v="0"/>
    <n v="1458.09"/>
    <s v="Success"/>
  </r>
  <r>
    <s v="TXN15022395"/>
    <x v="4125"/>
    <x v="5"/>
    <x v="4"/>
    <n v="32784"/>
    <x v="1"/>
    <x v="3"/>
    <x v="2"/>
    <n v="327.84"/>
    <n v="0"/>
    <n v="327.84"/>
    <s v="Success"/>
  </r>
  <r>
    <s v="TXN44490972"/>
    <x v="4126"/>
    <x v="3"/>
    <x v="3"/>
    <n v="119888"/>
    <x v="0"/>
    <x v="3"/>
    <x v="0"/>
    <n v="0"/>
    <n v="0"/>
    <n v="0"/>
    <s v="Success"/>
  </r>
  <r>
    <s v="TXN70610813"/>
    <x v="4127"/>
    <x v="1"/>
    <x v="2"/>
    <n v="1388"/>
    <x v="1"/>
    <x v="7"/>
    <x v="0"/>
    <n v="0"/>
    <n v="0"/>
    <n v="0"/>
    <s v="Success"/>
  </r>
  <r>
    <s v="TXN31660878"/>
    <x v="4128"/>
    <x v="6"/>
    <x v="0"/>
    <n v="247500"/>
    <x v="0"/>
    <x v="8"/>
    <x v="0"/>
    <n v="4578.75"/>
    <n v="1831.5"/>
    <n v="2747.25"/>
    <s v="Success"/>
  </r>
  <r>
    <s v="TXN37028536"/>
    <x v="4129"/>
    <x v="2"/>
    <x v="3"/>
    <n v="68179"/>
    <x v="0"/>
    <x v="0"/>
    <x v="0"/>
    <n v="0"/>
    <n v="0"/>
    <n v="0"/>
    <s v="Success"/>
  </r>
  <r>
    <s v="TXN37034904"/>
    <x v="4130"/>
    <x v="0"/>
    <x v="1"/>
    <n v="1042"/>
    <x v="1"/>
    <x v="4"/>
    <x v="0"/>
    <n v="5"/>
    <n v="0"/>
    <n v="5"/>
    <s v="Success"/>
  </r>
  <r>
    <s v="TXN65678237"/>
    <x v="4131"/>
    <x v="4"/>
    <x v="4"/>
    <n v="125209"/>
    <x v="0"/>
    <x v="1"/>
    <x v="5"/>
    <n v="1252.0899999999999"/>
    <n v="0"/>
    <n v="1252.0899999999999"/>
    <s v="Success"/>
  </r>
  <r>
    <s v="TXN89195905"/>
    <x v="4132"/>
    <x v="3"/>
    <x v="2"/>
    <n v="4648"/>
    <x v="0"/>
    <x v="5"/>
    <x v="0"/>
    <n v="0"/>
    <n v="0"/>
    <n v="0"/>
    <s v="Success"/>
  </r>
  <r>
    <s v="TXN11876311"/>
    <x v="4133"/>
    <x v="6"/>
    <x v="0"/>
    <n v="191500"/>
    <x v="0"/>
    <x v="8"/>
    <x v="0"/>
    <n v="3542.75"/>
    <n v="1417.1"/>
    <n v="2125.65"/>
    <s v="Success"/>
  </r>
  <r>
    <s v="TXN90312631"/>
    <x v="4134"/>
    <x v="6"/>
    <x v="3"/>
    <n v="17142"/>
    <x v="2"/>
    <x v="1"/>
    <x v="0"/>
    <n v="0"/>
    <n v="0"/>
    <n v="0"/>
    <s v="Success"/>
  </r>
  <r>
    <s v="TXN28786637"/>
    <x v="4135"/>
    <x v="1"/>
    <x v="2"/>
    <n v="3915"/>
    <x v="0"/>
    <x v="6"/>
    <x v="0"/>
    <n v="0"/>
    <n v="0"/>
    <n v="0"/>
    <s v="Success"/>
  </r>
  <r>
    <s v="TXN57790912"/>
    <x v="4136"/>
    <x v="7"/>
    <x v="4"/>
    <n v="18938"/>
    <x v="0"/>
    <x v="8"/>
    <x v="2"/>
    <n v="189.38"/>
    <n v="0"/>
    <n v="189.38"/>
    <s v="Success"/>
  </r>
  <r>
    <s v="TXN53819004"/>
    <x v="4137"/>
    <x v="4"/>
    <x v="2"/>
    <n v="2441"/>
    <x v="0"/>
    <x v="5"/>
    <x v="0"/>
    <n v="0"/>
    <n v="0"/>
    <n v="0"/>
    <s v="Success"/>
  </r>
  <r>
    <s v="TXN33843575"/>
    <x v="4138"/>
    <x v="3"/>
    <x v="4"/>
    <n v="58591"/>
    <x v="1"/>
    <x v="8"/>
    <x v="1"/>
    <n v="585.91"/>
    <n v="0"/>
    <n v="585.91"/>
    <s v="Success"/>
  </r>
  <r>
    <s v="TXN25813948"/>
    <x v="4139"/>
    <x v="1"/>
    <x v="4"/>
    <n v="124206"/>
    <x v="0"/>
    <x v="5"/>
    <x v="5"/>
    <n v="1242.06"/>
    <n v="0"/>
    <n v="1242.06"/>
    <s v="Success"/>
  </r>
  <r>
    <s v="TXN43661482"/>
    <x v="4140"/>
    <x v="5"/>
    <x v="2"/>
    <n v="3786"/>
    <x v="0"/>
    <x v="6"/>
    <x v="0"/>
    <n v="0"/>
    <n v="0"/>
    <n v="0"/>
    <s v="Success"/>
  </r>
  <r>
    <s v="TXN39441992"/>
    <x v="4141"/>
    <x v="1"/>
    <x v="0"/>
    <n v="56500"/>
    <x v="0"/>
    <x v="2"/>
    <x v="0"/>
    <n v="1045.25"/>
    <n v="418.1"/>
    <n v="627.15"/>
    <s v="Success"/>
  </r>
  <r>
    <s v="TXN58837902"/>
    <x v="4142"/>
    <x v="5"/>
    <x v="1"/>
    <n v="5079"/>
    <x v="2"/>
    <x v="7"/>
    <x v="0"/>
    <n v="5"/>
    <n v="0"/>
    <n v="5"/>
    <s v="Success"/>
  </r>
  <r>
    <s v="TXN66021580"/>
    <x v="4143"/>
    <x v="0"/>
    <x v="0"/>
    <n v="162000"/>
    <x v="0"/>
    <x v="0"/>
    <x v="0"/>
    <n v="2997"/>
    <n v="1198.8"/>
    <n v="1798.2"/>
    <s v="Success"/>
  </r>
  <r>
    <s v="TXN33266841"/>
    <x v="4144"/>
    <x v="2"/>
    <x v="0"/>
    <n v="145000"/>
    <x v="0"/>
    <x v="7"/>
    <x v="0"/>
    <n v="2682.5"/>
    <n v="1073"/>
    <n v="1609.5"/>
    <s v="Success"/>
  </r>
  <r>
    <s v="TXN18916955"/>
    <x v="4145"/>
    <x v="7"/>
    <x v="3"/>
    <n v="7795"/>
    <x v="0"/>
    <x v="0"/>
    <x v="0"/>
    <n v="0"/>
    <n v="0"/>
    <n v="0"/>
    <s v="Failed"/>
  </r>
  <r>
    <s v="TXN92474581"/>
    <x v="4146"/>
    <x v="0"/>
    <x v="1"/>
    <n v="68492"/>
    <x v="1"/>
    <x v="3"/>
    <x v="0"/>
    <n v="5"/>
    <n v="0"/>
    <n v="5"/>
    <s v="Success"/>
  </r>
  <r>
    <s v="TXN38660872"/>
    <x v="4147"/>
    <x v="6"/>
    <x v="3"/>
    <n v="1329"/>
    <x v="0"/>
    <x v="2"/>
    <x v="0"/>
    <n v="0"/>
    <n v="0"/>
    <n v="0"/>
    <s v="Success"/>
  </r>
  <r>
    <s v="TXN86563440"/>
    <x v="4148"/>
    <x v="1"/>
    <x v="2"/>
    <n v="479"/>
    <x v="0"/>
    <x v="3"/>
    <x v="0"/>
    <n v="0"/>
    <n v="0"/>
    <n v="0"/>
    <s v="Success"/>
  </r>
  <r>
    <s v="TXN82902138"/>
    <x v="4149"/>
    <x v="6"/>
    <x v="0"/>
    <n v="225500"/>
    <x v="0"/>
    <x v="2"/>
    <x v="0"/>
    <n v="4171.75"/>
    <n v="1668.7"/>
    <n v="2503.0500000000002"/>
    <s v="Success"/>
  </r>
  <r>
    <s v="TXN63027102"/>
    <x v="4150"/>
    <x v="3"/>
    <x v="3"/>
    <n v="97955"/>
    <x v="0"/>
    <x v="7"/>
    <x v="0"/>
    <n v="0"/>
    <n v="0"/>
    <n v="0"/>
    <s v="Success"/>
  </r>
  <r>
    <s v="TXN32241471"/>
    <x v="4151"/>
    <x v="7"/>
    <x v="3"/>
    <n v="139437"/>
    <x v="1"/>
    <x v="5"/>
    <x v="0"/>
    <n v="0"/>
    <n v="0"/>
    <n v="0"/>
    <s v="Success"/>
  </r>
  <r>
    <s v="TXN85841319"/>
    <x v="4152"/>
    <x v="3"/>
    <x v="1"/>
    <n v="128706"/>
    <x v="0"/>
    <x v="6"/>
    <x v="0"/>
    <n v="5"/>
    <n v="0"/>
    <n v="5"/>
    <s v="Success"/>
  </r>
  <r>
    <s v="TXN44990003"/>
    <x v="4153"/>
    <x v="0"/>
    <x v="2"/>
    <n v="2101"/>
    <x v="0"/>
    <x v="1"/>
    <x v="0"/>
    <n v="0"/>
    <n v="0"/>
    <n v="0"/>
    <s v="Success"/>
  </r>
  <r>
    <s v="TXN92436236"/>
    <x v="4154"/>
    <x v="7"/>
    <x v="3"/>
    <n v="62357"/>
    <x v="0"/>
    <x v="6"/>
    <x v="0"/>
    <n v="0"/>
    <n v="0"/>
    <n v="0"/>
    <s v="Success"/>
  </r>
  <r>
    <s v="TXN77537914"/>
    <x v="4155"/>
    <x v="5"/>
    <x v="2"/>
    <n v="4003"/>
    <x v="0"/>
    <x v="7"/>
    <x v="0"/>
    <n v="0"/>
    <n v="0"/>
    <n v="0"/>
    <s v="Failed"/>
  </r>
  <r>
    <s v="TXN32703298"/>
    <x v="4156"/>
    <x v="6"/>
    <x v="3"/>
    <n v="26293"/>
    <x v="0"/>
    <x v="7"/>
    <x v="0"/>
    <n v="0"/>
    <n v="0"/>
    <n v="0"/>
    <s v="Success"/>
  </r>
  <r>
    <s v="TXN23784687"/>
    <x v="4157"/>
    <x v="0"/>
    <x v="4"/>
    <n v="113158"/>
    <x v="0"/>
    <x v="6"/>
    <x v="5"/>
    <n v="1131.58"/>
    <n v="0"/>
    <n v="1131.58"/>
    <s v="Success"/>
  </r>
  <r>
    <s v="TXN56823650"/>
    <x v="4158"/>
    <x v="4"/>
    <x v="3"/>
    <n v="114530"/>
    <x v="0"/>
    <x v="6"/>
    <x v="0"/>
    <n v="0"/>
    <n v="0"/>
    <n v="0"/>
    <s v="Success"/>
  </r>
  <r>
    <s v="TXN34363534"/>
    <x v="4159"/>
    <x v="2"/>
    <x v="2"/>
    <n v="1519"/>
    <x v="0"/>
    <x v="3"/>
    <x v="0"/>
    <n v="0"/>
    <n v="0"/>
    <n v="0"/>
    <s v="Success"/>
  </r>
  <r>
    <s v="TXN81743238"/>
    <x v="4160"/>
    <x v="0"/>
    <x v="4"/>
    <n v="136578"/>
    <x v="1"/>
    <x v="8"/>
    <x v="2"/>
    <n v="1365.78"/>
    <n v="0"/>
    <n v="1365.78"/>
    <s v="Success"/>
  </r>
  <r>
    <s v="TXN58897978"/>
    <x v="4161"/>
    <x v="1"/>
    <x v="3"/>
    <n v="113710"/>
    <x v="0"/>
    <x v="6"/>
    <x v="0"/>
    <n v="0"/>
    <n v="0"/>
    <n v="0"/>
    <s v="Success"/>
  </r>
  <r>
    <s v="TXN13953995"/>
    <x v="4162"/>
    <x v="6"/>
    <x v="1"/>
    <n v="47639"/>
    <x v="0"/>
    <x v="5"/>
    <x v="0"/>
    <n v="5"/>
    <n v="0"/>
    <n v="5"/>
    <s v="Success"/>
  </r>
  <r>
    <s v="TXN60981048"/>
    <x v="4163"/>
    <x v="2"/>
    <x v="1"/>
    <n v="94558"/>
    <x v="0"/>
    <x v="1"/>
    <x v="0"/>
    <n v="5"/>
    <n v="0"/>
    <n v="5"/>
    <s v="Success"/>
  </r>
  <r>
    <s v="TXN21720428"/>
    <x v="4164"/>
    <x v="5"/>
    <x v="2"/>
    <n v="1331"/>
    <x v="0"/>
    <x v="8"/>
    <x v="0"/>
    <n v="0"/>
    <n v="0"/>
    <n v="0"/>
    <s v="Success"/>
  </r>
  <r>
    <s v="TXN39657929"/>
    <x v="4165"/>
    <x v="1"/>
    <x v="0"/>
    <n v="140500"/>
    <x v="0"/>
    <x v="3"/>
    <x v="0"/>
    <n v="2599.25"/>
    <n v="1039.7"/>
    <n v="1559.55"/>
    <s v="Success"/>
  </r>
  <r>
    <s v="TXN84667285"/>
    <x v="4166"/>
    <x v="0"/>
    <x v="3"/>
    <n v="67413"/>
    <x v="0"/>
    <x v="8"/>
    <x v="0"/>
    <n v="0"/>
    <n v="0"/>
    <n v="0"/>
    <s v="Success"/>
  </r>
  <r>
    <s v="TXN48353011"/>
    <x v="4167"/>
    <x v="4"/>
    <x v="2"/>
    <n v="2847"/>
    <x v="0"/>
    <x v="0"/>
    <x v="0"/>
    <n v="0"/>
    <n v="0"/>
    <n v="0"/>
    <s v="Success"/>
  </r>
  <r>
    <s v="TXN17582518"/>
    <x v="4168"/>
    <x v="0"/>
    <x v="3"/>
    <n v="37392"/>
    <x v="1"/>
    <x v="5"/>
    <x v="0"/>
    <n v="0"/>
    <n v="0"/>
    <n v="0"/>
    <s v="Success"/>
  </r>
  <r>
    <s v="TXN37123173"/>
    <x v="4169"/>
    <x v="3"/>
    <x v="4"/>
    <n v="29836"/>
    <x v="1"/>
    <x v="5"/>
    <x v="1"/>
    <n v="298.36"/>
    <n v="0"/>
    <n v="298.36"/>
    <s v="Success"/>
  </r>
  <r>
    <s v="TXN61559602"/>
    <x v="4170"/>
    <x v="6"/>
    <x v="3"/>
    <n v="76647"/>
    <x v="0"/>
    <x v="7"/>
    <x v="0"/>
    <n v="0"/>
    <n v="0"/>
    <n v="0"/>
    <s v="Success"/>
  </r>
  <r>
    <s v="TXN57710652"/>
    <x v="4171"/>
    <x v="1"/>
    <x v="2"/>
    <n v="1312"/>
    <x v="0"/>
    <x v="6"/>
    <x v="0"/>
    <n v="0"/>
    <n v="0"/>
    <n v="0"/>
    <s v="Success"/>
  </r>
  <r>
    <s v="TXN69416358"/>
    <x v="4172"/>
    <x v="7"/>
    <x v="4"/>
    <n v="116958"/>
    <x v="0"/>
    <x v="1"/>
    <x v="5"/>
    <n v="1169.58"/>
    <n v="0"/>
    <n v="1169.58"/>
    <s v="Success"/>
  </r>
  <r>
    <s v="TXN30044228"/>
    <x v="4173"/>
    <x v="5"/>
    <x v="1"/>
    <n v="37412"/>
    <x v="0"/>
    <x v="2"/>
    <x v="0"/>
    <n v="5"/>
    <n v="0"/>
    <n v="5"/>
    <s v="Success"/>
  </r>
  <r>
    <s v="TXN86324376"/>
    <x v="4174"/>
    <x v="7"/>
    <x v="4"/>
    <n v="18213"/>
    <x v="0"/>
    <x v="6"/>
    <x v="4"/>
    <n v="182.13"/>
    <n v="0"/>
    <n v="182.13"/>
    <s v="Success"/>
  </r>
  <r>
    <s v="TXN65451913"/>
    <x v="4175"/>
    <x v="2"/>
    <x v="0"/>
    <n v="56000"/>
    <x v="0"/>
    <x v="3"/>
    <x v="0"/>
    <n v="1036"/>
    <n v="414.4"/>
    <n v="621.6"/>
    <s v="Success"/>
  </r>
  <r>
    <s v="TXN94131054"/>
    <x v="4176"/>
    <x v="4"/>
    <x v="1"/>
    <n v="83100"/>
    <x v="0"/>
    <x v="5"/>
    <x v="0"/>
    <n v="5"/>
    <n v="0"/>
    <n v="5"/>
    <s v="Success"/>
  </r>
  <r>
    <s v="TXN41988082"/>
    <x v="4177"/>
    <x v="2"/>
    <x v="4"/>
    <n v="42403"/>
    <x v="0"/>
    <x v="5"/>
    <x v="2"/>
    <n v="424.03"/>
    <n v="0"/>
    <n v="424.03"/>
    <s v="Success"/>
  </r>
  <r>
    <s v="TXN79449594"/>
    <x v="4178"/>
    <x v="3"/>
    <x v="3"/>
    <n v="149239"/>
    <x v="0"/>
    <x v="1"/>
    <x v="0"/>
    <n v="0"/>
    <n v="0"/>
    <n v="0"/>
    <s v="Success"/>
  </r>
  <r>
    <s v="TXN95572361"/>
    <x v="4179"/>
    <x v="1"/>
    <x v="0"/>
    <n v="10500"/>
    <x v="0"/>
    <x v="5"/>
    <x v="0"/>
    <n v="194.25"/>
    <n v="77.7"/>
    <n v="116.55"/>
    <s v="Success"/>
  </r>
  <r>
    <s v="TXN13397230"/>
    <x v="4180"/>
    <x v="7"/>
    <x v="2"/>
    <n v="2166"/>
    <x v="0"/>
    <x v="5"/>
    <x v="0"/>
    <n v="0"/>
    <n v="0"/>
    <n v="0"/>
    <s v="Failed"/>
  </r>
  <r>
    <s v="TXN11419197"/>
    <x v="4181"/>
    <x v="4"/>
    <x v="3"/>
    <n v="16104"/>
    <x v="0"/>
    <x v="1"/>
    <x v="0"/>
    <n v="0"/>
    <n v="0"/>
    <n v="0"/>
    <s v="Success"/>
  </r>
  <r>
    <s v="TXN26123851"/>
    <x v="4182"/>
    <x v="7"/>
    <x v="0"/>
    <n v="135000"/>
    <x v="0"/>
    <x v="3"/>
    <x v="0"/>
    <n v="2497.5"/>
    <n v="999"/>
    <n v="1498.5"/>
    <s v="Success"/>
  </r>
  <r>
    <s v="TXN27735957"/>
    <x v="4183"/>
    <x v="0"/>
    <x v="4"/>
    <n v="55113"/>
    <x v="0"/>
    <x v="4"/>
    <x v="5"/>
    <n v="551.13"/>
    <n v="0"/>
    <n v="551.13"/>
    <s v="Success"/>
  </r>
  <r>
    <s v="TXN94239946"/>
    <x v="4184"/>
    <x v="4"/>
    <x v="0"/>
    <n v="160000"/>
    <x v="0"/>
    <x v="5"/>
    <x v="0"/>
    <n v="2960"/>
    <n v="1184"/>
    <n v="1776"/>
    <s v="Success"/>
  </r>
  <r>
    <s v="TXN45816745"/>
    <x v="4185"/>
    <x v="7"/>
    <x v="2"/>
    <n v="775"/>
    <x v="0"/>
    <x v="2"/>
    <x v="0"/>
    <n v="0"/>
    <n v="0"/>
    <n v="0"/>
    <s v="Success"/>
  </r>
  <r>
    <s v="TXN17707121"/>
    <x v="4186"/>
    <x v="0"/>
    <x v="2"/>
    <n v="916"/>
    <x v="0"/>
    <x v="6"/>
    <x v="0"/>
    <n v="0"/>
    <n v="0"/>
    <n v="0"/>
    <s v="Success"/>
  </r>
  <r>
    <s v="TXN49399316"/>
    <x v="4187"/>
    <x v="1"/>
    <x v="3"/>
    <n v="23545"/>
    <x v="0"/>
    <x v="5"/>
    <x v="0"/>
    <n v="0"/>
    <n v="0"/>
    <n v="0"/>
    <s v="Success"/>
  </r>
  <r>
    <s v="TXN55831768"/>
    <x v="4188"/>
    <x v="3"/>
    <x v="2"/>
    <n v="1579"/>
    <x v="0"/>
    <x v="4"/>
    <x v="0"/>
    <n v="0"/>
    <n v="0"/>
    <n v="0"/>
    <s v="Success"/>
  </r>
  <r>
    <s v="TXN54711074"/>
    <x v="4189"/>
    <x v="4"/>
    <x v="4"/>
    <n v="95908"/>
    <x v="0"/>
    <x v="1"/>
    <x v="1"/>
    <n v="959.08"/>
    <n v="0"/>
    <n v="959.08"/>
    <s v="Success"/>
  </r>
  <r>
    <s v="TXN81147562"/>
    <x v="4190"/>
    <x v="0"/>
    <x v="4"/>
    <n v="99409"/>
    <x v="0"/>
    <x v="5"/>
    <x v="3"/>
    <n v="994.09"/>
    <n v="0"/>
    <n v="994.09"/>
    <s v="Success"/>
  </r>
  <r>
    <s v="TXN88204741"/>
    <x v="4191"/>
    <x v="5"/>
    <x v="3"/>
    <n v="22335"/>
    <x v="0"/>
    <x v="6"/>
    <x v="0"/>
    <n v="0"/>
    <n v="0"/>
    <n v="0"/>
    <s v="Success"/>
  </r>
  <r>
    <s v="TXN73047164"/>
    <x v="4192"/>
    <x v="4"/>
    <x v="4"/>
    <n v="62976"/>
    <x v="1"/>
    <x v="4"/>
    <x v="4"/>
    <n v="629.76"/>
    <n v="0"/>
    <n v="629.76"/>
    <s v="Success"/>
  </r>
  <r>
    <s v="TXN70430905"/>
    <x v="4193"/>
    <x v="0"/>
    <x v="2"/>
    <n v="920"/>
    <x v="1"/>
    <x v="6"/>
    <x v="0"/>
    <n v="0"/>
    <n v="0"/>
    <n v="0"/>
    <s v="Success"/>
  </r>
  <r>
    <s v="TXN54871200"/>
    <x v="4194"/>
    <x v="3"/>
    <x v="2"/>
    <n v="4315"/>
    <x v="0"/>
    <x v="7"/>
    <x v="0"/>
    <n v="0"/>
    <n v="0"/>
    <n v="0"/>
    <s v="Success"/>
  </r>
  <r>
    <s v="TXN73214659"/>
    <x v="4195"/>
    <x v="7"/>
    <x v="0"/>
    <n v="121500"/>
    <x v="0"/>
    <x v="5"/>
    <x v="0"/>
    <n v="2247.75"/>
    <n v="899.1"/>
    <n v="1348.65"/>
    <s v="Success"/>
  </r>
  <r>
    <s v="TXN50039452"/>
    <x v="4196"/>
    <x v="4"/>
    <x v="0"/>
    <n v="44500"/>
    <x v="0"/>
    <x v="2"/>
    <x v="0"/>
    <n v="823.25"/>
    <n v="329.3"/>
    <n v="493.95"/>
    <s v="Success"/>
  </r>
  <r>
    <s v="TXN72379185"/>
    <x v="4197"/>
    <x v="6"/>
    <x v="4"/>
    <n v="43104"/>
    <x v="0"/>
    <x v="4"/>
    <x v="1"/>
    <n v="431.04"/>
    <n v="0"/>
    <n v="431.04"/>
    <s v="Success"/>
  </r>
  <r>
    <s v="TXN24402615"/>
    <x v="4198"/>
    <x v="6"/>
    <x v="3"/>
    <n v="119184"/>
    <x v="1"/>
    <x v="5"/>
    <x v="0"/>
    <n v="0"/>
    <n v="0"/>
    <n v="0"/>
    <s v="Success"/>
  </r>
  <r>
    <s v="TXN92381461"/>
    <x v="4199"/>
    <x v="2"/>
    <x v="1"/>
    <n v="90237"/>
    <x v="0"/>
    <x v="3"/>
    <x v="0"/>
    <n v="5"/>
    <n v="0"/>
    <n v="5"/>
    <s v="Success"/>
  </r>
  <r>
    <s v="TXN55049348"/>
    <x v="4200"/>
    <x v="7"/>
    <x v="0"/>
    <n v="227000"/>
    <x v="0"/>
    <x v="5"/>
    <x v="0"/>
    <n v="4199.5"/>
    <n v="1679.8"/>
    <n v="2519.6999999999998"/>
    <s v="Success"/>
  </r>
  <r>
    <s v="TXN75787527"/>
    <x v="4201"/>
    <x v="0"/>
    <x v="1"/>
    <n v="91921"/>
    <x v="0"/>
    <x v="3"/>
    <x v="0"/>
    <n v="5"/>
    <n v="0"/>
    <n v="5"/>
    <s v="Success"/>
  </r>
  <r>
    <s v="TXN91494620"/>
    <x v="4202"/>
    <x v="7"/>
    <x v="2"/>
    <n v="19"/>
    <x v="0"/>
    <x v="4"/>
    <x v="0"/>
    <n v="0"/>
    <n v="0"/>
    <n v="0"/>
    <s v="Success"/>
  </r>
  <r>
    <s v="TXN61862133"/>
    <x v="4203"/>
    <x v="6"/>
    <x v="3"/>
    <n v="68238"/>
    <x v="0"/>
    <x v="8"/>
    <x v="0"/>
    <n v="0"/>
    <n v="0"/>
    <n v="0"/>
    <s v="Success"/>
  </r>
  <r>
    <s v="TXN14222910"/>
    <x v="4204"/>
    <x v="5"/>
    <x v="0"/>
    <n v="3000"/>
    <x v="0"/>
    <x v="2"/>
    <x v="0"/>
    <n v="55.5"/>
    <n v="22.2"/>
    <n v="33.299999999999997"/>
    <s v="Success"/>
  </r>
  <r>
    <s v="TXN74288706"/>
    <x v="4205"/>
    <x v="2"/>
    <x v="0"/>
    <n v="15500"/>
    <x v="0"/>
    <x v="3"/>
    <x v="0"/>
    <n v="286.75"/>
    <n v="114.7"/>
    <n v="172.05"/>
    <s v="Success"/>
  </r>
  <r>
    <s v="TXN36353142"/>
    <x v="4206"/>
    <x v="2"/>
    <x v="4"/>
    <n v="33207"/>
    <x v="0"/>
    <x v="8"/>
    <x v="3"/>
    <n v="332.07"/>
    <n v="0"/>
    <n v="332.07"/>
    <s v="Success"/>
  </r>
  <r>
    <s v="TXN49242846"/>
    <x v="4207"/>
    <x v="2"/>
    <x v="0"/>
    <n v="205500"/>
    <x v="2"/>
    <x v="6"/>
    <x v="0"/>
    <n v="3801.75"/>
    <n v="1520.7"/>
    <n v="2281.0500000000002"/>
    <s v="Success"/>
  </r>
  <r>
    <s v="TXN62238248"/>
    <x v="4208"/>
    <x v="7"/>
    <x v="1"/>
    <n v="61311"/>
    <x v="0"/>
    <x v="7"/>
    <x v="0"/>
    <n v="5"/>
    <n v="0"/>
    <n v="5"/>
    <s v="Success"/>
  </r>
  <r>
    <s v="TXN13505117"/>
    <x v="4209"/>
    <x v="0"/>
    <x v="0"/>
    <n v="50500"/>
    <x v="0"/>
    <x v="5"/>
    <x v="0"/>
    <n v="934.25"/>
    <n v="373.7"/>
    <n v="560.54999999999995"/>
    <s v="Success"/>
  </r>
  <r>
    <s v="TXN78531072"/>
    <x v="4210"/>
    <x v="1"/>
    <x v="4"/>
    <n v="17135"/>
    <x v="1"/>
    <x v="3"/>
    <x v="5"/>
    <n v="171.35"/>
    <n v="0"/>
    <n v="171.35"/>
    <s v="Success"/>
  </r>
  <r>
    <s v="TXN13602684"/>
    <x v="4211"/>
    <x v="5"/>
    <x v="2"/>
    <n v="4122"/>
    <x v="0"/>
    <x v="5"/>
    <x v="0"/>
    <n v="0"/>
    <n v="0"/>
    <n v="0"/>
    <s v="Failed"/>
  </r>
  <r>
    <s v="TXN22170152"/>
    <x v="4212"/>
    <x v="0"/>
    <x v="0"/>
    <n v="50000"/>
    <x v="0"/>
    <x v="6"/>
    <x v="0"/>
    <n v="925"/>
    <n v="370"/>
    <n v="555"/>
    <s v="Success"/>
  </r>
  <r>
    <s v="TXN41648496"/>
    <x v="4213"/>
    <x v="1"/>
    <x v="3"/>
    <n v="111871"/>
    <x v="0"/>
    <x v="3"/>
    <x v="0"/>
    <n v="0"/>
    <n v="0"/>
    <n v="0"/>
    <s v="Success"/>
  </r>
  <r>
    <s v="TXN48002629"/>
    <x v="4214"/>
    <x v="0"/>
    <x v="0"/>
    <n v="54000"/>
    <x v="0"/>
    <x v="5"/>
    <x v="0"/>
    <n v="999"/>
    <n v="399.6"/>
    <n v="599.4"/>
    <s v="Success"/>
  </r>
  <r>
    <s v="TXN80680059"/>
    <x v="4215"/>
    <x v="5"/>
    <x v="1"/>
    <n v="39586"/>
    <x v="0"/>
    <x v="3"/>
    <x v="0"/>
    <n v="5"/>
    <n v="0"/>
    <n v="5"/>
    <s v="Failed"/>
  </r>
  <r>
    <s v="TXN30636061"/>
    <x v="4216"/>
    <x v="2"/>
    <x v="3"/>
    <n v="68676"/>
    <x v="0"/>
    <x v="4"/>
    <x v="0"/>
    <n v="0"/>
    <n v="0"/>
    <n v="0"/>
    <s v="Success"/>
  </r>
  <r>
    <s v="TXN68828901"/>
    <x v="4217"/>
    <x v="3"/>
    <x v="3"/>
    <n v="112479"/>
    <x v="0"/>
    <x v="3"/>
    <x v="0"/>
    <n v="0"/>
    <n v="0"/>
    <n v="0"/>
    <s v="Success"/>
  </r>
  <r>
    <s v="TXN33257552"/>
    <x v="4218"/>
    <x v="5"/>
    <x v="3"/>
    <n v="137186"/>
    <x v="0"/>
    <x v="3"/>
    <x v="0"/>
    <n v="0"/>
    <n v="0"/>
    <n v="0"/>
    <s v="Success"/>
  </r>
  <r>
    <s v="TXN30853114"/>
    <x v="4219"/>
    <x v="6"/>
    <x v="3"/>
    <n v="141900"/>
    <x v="1"/>
    <x v="0"/>
    <x v="0"/>
    <n v="0"/>
    <n v="0"/>
    <n v="0"/>
    <s v="Success"/>
  </r>
  <r>
    <s v="TXN33040265"/>
    <x v="4220"/>
    <x v="1"/>
    <x v="4"/>
    <n v="523"/>
    <x v="0"/>
    <x v="5"/>
    <x v="3"/>
    <n v="5.23"/>
    <n v="0"/>
    <n v="5.23"/>
    <s v="Success"/>
  </r>
  <r>
    <s v="TXN73073441"/>
    <x v="4221"/>
    <x v="5"/>
    <x v="4"/>
    <n v="68890"/>
    <x v="0"/>
    <x v="6"/>
    <x v="4"/>
    <n v="688.9"/>
    <n v="0"/>
    <n v="688.9"/>
    <s v="Success"/>
  </r>
  <r>
    <s v="TXN43914428"/>
    <x v="4222"/>
    <x v="7"/>
    <x v="0"/>
    <n v="22000"/>
    <x v="0"/>
    <x v="4"/>
    <x v="0"/>
    <n v="407"/>
    <n v="162.80000000000001"/>
    <n v="244.2"/>
    <s v="Success"/>
  </r>
  <r>
    <s v="TXN88057423"/>
    <x v="4223"/>
    <x v="5"/>
    <x v="2"/>
    <n v="1582"/>
    <x v="0"/>
    <x v="0"/>
    <x v="0"/>
    <n v="0"/>
    <n v="0"/>
    <n v="0"/>
    <s v="Success"/>
  </r>
  <r>
    <s v="TXN50072620"/>
    <x v="4224"/>
    <x v="5"/>
    <x v="4"/>
    <n v="134412"/>
    <x v="0"/>
    <x v="0"/>
    <x v="2"/>
    <n v="1344.12"/>
    <n v="0"/>
    <n v="1344.12"/>
    <s v="Success"/>
  </r>
  <r>
    <s v="TXN61636668"/>
    <x v="4225"/>
    <x v="1"/>
    <x v="0"/>
    <n v="152000"/>
    <x v="0"/>
    <x v="1"/>
    <x v="0"/>
    <n v="2812"/>
    <n v="1124.8"/>
    <n v="1687.2"/>
    <s v="Success"/>
  </r>
  <r>
    <s v="TXN29038413"/>
    <x v="4226"/>
    <x v="4"/>
    <x v="4"/>
    <n v="45334"/>
    <x v="0"/>
    <x v="3"/>
    <x v="4"/>
    <n v="453.34"/>
    <n v="0"/>
    <n v="453.34"/>
    <s v="Success"/>
  </r>
  <r>
    <s v="TXN48368315"/>
    <x v="4227"/>
    <x v="7"/>
    <x v="4"/>
    <n v="98676"/>
    <x v="1"/>
    <x v="8"/>
    <x v="4"/>
    <n v="986.76"/>
    <n v="0"/>
    <n v="986.76"/>
    <s v="Success"/>
  </r>
  <r>
    <s v="TXN68515470"/>
    <x v="4228"/>
    <x v="3"/>
    <x v="4"/>
    <n v="131500"/>
    <x v="0"/>
    <x v="5"/>
    <x v="5"/>
    <n v="1315"/>
    <n v="0"/>
    <n v="1315"/>
    <s v="Success"/>
  </r>
  <r>
    <s v="TXN26388661"/>
    <x v="4229"/>
    <x v="4"/>
    <x v="1"/>
    <n v="25225"/>
    <x v="1"/>
    <x v="0"/>
    <x v="0"/>
    <n v="5"/>
    <n v="0"/>
    <n v="5"/>
    <s v="Success"/>
  </r>
  <r>
    <s v="TXN67219224"/>
    <x v="4230"/>
    <x v="7"/>
    <x v="2"/>
    <n v="376"/>
    <x v="1"/>
    <x v="8"/>
    <x v="0"/>
    <n v="0"/>
    <n v="0"/>
    <n v="0"/>
    <s v="Success"/>
  </r>
  <r>
    <s v="TXN10430457"/>
    <x v="4231"/>
    <x v="6"/>
    <x v="3"/>
    <n v="149731"/>
    <x v="0"/>
    <x v="0"/>
    <x v="0"/>
    <n v="0"/>
    <n v="0"/>
    <n v="0"/>
    <s v="Success"/>
  </r>
  <r>
    <s v="TXN92837648"/>
    <x v="4232"/>
    <x v="6"/>
    <x v="2"/>
    <n v="2820"/>
    <x v="0"/>
    <x v="5"/>
    <x v="0"/>
    <n v="0"/>
    <n v="0"/>
    <n v="0"/>
    <s v="Success"/>
  </r>
  <r>
    <s v="TXN49482167"/>
    <x v="4233"/>
    <x v="4"/>
    <x v="0"/>
    <n v="60500"/>
    <x v="0"/>
    <x v="7"/>
    <x v="0"/>
    <n v="1119.25"/>
    <n v="447.7"/>
    <n v="671.55"/>
    <s v="Success"/>
  </r>
  <r>
    <s v="TXN12056236"/>
    <x v="4234"/>
    <x v="3"/>
    <x v="2"/>
    <n v="4638"/>
    <x v="0"/>
    <x v="2"/>
    <x v="0"/>
    <n v="0"/>
    <n v="0"/>
    <n v="0"/>
    <s v="Success"/>
  </r>
  <r>
    <s v="TXN65768405"/>
    <x v="4235"/>
    <x v="5"/>
    <x v="0"/>
    <n v="51500"/>
    <x v="0"/>
    <x v="3"/>
    <x v="0"/>
    <n v="952.75"/>
    <n v="381.1"/>
    <n v="571.65"/>
    <s v="Success"/>
  </r>
  <r>
    <s v="TXN64091711"/>
    <x v="4236"/>
    <x v="3"/>
    <x v="1"/>
    <n v="129823"/>
    <x v="0"/>
    <x v="4"/>
    <x v="0"/>
    <n v="5"/>
    <n v="0"/>
    <n v="5"/>
    <s v="Success"/>
  </r>
  <r>
    <s v="TXN74461546"/>
    <x v="4237"/>
    <x v="6"/>
    <x v="3"/>
    <n v="50833"/>
    <x v="0"/>
    <x v="6"/>
    <x v="0"/>
    <n v="0"/>
    <n v="0"/>
    <n v="0"/>
    <s v="Success"/>
  </r>
  <r>
    <s v="TXN73953272"/>
    <x v="4238"/>
    <x v="4"/>
    <x v="2"/>
    <n v="3169"/>
    <x v="0"/>
    <x v="8"/>
    <x v="0"/>
    <n v="0"/>
    <n v="0"/>
    <n v="0"/>
    <s v="Success"/>
  </r>
  <r>
    <s v="TXN13610538"/>
    <x v="4239"/>
    <x v="2"/>
    <x v="4"/>
    <n v="61920"/>
    <x v="0"/>
    <x v="5"/>
    <x v="5"/>
    <n v="619.20000000000005"/>
    <n v="0"/>
    <n v="619.20000000000005"/>
    <s v="Success"/>
  </r>
  <r>
    <s v="TXN90966034"/>
    <x v="4240"/>
    <x v="5"/>
    <x v="4"/>
    <n v="124609"/>
    <x v="0"/>
    <x v="7"/>
    <x v="1"/>
    <n v="1246.0899999999999"/>
    <n v="0"/>
    <n v="1246.0899999999999"/>
    <s v="Success"/>
  </r>
  <r>
    <s v="TXN62877709"/>
    <x v="4241"/>
    <x v="2"/>
    <x v="2"/>
    <n v="3825"/>
    <x v="0"/>
    <x v="6"/>
    <x v="0"/>
    <n v="0"/>
    <n v="0"/>
    <n v="0"/>
    <s v="Success"/>
  </r>
  <r>
    <s v="TXN29389252"/>
    <x v="4242"/>
    <x v="6"/>
    <x v="2"/>
    <n v="3523"/>
    <x v="1"/>
    <x v="4"/>
    <x v="0"/>
    <n v="0"/>
    <n v="0"/>
    <n v="0"/>
    <s v="Success"/>
  </r>
  <r>
    <s v="TXN12175889"/>
    <x v="4243"/>
    <x v="7"/>
    <x v="1"/>
    <n v="91412"/>
    <x v="0"/>
    <x v="1"/>
    <x v="0"/>
    <n v="5"/>
    <n v="0"/>
    <n v="5"/>
    <s v="Success"/>
  </r>
  <r>
    <s v="TXN95469176"/>
    <x v="4244"/>
    <x v="3"/>
    <x v="3"/>
    <n v="109883"/>
    <x v="2"/>
    <x v="8"/>
    <x v="0"/>
    <n v="0"/>
    <n v="0"/>
    <n v="0"/>
    <s v="Success"/>
  </r>
  <r>
    <s v="TXN74386767"/>
    <x v="4245"/>
    <x v="1"/>
    <x v="0"/>
    <n v="47500"/>
    <x v="0"/>
    <x v="7"/>
    <x v="0"/>
    <n v="878.75"/>
    <n v="351.5"/>
    <n v="527.25"/>
    <s v="Success"/>
  </r>
  <r>
    <s v="TXN86601301"/>
    <x v="4246"/>
    <x v="5"/>
    <x v="0"/>
    <n v="188500"/>
    <x v="0"/>
    <x v="8"/>
    <x v="0"/>
    <n v="3487.25"/>
    <n v="1394.9"/>
    <n v="2092.35"/>
    <s v="Success"/>
  </r>
  <r>
    <s v="TXN14842630"/>
    <x v="4247"/>
    <x v="6"/>
    <x v="3"/>
    <n v="83390"/>
    <x v="0"/>
    <x v="8"/>
    <x v="0"/>
    <n v="0"/>
    <n v="0"/>
    <n v="0"/>
    <s v="Success"/>
  </r>
  <r>
    <s v="TXN52596920"/>
    <x v="4248"/>
    <x v="5"/>
    <x v="3"/>
    <n v="119564"/>
    <x v="0"/>
    <x v="3"/>
    <x v="0"/>
    <n v="0"/>
    <n v="0"/>
    <n v="0"/>
    <s v="Success"/>
  </r>
  <r>
    <s v="TXN70995522"/>
    <x v="4249"/>
    <x v="7"/>
    <x v="0"/>
    <n v="176500"/>
    <x v="0"/>
    <x v="0"/>
    <x v="0"/>
    <n v="3265.25"/>
    <n v="1306.0999999999999"/>
    <n v="1959.15"/>
    <s v="Failed"/>
  </r>
  <r>
    <s v="TXN27780978"/>
    <x v="4250"/>
    <x v="7"/>
    <x v="1"/>
    <n v="75012"/>
    <x v="0"/>
    <x v="1"/>
    <x v="0"/>
    <n v="5"/>
    <n v="0"/>
    <n v="5"/>
    <s v="Success"/>
  </r>
  <r>
    <s v="TXN11730646"/>
    <x v="4251"/>
    <x v="3"/>
    <x v="4"/>
    <n v="43321"/>
    <x v="0"/>
    <x v="7"/>
    <x v="3"/>
    <n v="433.21"/>
    <n v="0"/>
    <n v="433.21"/>
    <s v="Success"/>
  </r>
  <r>
    <s v="TXN73398615"/>
    <x v="4252"/>
    <x v="2"/>
    <x v="4"/>
    <n v="119713"/>
    <x v="0"/>
    <x v="6"/>
    <x v="1"/>
    <n v="1197.1300000000001"/>
    <n v="0"/>
    <n v="1197.1300000000001"/>
    <s v="Success"/>
  </r>
  <r>
    <s v="TXN55139955"/>
    <x v="4253"/>
    <x v="0"/>
    <x v="4"/>
    <n v="71611"/>
    <x v="1"/>
    <x v="1"/>
    <x v="5"/>
    <n v="716.11"/>
    <n v="0"/>
    <n v="716.11"/>
    <s v="Success"/>
  </r>
  <r>
    <s v="TXN59125219"/>
    <x v="4254"/>
    <x v="7"/>
    <x v="1"/>
    <n v="41358"/>
    <x v="0"/>
    <x v="8"/>
    <x v="0"/>
    <n v="5"/>
    <n v="0"/>
    <n v="5"/>
    <s v="Success"/>
  </r>
  <r>
    <s v="TXN63280469"/>
    <x v="4255"/>
    <x v="7"/>
    <x v="4"/>
    <n v="32155"/>
    <x v="0"/>
    <x v="7"/>
    <x v="2"/>
    <n v="321.55"/>
    <n v="0"/>
    <n v="321.55"/>
    <s v="Success"/>
  </r>
  <r>
    <s v="TXN17295628"/>
    <x v="4256"/>
    <x v="0"/>
    <x v="2"/>
    <n v="1051"/>
    <x v="0"/>
    <x v="2"/>
    <x v="0"/>
    <n v="0"/>
    <n v="0"/>
    <n v="0"/>
    <s v="Success"/>
  </r>
  <r>
    <s v="TXN36874442"/>
    <x v="4257"/>
    <x v="1"/>
    <x v="0"/>
    <n v="121500"/>
    <x v="0"/>
    <x v="5"/>
    <x v="0"/>
    <n v="2247.75"/>
    <n v="899.1"/>
    <n v="1348.65"/>
    <s v="Success"/>
  </r>
  <r>
    <s v="TXN39562979"/>
    <x v="4258"/>
    <x v="3"/>
    <x v="4"/>
    <n v="131530"/>
    <x v="0"/>
    <x v="4"/>
    <x v="4"/>
    <n v="1315.3"/>
    <n v="0"/>
    <n v="1315.3"/>
    <s v="Success"/>
  </r>
  <r>
    <s v="TXN83584268"/>
    <x v="4259"/>
    <x v="5"/>
    <x v="2"/>
    <n v="1166"/>
    <x v="0"/>
    <x v="2"/>
    <x v="0"/>
    <n v="0"/>
    <n v="0"/>
    <n v="0"/>
    <s v="Success"/>
  </r>
  <r>
    <s v="TXN90225834"/>
    <x v="4260"/>
    <x v="0"/>
    <x v="0"/>
    <n v="136500"/>
    <x v="0"/>
    <x v="5"/>
    <x v="0"/>
    <n v="2525.25"/>
    <n v="1010.1"/>
    <n v="1515.15"/>
    <s v="Success"/>
  </r>
  <r>
    <s v="TXN43164605"/>
    <x v="4261"/>
    <x v="4"/>
    <x v="3"/>
    <n v="36484"/>
    <x v="0"/>
    <x v="0"/>
    <x v="0"/>
    <n v="0"/>
    <n v="0"/>
    <n v="0"/>
    <s v="Success"/>
  </r>
  <r>
    <s v="TXN28184672"/>
    <x v="4262"/>
    <x v="5"/>
    <x v="2"/>
    <n v="3354"/>
    <x v="0"/>
    <x v="8"/>
    <x v="0"/>
    <n v="0"/>
    <n v="0"/>
    <n v="0"/>
    <s v="Success"/>
  </r>
  <r>
    <s v="TXN89797557"/>
    <x v="4263"/>
    <x v="1"/>
    <x v="2"/>
    <n v="673"/>
    <x v="0"/>
    <x v="5"/>
    <x v="0"/>
    <n v="0"/>
    <n v="0"/>
    <n v="0"/>
    <s v="Success"/>
  </r>
  <r>
    <s v="TXN12929627"/>
    <x v="4264"/>
    <x v="7"/>
    <x v="3"/>
    <n v="83947"/>
    <x v="1"/>
    <x v="5"/>
    <x v="0"/>
    <n v="0"/>
    <n v="0"/>
    <n v="0"/>
    <s v="Success"/>
  </r>
  <r>
    <s v="TXN24568013"/>
    <x v="4265"/>
    <x v="1"/>
    <x v="2"/>
    <n v="4203"/>
    <x v="0"/>
    <x v="8"/>
    <x v="0"/>
    <n v="0"/>
    <n v="0"/>
    <n v="0"/>
    <s v="Success"/>
  </r>
  <r>
    <s v="TXN90376023"/>
    <x v="4266"/>
    <x v="5"/>
    <x v="3"/>
    <n v="43062"/>
    <x v="2"/>
    <x v="6"/>
    <x v="0"/>
    <n v="0"/>
    <n v="0"/>
    <n v="0"/>
    <s v="Success"/>
  </r>
  <r>
    <s v="TXN19272977"/>
    <x v="4267"/>
    <x v="2"/>
    <x v="4"/>
    <n v="109742"/>
    <x v="0"/>
    <x v="1"/>
    <x v="2"/>
    <n v="1097.42"/>
    <n v="0"/>
    <n v="1097.42"/>
    <s v="Success"/>
  </r>
  <r>
    <s v="TXN30364074"/>
    <x v="4268"/>
    <x v="0"/>
    <x v="3"/>
    <n v="92715"/>
    <x v="1"/>
    <x v="0"/>
    <x v="0"/>
    <n v="0"/>
    <n v="0"/>
    <n v="0"/>
    <s v="Success"/>
  </r>
  <r>
    <s v="TXN14634876"/>
    <x v="4269"/>
    <x v="4"/>
    <x v="3"/>
    <n v="137279"/>
    <x v="0"/>
    <x v="6"/>
    <x v="0"/>
    <n v="0"/>
    <n v="0"/>
    <n v="0"/>
    <s v="Success"/>
  </r>
  <r>
    <s v="TXN48159644"/>
    <x v="4270"/>
    <x v="2"/>
    <x v="1"/>
    <n v="115559"/>
    <x v="2"/>
    <x v="2"/>
    <x v="0"/>
    <n v="5"/>
    <n v="0"/>
    <n v="5"/>
    <s v="Success"/>
  </r>
  <r>
    <s v="TXN87395621"/>
    <x v="4271"/>
    <x v="4"/>
    <x v="3"/>
    <n v="87080"/>
    <x v="0"/>
    <x v="4"/>
    <x v="0"/>
    <n v="0"/>
    <n v="0"/>
    <n v="0"/>
    <s v="Success"/>
  </r>
  <r>
    <s v="TXN20809279"/>
    <x v="4272"/>
    <x v="4"/>
    <x v="3"/>
    <n v="118237"/>
    <x v="0"/>
    <x v="2"/>
    <x v="0"/>
    <n v="0"/>
    <n v="0"/>
    <n v="0"/>
    <s v="Failed"/>
  </r>
  <r>
    <s v="TXN32945598"/>
    <x v="4273"/>
    <x v="2"/>
    <x v="4"/>
    <n v="16840"/>
    <x v="0"/>
    <x v="2"/>
    <x v="5"/>
    <n v="168.4"/>
    <n v="0"/>
    <n v="168.4"/>
    <s v="Failed"/>
  </r>
  <r>
    <s v="TXN72631066"/>
    <x v="4274"/>
    <x v="3"/>
    <x v="2"/>
    <n v="4004"/>
    <x v="0"/>
    <x v="7"/>
    <x v="0"/>
    <n v="0"/>
    <n v="0"/>
    <n v="0"/>
    <s v="Success"/>
  </r>
  <r>
    <s v="TXN42867108"/>
    <x v="4275"/>
    <x v="3"/>
    <x v="1"/>
    <n v="85890"/>
    <x v="0"/>
    <x v="8"/>
    <x v="0"/>
    <n v="5"/>
    <n v="0"/>
    <n v="5"/>
    <s v="Success"/>
  </r>
  <r>
    <s v="TXN39253033"/>
    <x v="4276"/>
    <x v="7"/>
    <x v="2"/>
    <n v="480"/>
    <x v="0"/>
    <x v="0"/>
    <x v="0"/>
    <n v="0"/>
    <n v="0"/>
    <n v="0"/>
    <s v="Success"/>
  </r>
  <r>
    <s v="TXN60929074"/>
    <x v="4277"/>
    <x v="7"/>
    <x v="0"/>
    <n v="204000"/>
    <x v="0"/>
    <x v="2"/>
    <x v="0"/>
    <n v="3774"/>
    <n v="1509.6"/>
    <n v="2264.4"/>
    <s v="Success"/>
  </r>
  <r>
    <s v="TXN33122815"/>
    <x v="4278"/>
    <x v="1"/>
    <x v="0"/>
    <n v="113000"/>
    <x v="1"/>
    <x v="5"/>
    <x v="0"/>
    <n v="2090.5"/>
    <n v="836.2"/>
    <n v="1254.3"/>
    <s v="Success"/>
  </r>
  <r>
    <s v="TXN24660706"/>
    <x v="4279"/>
    <x v="6"/>
    <x v="2"/>
    <n v="4899"/>
    <x v="0"/>
    <x v="6"/>
    <x v="0"/>
    <n v="0"/>
    <n v="0"/>
    <n v="0"/>
    <s v="Success"/>
  </r>
  <r>
    <s v="TXN89473286"/>
    <x v="4280"/>
    <x v="2"/>
    <x v="0"/>
    <n v="155000"/>
    <x v="0"/>
    <x v="7"/>
    <x v="0"/>
    <n v="2867.5"/>
    <n v="1147"/>
    <n v="1720.5"/>
    <s v="Success"/>
  </r>
  <r>
    <s v="TXN88420587"/>
    <x v="4281"/>
    <x v="6"/>
    <x v="2"/>
    <n v="2346"/>
    <x v="0"/>
    <x v="5"/>
    <x v="0"/>
    <n v="0"/>
    <n v="0"/>
    <n v="0"/>
    <s v="Success"/>
  </r>
  <r>
    <s v="TXN34698807"/>
    <x v="4282"/>
    <x v="2"/>
    <x v="0"/>
    <n v="209500"/>
    <x v="1"/>
    <x v="0"/>
    <x v="0"/>
    <n v="3875.75"/>
    <n v="1550.3"/>
    <n v="2325.4499999999998"/>
    <s v="Success"/>
  </r>
  <r>
    <s v="TXN12825813"/>
    <x v="4283"/>
    <x v="3"/>
    <x v="2"/>
    <n v="3652"/>
    <x v="0"/>
    <x v="0"/>
    <x v="0"/>
    <n v="0"/>
    <n v="0"/>
    <n v="0"/>
    <s v="Success"/>
  </r>
  <r>
    <s v="TXN51632201"/>
    <x v="4284"/>
    <x v="4"/>
    <x v="0"/>
    <n v="237500"/>
    <x v="1"/>
    <x v="4"/>
    <x v="0"/>
    <n v="4393.75"/>
    <n v="1757.5"/>
    <n v="2636.25"/>
    <s v="Success"/>
  </r>
  <r>
    <s v="TXN25639432"/>
    <x v="4285"/>
    <x v="3"/>
    <x v="0"/>
    <n v="7500"/>
    <x v="1"/>
    <x v="7"/>
    <x v="0"/>
    <n v="138.75"/>
    <n v="55.5"/>
    <n v="83.25"/>
    <s v="Success"/>
  </r>
  <r>
    <s v="TXN60048011"/>
    <x v="4286"/>
    <x v="4"/>
    <x v="2"/>
    <n v="1979"/>
    <x v="0"/>
    <x v="2"/>
    <x v="0"/>
    <n v="0"/>
    <n v="0"/>
    <n v="0"/>
    <s v="Success"/>
  </r>
  <r>
    <s v="TXN46517773"/>
    <x v="4287"/>
    <x v="1"/>
    <x v="0"/>
    <n v="240000"/>
    <x v="0"/>
    <x v="5"/>
    <x v="0"/>
    <n v="4440"/>
    <n v="1776"/>
    <n v="2664"/>
    <s v="Success"/>
  </r>
  <r>
    <s v="TXN37840977"/>
    <x v="4288"/>
    <x v="0"/>
    <x v="4"/>
    <n v="75586"/>
    <x v="1"/>
    <x v="4"/>
    <x v="1"/>
    <n v="755.86"/>
    <n v="0"/>
    <n v="755.86"/>
    <s v="Success"/>
  </r>
  <r>
    <s v="TXN70726642"/>
    <x v="4289"/>
    <x v="4"/>
    <x v="3"/>
    <n v="71142"/>
    <x v="1"/>
    <x v="5"/>
    <x v="0"/>
    <n v="0"/>
    <n v="0"/>
    <n v="0"/>
    <s v="Success"/>
  </r>
  <r>
    <s v="TXN87307823"/>
    <x v="4290"/>
    <x v="3"/>
    <x v="1"/>
    <n v="46082"/>
    <x v="1"/>
    <x v="0"/>
    <x v="0"/>
    <n v="5"/>
    <n v="0"/>
    <n v="5"/>
    <s v="Success"/>
  </r>
  <r>
    <s v="TXN81149457"/>
    <x v="4291"/>
    <x v="2"/>
    <x v="4"/>
    <n v="91752"/>
    <x v="0"/>
    <x v="6"/>
    <x v="1"/>
    <n v="917.52"/>
    <n v="0"/>
    <n v="917.52"/>
    <s v="Success"/>
  </r>
  <r>
    <s v="TXN30093906"/>
    <x v="4292"/>
    <x v="2"/>
    <x v="3"/>
    <n v="73911"/>
    <x v="0"/>
    <x v="6"/>
    <x v="0"/>
    <n v="0"/>
    <n v="0"/>
    <n v="0"/>
    <s v="Success"/>
  </r>
  <r>
    <s v="TXN53932825"/>
    <x v="4293"/>
    <x v="3"/>
    <x v="0"/>
    <n v="188500"/>
    <x v="0"/>
    <x v="0"/>
    <x v="0"/>
    <n v="3487.25"/>
    <n v="1394.9"/>
    <n v="2092.35"/>
    <s v="Success"/>
  </r>
  <r>
    <s v="TXN15156020"/>
    <x v="4294"/>
    <x v="7"/>
    <x v="3"/>
    <n v="2853"/>
    <x v="1"/>
    <x v="4"/>
    <x v="0"/>
    <n v="0"/>
    <n v="0"/>
    <n v="0"/>
    <s v="Success"/>
  </r>
  <r>
    <s v="TXN73120590"/>
    <x v="4295"/>
    <x v="4"/>
    <x v="2"/>
    <n v="368"/>
    <x v="0"/>
    <x v="5"/>
    <x v="0"/>
    <n v="0"/>
    <n v="0"/>
    <n v="0"/>
    <s v="Success"/>
  </r>
  <r>
    <s v="TXN45169904"/>
    <x v="4296"/>
    <x v="2"/>
    <x v="1"/>
    <n v="124613"/>
    <x v="0"/>
    <x v="2"/>
    <x v="0"/>
    <n v="5"/>
    <n v="0"/>
    <n v="5"/>
    <s v="Success"/>
  </r>
  <r>
    <s v="TXN86938224"/>
    <x v="4297"/>
    <x v="2"/>
    <x v="4"/>
    <n v="146365"/>
    <x v="0"/>
    <x v="4"/>
    <x v="2"/>
    <n v="1463.65"/>
    <n v="0"/>
    <n v="1463.65"/>
    <s v="Success"/>
  </r>
  <r>
    <s v="TXN60637710"/>
    <x v="4298"/>
    <x v="0"/>
    <x v="0"/>
    <n v="26500"/>
    <x v="0"/>
    <x v="5"/>
    <x v="0"/>
    <n v="490.25"/>
    <n v="196.1"/>
    <n v="294.14999999999998"/>
    <s v="Success"/>
  </r>
  <r>
    <s v="TXN60725650"/>
    <x v="4299"/>
    <x v="1"/>
    <x v="4"/>
    <n v="120706"/>
    <x v="0"/>
    <x v="7"/>
    <x v="1"/>
    <n v="1207.06"/>
    <n v="0"/>
    <n v="1207.06"/>
    <s v="Success"/>
  </r>
  <r>
    <s v="TXN12475448"/>
    <x v="4300"/>
    <x v="3"/>
    <x v="4"/>
    <n v="117644"/>
    <x v="0"/>
    <x v="2"/>
    <x v="2"/>
    <n v="1176.44"/>
    <n v="0"/>
    <n v="1176.44"/>
    <s v="Success"/>
  </r>
  <r>
    <s v="TXN38896274"/>
    <x v="4301"/>
    <x v="1"/>
    <x v="0"/>
    <n v="182000"/>
    <x v="0"/>
    <x v="4"/>
    <x v="0"/>
    <n v="3367"/>
    <n v="1346.8"/>
    <n v="2020.2"/>
    <s v="Success"/>
  </r>
  <r>
    <s v="TXN11154246"/>
    <x v="4302"/>
    <x v="2"/>
    <x v="2"/>
    <n v="4337"/>
    <x v="1"/>
    <x v="3"/>
    <x v="0"/>
    <n v="0"/>
    <n v="0"/>
    <n v="0"/>
    <s v="Success"/>
  </r>
  <r>
    <s v="TXN93571393"/>
    <x v="4303"/>
    <x v="1"/>
    <x v="1"/>
    <n v="142311"/>
    <x v="0"/>
    <x v="5"/>
    <x v="0"/>
    <n v="5"/>
    <n v="0"/>
    <n v="5"/>
    <s v="Success"/>
  </r>
  <r>
    <s v="TXN29019054"/>
    <x v="4304"/>
    <x v="4"/>
    <x v="2"/>
    <n v="4188"/>
    <x v="0"/>
    <x v="6"/>
    <x v="0"/>
    <n v="0"/>
    <n v="0"/>
    <n v="0"/>
    <s v="Success"/>
  </r>
  <r>
    <s v="TXN34599597"/>
    <x v="4305"/>
    <x v="6"/>
    <x v="1"/>
    <n v="72540"/>
    <x v="0"/>
    <x v="1"/>
    <x v="0"/>
    <n v="5"/>
    <n v="0"/>
    <n v="5"/>
    <s v="Success"/>
  </r>
  <r>
    <s v="TXN30901355"/>
    <x v="4306"/>
    <x v="5"/>
    <x v="4"/>
    <n v="101183"/>
    <x v="1"/>
    <x v="2"/>
    <x v="1"/>
    <n v="1011.83"/>
    <n v="0"/>
    <n v="1011.83"/>
    <s v="Success"/>
  </r>
  <r>
    <s v="TXN93778578"/>
    <x v="4307"/>
    <x v="1"/>
    <x v="2"/>
    <n v="4690"/>
    <x v="0"/>
    <x v="0"/>
    <x v="0"/>
    <n v="0"/>
    <n v="0"/>
    <n v="0"/>
    <s v="Success"/>
  </r>
  <r>
    <s v="TXN24709996"/>
    <x v="4308"/>
    <x v="6"/>
    <x v="1"/>
    <n v="13466"/>
    <x v="0"/>
    <x v="8"/>
    <x v="0"/>
    <n v="5"/>
    <n v="0"/>
    <n v="5"/>
    <s v="Success"/>
  </r>
  <r>
    <s v="TXN71840680"/>
    <x v="4309"/>
    <x v="4"/>
    <x v="4"/>
    <n v="86619"/>
    <x v="0"/>
    <x v="2"/>
    <x v="1"/>
    <n v="866.19"/>
    <n v="0"/>
    <n v="866.19"/>
    <s v="Success"/>
  </r>
  <r>
    <s v="TXN95810097"/>
    <x v="4310"/>
    <x v="6"/>
    <x v="0"/>
    <n v="46500"/>
    <x v="1"/>
    <x v="8"/>
    <x v="0"/>
    <n v="860.25"/>
    <n v="344.1"/>
    <n v="516.15"/>
    <s v="Success"/>
  </r>
  <r>
    <s v="TXN31901330"/>
    <x v="4311"/>
    <x v="1"/>
    <x v="0"/>
    <n v="172000"/>
    <x v="0"/>
    <x v="6"/>
    <x v="0"/>
    <n v="3182"/>
    <n v="1272.8"/>
    <n v="1909.2"/>
    <s v="Success"/>
  </r>
  <r>
    <s v="TXN78996875"/>
    <x v="4312"/>
    <x v="6"/>
    <x v="3"/>
    <n v="27988"/>
    <x v="0"/>
    <x v="1"/>
    <x v="0"/>
    <n v="0"/>
    <n v="0"/>
    <n v="0"/>
    <s v="Success"/>
  </r>
  <r>
    <s v="TXN54263980"/>
    <x v="4313"/>
    <x v="6"/>
    <x v="4"/>
    <n v="71951"/>
    <x v="0"/>
    <x v="2"/>
    <x v="4"/>
    <n v="719.51"/>
    <n v="0"/>
    <n v="719.51"/>
    <s v="Success"/>
  </r>
  <r>
    <s v="TXN79730398"/>
    <x v="4314"/>
    <x v="0"/>
    <x v="0"/>
    <n v="83500"/>
    <x v="0"/>
    <x v="5"/>
    <x v="0"/>
    <n v="1544.75"/>
    <n v="617.9"/>
    <n v="926.85"/>
    <s v="Success"/>
  </r>
  <r>
    <s v="TXN39982047"/>
    <x v="4315"/>
    <x v="3"/>
    <x v="4"/>
    <n v="116926"/>
    <x v="0"/>
    <x v="1"/>
    <x v="4"/>
    <n v="1169.26"/>
    <n v="0"/>
    <n v="1169.26"/>
    <s v="Success"/>
  </r>
  <r>
    <s v="TXN93825965"/>
    <x v="4316"/>
    <x v="5"/>
    <x v="2"/>
    <n v="2257"/>
    <x v="0"/>
    <x v="1"/>
    <x v="0"/>
    <n v="0"/>
    <n v="0"/>
    <n v="0"/>
    <s v="Success"/>
  </r>
  <r>
    <s v="TXN56024117"/>
    <x v="4317"/>
    <x v="2"/>
    <x v="2"/>
    <n v="2190"/>
    <x v="0"/>
    <x v="5"/>
    <x v="0"/>
    <n v="0"/>
    <n v="0"/>
    <n v="0"/>
    <s v="Success"/>
  </r>
  <r>
    <s v="TXN11368140"/>
    <x v="4318"/>
    <x v="5"/>
    <x v="2"/>
    <n v="216"/>
    <x v="2"/>
    <x v="1"/>
    <x v="0"/>
    <n v="0"/>
    <n v="0"/>
    <n v="0"/>
    <s v="Success"/>
  </r>
  <r>
    <s v="TXN58270070"/>
    <x v="4319"/>
    <x v="0"/>
    <x v="3"/>
    <n v="49047"/>
    <x v="0"/>
    <x v="1"/>
    <x v="0"/>
    <n v="0"/>
    <n v="0"/>
    <n v="0"/>
    <s v="Success"/>
  </r>
  <r>
    <s v="TXN93416371"/>
    <x v="4320"/>
    <x v="0"/>
    <x v="2"/>
    <n v="3321"/>
    <x v="0"/>
    <x v="1"/>
    <x v="0"/>
    <n v="0"/>
    <n v="0"/>
    <n v="0"/>
    <s v="Success"/>
  </r>
  <r>
    <s v="TXN24719247"/>
    <x v="4321"/>
    <x v="0"/>
    <x v="1"/>
    <n v="34876"/>
    <x v="0"/>
    <x v="2"/>
    <x v="0"/>
    <n v="5"/>
    <n v="0"/>
    <n v="5"/>
    <s v="Success"/>
  </r>
  <r>
    <s v="TXN34951226"/>
    <x v="4322"/>
    <x v="7"/>
    <x v="2"/>
    <n v="3750"/>
    <x v="0"/>
    <x v="8"/>
    <x v="0"/>
    <n v="0"/>
    <n v="0"/>
    <n v="0"/>
    <s v="Success"/>
  </r>
  <r>
    <s v="TXN33288186"/>
    <x v="4323"/>
    <x v="1"/>
    <x v="1"/>
    <n v="43769"/>
    <x v="0"/>
    <x v="8"/>
    <x v="0"/>
    <n v="5"/>
    <n v="0"/>
    <n v="5"/>
    <s v="Success"/>
  </r>
  <r>
    <s v="TXN24638384"/>
    <x v="4324"/>
    <x v="7"/>
    <x v="4"/>
    <n v="62267"/>
    <x v="0"/>
    <x v="4"/>
    <x v="2"/>
    <n v="622.66999999999996"/>
    <n v="0"/>
    <n v="622.66999999999996"/>
    <s v="Success"/>
  </r>
  <r>
    <s v="TXN16237455"/>
    <x v="4325"/>
    <x v="1"/>
    <x v="4"/>
    <n v="113686"/>
    <x v="0"/>
    <x v="8"/>
    <x v="4"/>
    <n v="1136.8599999999999"/>
    <n v="0"/>
    <n v="1136.8599999999999"/>
    <s v="Success"/>
  </r>
  <r>
    <s v="TXN83082023"/>
    <x v="4326"/>
    <x v="1"/>
    <x v="1"/>
    <n v="40811"/>
    <x v="0"/>
    <x v="5"/>
    <x v="0"/>
    <n v="5"/>
    <n v="0"/>
    <n v="5"/>
    <s v="Success"/>
  </r>
  <r>
    <s v="TXN34530153"/>
    <x v="4327"/>
    <x v="4"/>
    <x v="0"/>
    <n v="181500"/>
    <x v="0"/>
    <x v="3"/>
    <x v="0"/>
    <n v="3357.75"/>
    <n v="1343.1"/>
    <n v="2014.65"/>
    <s v="Success"/>
  </r>
  <r>
    <s v="TXN40438034"/>
    <x v="4328"/>
    <x v="3"/>
    <x v="4"/>
    <n v="11447"/>
    <x v="0"/>
    <x v="2"/>
    <x v="1"/>
    <n v="114.47"/>
    <n v="0"/>
    <n v="114.47"/>
    <s v="Success"/>
  </r>
  <r>
    <s v="TXN57998977"/>
    <x v="4329"/>
    <x v="4"/>
    <x v="3"/>
    <n v="93335"/>
    <x v="0"/>
    <x v="5"/>
    <x v="0"/>
    <n v="0"/>
    <n v="0"/>
    <n v="0"/>
    <s v="Success"/>
  </r>
  <r>
    <s v="TXN94080545"/>
    <x v="4330"/>
    <x v="0"/>
    <x v="4"/>
    <n v="20302"/>
    <x v="0"/>
    <x v="1"/>
    <x v="4"/>
    <n v="203.02"/>
    <n v="0"/>
    <n v="203.02"/>
    <s v="Success"/>
  </r>
  <r>
    <s v="TXN73338391"/>
    <x v="4331"/>
    <x v="7"/>
    <x v="2"/>
    <n v="454"/>
    <x v="0"/>
    <x v="5"/>
    <x v="0"/>
    <n v="0"/>
    <n v="0"/>
    <n v="0"/>
    <s v="Success"/>
  </r>
  <r>
    <s v="TXN84971656"/>
    <x v="4332"/>
    <x v="7"/>
    <x v="2"/>
    <n v="159"/>
    <x v="0"/>
    <x v="3"/>
    <x v="0"/>
    <n v="0"/>
    <n v="0"/>
    <n v="0"/>
    <s v="Success"/>
  </r>
  <r>
    <s v="TXN17077586"/>
    <x v="4333"/>
    <x v="4"/>
    <x v="0"/>
    <n v="159500"/>
    <x v="0"/>
    <x v="8"/>
    <x v="0"/>
    <n v="2950.75"/>
    <n v="1180.3"/>
    <n v="1770.45"/>
    <s v="Success"/>
  </r>
  <r>
    <s v="TXN52713597"/>
    <x v="4334"/>
    <x v="2"/>
    <x v="4"/>
    <n v="43823"/>
    <x v="1"/>
    <x v="1"/>
    <x v="2"/>
    <n v="438.23"/>
    <n v="0"/>
    <n v="438.23"/>
    <s v="Success"/>
  </r>
  <r>
    <s v="TXN88462742"/>
    <x v="4335"/>
    <x v="5"/>
    <x v="2"/>
    <n v="4853"/>
    <x v="0"/>
    <x v="2"/>
    <x v="0"/>
    <n v="0"/>
    <n v="0"/>
    <n v="0"/>
    <s v="Success"/>
  </r>
  <r>
    <s v="TXN78981142"/>
    <x v="4336"/>
    <x v="5"/>
    <x v="0"/>
    <n v="116000"/>
    <x v="0"/>
    <x v="4"/>
    <x v="0"/>
    <n v="2146"/>
    <n v="858.4"/>
    <n v="1287.5999999999999"/>
    <s v="Success"/>
  </r>
  <r>
    <s v="TXN28266370"/>
    <x v="4337"/>
    <x v="7"/>
    <x v="2"/>
    <n v="1602"/>
    <x v="1"/>
    <x v="0"/>
    <x v="0"/>
    <n v="0"/>
    <n v="0"/>
    <n v="0"/>
    <s v="Success"/>
  </r>
  <r>
    <s v="TXN81341730"/>
    <x v="4338"/>
    <x v="3"/>
    <x v="1"/>
    <n v="76418"/>
    <x v="0"/>
    <x v="0"/>
    <x v="0"/>
    <n v="5"/>
    <n v="0"/>
    <n v="5"/>
    <s v="Success"/>
  </r>
  <r>
    <s v="TXN44522949"/>
    <x v="4339"/>
    <x v="0"/>
    <x v="4"/>
    <n v="5936"/>
    <x v="0"/>
    <x v="8"/>
    <x v="1"/>
    <n v="59.36"/>
    <n v="0"/>
    <n v="59.36"/>
    <s v="Success"/>
  </r>
  <r>
    <s v="TXN75050180"/>
    <x v="4340"/>
    <x v="4"/>
    <x v="4"/>
    <n v="130223"/>
    <x v="0"/>
    <x v="8"/>
    <x v="1"/>
    <n v="1302.23"/>
    <n v="0"/>
    <n v="1302.23"/>
    <s v="Success"/>
  </r>
  <r>
    <s v="TXN67472594"/>
    <x v="4341"/>
    <x v="5"/>
    <x v="3"/>
    <n v="11525"/>
    <x v="0"/>
    <x v="5"/>
    <x v="0"/>
    <n v="0"/>
    <n v="0"/>
    <n v="0"/>
    <s v="Success"/>
  </r>
  <r>
    <s v="TXN99381882"/>
    <x v="4342"/>
    <x v="5"/>
    <x v="4"/>
    <n v="84317"/>
    <x v="0"/>
    <x v="6"/>
    <x v="1"/>
    <n v="843.17"/>
    <n v="0"/>
    <n v="843.17"/>
    <s v="Success"/>
  </r>
  <r>
    <s v="TXN21972044"/>
    <x v="4343"/>
    <x v="3"/>
    <x v="2"/>
    <n v="1504"/>
    <x v="0"/>
    <x v="0"/>
    <x v="0"/>
    <n v="0"/>
    <n v="0"/>
    <n v="0"/>
    <s v="Success"/>
  </r>
  <r>
    <s v="TXN80332741"/>
    <x v="4344"/>
    <x v="0"/>
    <x v="0"/>
    <n v="56500"/>
    <x v="0"/>
    <x v="5"/>
    <x v="0"/>
    <n v="1045.25"/>
    <n v="418.1"/>
    <n v="627.15"/>
    <s v="Success"/>
  </r>
  <r>
    <s v="TXN98541973"/>
    <x v="4345"/>
    <x v="7"/>
    <x v="2"/>
    <n v="3534"/>
    <x v="0"/>
    <x v="7"/>
    <x v="0"/>
    <n v="0"/>
    <n v="0"/>
    <n v="0"/>
    <s v="Success"/>
  </r>
  <r>
    <s v="TXN75654650"/>
    <x v="4346"/>
    <x v="1"/>
    <x v="0"/>
    <n v="13000"/>
    <x v="1"/>
    <x v="0"/>
    <x v="0"/>
    <n v="240.5"/>
    <n v="96.2"/>
    <n v="144.30000000000001"/>
    <s v="Success"/>
  </r>
  <r>
    <s v="TXN30136856"/>
    <x v="4347"/>
    <x v="7"/>
    <x v="3"/>
    <n v="144590"/>
    <x v="0"/>
    <x v="7"/>
    <x v="0"/>
    <n v="0"/>
    <n v="0"/>
    <n v="0"/>
    <s v="Success"/>
  </r>
  <r>
    <s v="TXN47335510"/>
    <x v="4348"/>
    <x v="4"/>
    <x v="2"/>
    <n v="4944"/>
    <x v="0"/>
    <x v="2"/>
    <x v="0"/>
    <n v="0"/>
    <n v="0"/>
    <n v="0"/>
    <s v="Success"/>
  </r>
  <r>
    <s v="TXN17605846"/>
    <x v="4349"/>
    <x v="7"/>
    <x v="3"/>
    <n v="143625"/>
    <x v="0"/>
    <x v="0"/>
    <x v="0"/>
    <n v="0"/>
    <n v="0"/>
    <n v="0"/>
    <s v="Success"/>
  </r>
  <r>
    <s v="TXN18715816"/>
    <x v="4350"/>
    <x v="5"/>
    <x v="1"/>
    <n v="588"/>
    <x v="0"/>
    <x v="1"/>
    <x v="0"/>
    <n v="5"/>
    <n v="0"/>
    <n v="5"/>
    <s v="Success"/>
  </r>
  <r>
    <s v="TXN31358790"/>
    <x v="4351"/>
    <x v="3"/>
    <x v="1"/>
    <n v="118032"/>
    <x v="1"/>
    <x v="0"/>
    <x v="0"/>
    <n v="5"/>
    <n v="0"/>
    <n v="5"/>
    <s v="Success"/>
  </r>
  <r>
    <s v="TXN24787433"/>
    <x v="4352"/>
    <x v="0"/>
    <x v="4"/>
    <n v="30194"/>
    <x v="0"/>
    <x v="2"/>
    <x v="1"/>
    <n v="301.94"/>
    <n v="0"/>
    <n v="301.94"/>
    <s v="Success"/>
  </r>
  <r>
    <s v="TXN27526365"/>
    <x v="4353"/>
    <x v="6"/>
    <x v="4"/>
    <n v="127806"/>
    <x v="0"/>
    <x v="5"/>
    <x v="2"/>
    <n v="1278.06"/>
    <n v="0"/>
    <n v="1278.06"/>
    <s v="Success"/>
  </r>
  <r>
    <s v="TXN32693447"/>
    <x v="4354"/>
    <x v="5"/>
    <x v="1"/>
    <n v="132851"/>
    <x v="0"/>
    <x v="1"/>
    <x v="0"/>
    <n v="5"/>
    <n v="0"/>
    <n v="5"/>
    <s v="Success"/>
  </r>
  <r>
    <s v="TXN20983022"/>
    <x v="4355"/>
    <x v="2"/>
    <x v="0"/>
    <n v="28000"/>
    <x v="0"/>
    <x v="3"/>
    <x v="0"/>
    <n v="518"/>
    <n v="207.2"/>
    <n v="310.8"/>
    <s v="Success"/>
  </r>
  <r>
    <s v="TXN12947621"/>
    <x v="4356"/>
    <x v="5"/>
    <x v="3"/>
    <n v="25183"/>
    <x v="0"/>
    <x v="5"/>
    <x v="0"/>
    <n v="0"/>
    <n v="0"/>
    <n v="0"/>
    <s v="Success"/>
  </r>
  <r>
    <s v="TXN51181109"/>
    <x v="4357"/>
    <x v="2"/>
    <x v="1"/>
    <n v="9085"/>
    <x v="0"/>
    <x v="1"/>
    <x v="0"/>
    <n v="5"/>
    <n v="0"/>
    <n v="5"/>
    <s v="Success"/>
  </r>
  <r>
    <s v="TXN39851956"/>
    <x v="4358"/>
    <x v="1"/>
    <x v="1"/>
    <n v="49193"/>
    <x v="0"/>
    <x v="7"/>
    <x v="0"/>
    <n v="5"/>
    <n v="0"/>
    <n v="5"/>
    <s v="Success"/>
  </r>
  <r>
    <s v="TXN98824170"/>
    <x v="4359"/>
    <x v="0"/>
    <x v="2"/>
    <n v="4091"/>
    <x v="0"/>
    <x v="7"/>
    <x v="0"/>
    <n v="0"/>
    <n v="0"/>
    <n v="0"/>
    <s v="Success"/>
  </r>
  <r>
    <s v="TXN91491780"/>
    <x v="4360"/>
    <x v="6"/>
    <x v="4"/>
    <n v="91356"/>
    <x v="0"/>
    <x v="1"/>
    <x v="3"/>
    <n v="913.56"/>
    <n v="0"/>
    <n v="913.56"/>
    <s v="Success"/>
  </r>
  <r>
    <s v="TXN48201616"/>
    <x v="4361"/>
    <x v="2"/>
    <x v="2"/>
    <n v="783"/>
    <x v="0"/>
    <x v="1"/>
    <x v="0"/>
    <n v="0"/>
    <n v="0"/>
    <n v="0"/>
    <s v="Success"/>
  </r>
  <r>
    <s v="TXN81615943"/>
    <x v="4362"/>
    <x v="7"/>
    <x v="4"/>
    <n v="78520"/>
    <x v="0"/>
    <x v="8"/>
    <x v="2"/>
    <n v="785.2"/>
    <n v="0"/>
    <n v="785.2"/>
    <s v="Success"/>
  </r>
  <r>
    <s v="TXN99674924"/>
    <x v="4363"/>
    <x v="6"/>
    <x v="2"/>
    <n v="414"/>
    <x v="0"/>
    <x v="2"/>
    <x v="0"/>
    <n v="0"/>
    <n v="0"/>
    <n v="0"/>
    <s v="Success"/>
  </r>
  <r>
    <s v="TXN55814179"/>
    <x v="4364"/>
    <x v="4"/>
    <x v="1"/>
    <n v="52667"/>
    <x v="0"/>
    <x v="6"/>
    <x v="0"/>
    <n v="5"/>
    <n v="0"/>
    <n v="5"/>
    <s v="Success"/>
  </r>
  <r>
    <s v="TXN44892417"/>
    <x v="4365"/>
    <x v="4"/>
    <x v="1"/>
    <n v="42212"/>
    <x v="0"/>
    <x v="5"/>
    <x v="0"/>
    <n v="5"/>
    <n v="0"/>
    <n v="5"/>
    <s v="Success"/>
  </r>
  <r>
    <s v="TXN23849072"/>
    <x v="4366"/>
    <x v="4"/>
    <x v="1"/>
    <n v="68987"/>
    <x v="0"/>
    <x v="8"/>
    <x v="0"/>
    <n v="5"/>
    <n v="0"/>
    <n v="5"/>
    <s v="Success"/>
  </r>
  <r>
    <s v="TXN17034353"/>
    <x v="4367"/>
    <x v="5"/>
    <x v="3"/>
    <n v="65243"/>
    <x v="0"/>
    <x v="3"/>
    <x v="0"/>
    <n v="0"/>
    <n v="0"/>
    <n v="0"/>
    <s v="Success"/>
  </r>
  <r>
    <s v="TXN89582403"/>
    <x v="4368"/>
    <x v="6"/>
    <x v="3"/>
    <n v="19585"/>
    <x v="1"/>
    <x v="2"/>
    <x v="0"/>
    <n v="0"/>
    <n v="0"/>
    <n v="0"/>
    <s v="Success"/>
  </r>
  <r>
    <s v="TXN58911119"/>
    <x v="4369"/>
    <x v="3"/>
    <x v="3"/>
    <n v="108241"/>
    <x v="0"/>
    <x v="6"/>
    <x v="0"/>
    <n v="0"/>
    <n v="0"/>
    <n v="0"/>
    <s v="Success"/>
  </r>
  <r>
    <s v="TXN27905605"/>
    <x v="4370"/>
    <x v="2"/>
    <x v="0"/>
    <n v="41000"/>
    <x v="0"/>
    <x v="4"/>
    <x v="0"/>
    <n v="758.5"/>
    <n v="303.39999999999998"/>
    <n v="455.1"/>
    <s v="Success"/>
  </r>
  <r>
    <s v="TXN11801522"/>
    <x v="4371"/>
    <x v="4"/>
    <x v="4"/>
    <n v="93957"/>
    <x v="0"/>
    <x v="4"/>
    <x v="1"/>
    <n v="939.57"/>
    <n v="0"/>
    <n v="939.57"/>
    <s v="Success"/>
  </r>
  <r>
    <s v="TXN15697252"/>
    <x v="4372"/>
    <x v="7"/>
    <x v="0"/>
    <n v="243000"/>
    <x v="0"/>
    <x v="5"/>
    <x v="0"/>
    <n v="4495.5"/>
    <n v="1798.2"/>
    <n v="2697.3"/>
    <s v="Success"/>
  </r>
  <r>
    <s v="TXN22748518"/>
    <x v="4373"/>
    <x v="5"/>
    <x v="3"/>
    <n v="147666"/>
    <x v="0"/>
    <x v="4"/>
    <x v="0"/>
    <n v="0"/>
    <n v="0"/>
    <n v="0"/>
    <s v="Success"/>
  </r>
  <r>
    <s v="TXN64833239"/>
    <x v="4374"/>
    <x v="1"/>
    <x v="3"/>
    <n v="86893"/>
    <x v="0"/>
    <x v="6"/>
    <x v="0"/>
    <n v="0"/>
    <n v="0"/>
    <n v="0"/>
    <s v="Success"/>
  </r>
  <r>
    <s v="TXN64483886"/>
    <x v="4375"/>
    <x v="2"/>
    <x v="4"/>
    <n v="142625"/>
    <x v="0"/>
    <x v="2"/>
    <x v="2"/>
    <n v="1426.25"/>
    <n v="0"/>
    <n v="1426.25"/>
    <s v="Success"/>
  </r>
  <r>
    <s v="TXN43625107"/>
    <x v="4376"/>
    <x v="3"/>
    <x v="4"/>
    <n v="148734"/>
    <x v="0"/>
    <x v="7"/>
    <x v="4"/>
    <n v="1487.34"/>
    <n v="0"/>
    <n v="1487.34"/>
    <s v="Success"/>
  </r>
  <r>
    <s v="TXN49002349"/>
    <x v="4377"/>
    <x v="5"/>
    <x v="1"/>
    <n v="49633"/>
    <x v="0"/>
    <x v="5"/>
    <x v="0"/>
    <n v="5"/>
    <n v="0"/>
    <n v="5"/>
    <s v="Success"/>
  </r>
  <r>
    <s v="TXN94271187"/>
    <x v="4378"/>
    <x v="3"/>
    <x v="4"/>
    <n v="44496"/>
    <x v="0"/>
    <x v="8"/>
    <x v="1"/>
    <n v="444.96"/>
    <n v="0"/>
    <n v="444.96"/>
    <s v="Success"/>
  </r>
  <r>
    <s v="TXN63497026"/>
    <x v="4379"/>
    <x v="6"/>
    <x v="0"/>
    <n v="78500"/>
    <x v="0"/>
    <x v="2"/>
    <x v="0"/>
    <n v="1452.25"/>
    <n v="580.9"/>
    <n v="871.35"/>
    <s v="Success"/>
  </r>
  <r>
    <s v="TXN26194750"/>
    <x v="4380"/>
    <x v="6"/>
    <x v="1"/>
    <n v="125753"/>
    <x v="0"/>
    <x v="5"/>
    <x v="0"/>
    <n v="5"/>
    <n v="0"/>
    <n v="5"/>
    <s v="Success"/>
  </r>
  <r>
    <s v="TXN11906456"/>
    <x v="4381"/>
    <x v="0"/>
    <x v="2"/>
    <n v="3526"/>
    <x v="0"/>
    <x v="3"/>
    <x v="0"/>
    <n v="0"/>
    <n v="0"/>
    <n v="0"/>
    <s v="Success"/>
  </r>
  <r>
    <s v="TXN52788293"/>
    <x v="4382"/>
    <x v="7"/>
    <x v="4"/>
    <n v="29141"/>
    <x v="1"/>
    <x v="6"/>
    <x v="4"/>
    <n v="291.41000000000003"/>
    <n v="0"/>
    <n v="291.41000000000003"/>
    <s v="Success"/>
  </r>
  <r>
    <s v="TXN96416347"/>
    <x v="4383"/>
    <x v="5"/>
    <x v="2"/>
    <n v="365"/>
    <x v="1"/>
    <x v="5"/>
    <x v="0"/>
    <n v="0"/>
    <n v="0"/>
    <n v="0"/>
    <s v="Success"/>
  </r>
  <r>
    <s v="TXN93989593"/>
    <x v="4384"/>
    <x v="7"/>
    <x v="1"/>
    <n v="58316"/>
    <x v="0"/>
    <x v="0"/>
    <x v="0"/>
    <n v="5"/>
    <n v="0"/>
    <n v="5"/>
    <s v="Success"/>
  </r>
  <r>
    <s v="TXN58680429"/>
    <x v="4385"/>
    <x v="4"/>
    <x v="4"/>
    <n v="127446"/>
    <x v="0"/>
    <x v="0"/>
    <x v="2"/>
    <n v="1274.46"/>
    <n v="0"/>
    <n v="1274.46"/>
    <s v="Success"/>
  </r>
  <r>
    <s v="TXN64900063"/>
    <x v="4386"/>
    <x v="3"/>
    <x v="2"/>
    <n v="2684"/>
    <x v="0"/>
    <x v="2"/>
    <x v="0"/>
    <n v="0"/>
    <n v="0"/>
    <n v="0"/>
    <s v="Success"/>
  </r>
  <r>
    <s v="TXN66732863"/>
    <x v="4387"/>
    <x v="1"/>
    <x v="2"/>
    <n v="3885"/>
    <x v="0"/>
    <x v="3"/>
    <x v="0"/>
    <n v="0"/>
    <n v="0"/>
    <n v="0"/>
    <s v="Success"/>
  </r>
  <r>
    <s v="TXN14136831"/>
    <x v="4388"/>
    <x v="7"/>
    <x v="4"/>
    <n v="100065"/>
    <x v="1"/>
    <x v="5"/>
    <x v="5"/>
    <n v="1000.65"/>
    <n v="0"/>
    <n v="1000.65"/>
    <s v="Success"/>
  </r>
  <r>
    <s v="TXN88970598"/>
    <x v="4389"/>
    <x v="5"/>
    <x v="4"/>
    <n v="62795"/>
    <x v="0"/>
    <x v="0"/>
    <x v="4"/>
    <n v="627.95000000000005"/>
    <n v="0"/>
    <n v="627.95000000000005"/>
    <s v="Success"/>
  </r>
  <r>
    <s v="TXN97400471"/>
    <x v="4390"/>
    <x v="1"/>
    <x v="4"/>
    <n v="51259"/>
    <x v="0"/>
    <x v="8"/>
    <x v="2"/>
    <n v="512.59"/>
    <n v="0"/>
    <n v="512.59"/>
    <s v="Success"/>
  </r>
  <r>
    <s v="TXN14214820"/>
    <x v="4391"/>
    <x v="2"/>
    <x v="2"/>
    <n v="906"/>
    <x v="0"/>
    <x v="2"/>
    <x v="0"/>
    <n v="0"/>
    <n v="0"/>
    <n v="0"/>
    <s v="Success"/>
  </r>
  <r>
    <s v="TXN32671343"/>
    <x v="4392"/>
    <x v="3"/>
    <x v="4"/>
    <n v="6453"/>
    <x v="1"/>
    <x v="6"/>
    <x v="5"/>
    <n v="64.53"/>
    <n v="0"/>
    <n v="64.53"/>
    <s v="Failed"/>
  </r>
  <r>
    <s v="TXN59878923"/>
    <x v="4393"/>
    <x v="7"/>
    <x v="3"/>
    <n v="86581"/>
    <x v="0"/>
    <x v="0"/>
    <x v="0"/>
    <n v="0"/>
    <n v="0"/>
    <n v="0"/>
    <s v="Success"/>
  </r>
  <r>
    <s v="TXN39802864"/>
    <x v="4394"/>
    <x v="3"/>
    <x v="3"/>
    <n v="25159"/>
    <x v="1"/>
    <x v="7"/>
    <x v="0"/>
    <n v="0"/>
    <n v="0"/>
    <n v="0"/>
    <s v="Success"/>
  </r>
  <r>
    <s v="TXN27938235"/>
    <x v="4395"/>
    <x v="0"/>
    <x v="3"/>
    <n v="127860"/>
    <x v="0"/>
    <x v="5"/>
    <x v="0"/>
    <n v="0"/>
    <n v="0"/>
    <n v="0"/>
    <s v="Success"/>
  </r>
  <r>
    <s v="TXN32998695"/>
    <x v="4396"/>
    <x v="5"/>
    <x v="4"/>
    <n v="97343"/>
    <x v="0"/>
    <x v="4"/>
    <x v="3"/>
    <n v="973.43"/>
    <n v="0"/>
    <n v="973.43"/>
    <s v="Success"/>
  </r>
  <r>
    <s v="TXN18098409"/>
    <x v="4397"/>
    <x v="0"/>
    <x v="0"/>
    <n v="197500"/>
    <x v="0"/>
    <x v="1"/>
    <x v="0"/>
    <n v="3653.75"/>
    <n v="1461.5"/>
    <n v="2192.25"/>
    <s v="Success"/>
  </r>
  <r>
    <s v="TXN16507976"/>
    <x v="4398"/>
    <x v="4"/>
    <x v="1"/>
    <n v="136504"/>
    <x v="0"/>
    <x v="1"/>
    <x v="0"/>
    <n v="5"/>
    <n v="0"/>
    <n v="5"/>
    <s v="Success"/>
  </r>
  <r>
    <s v="TXN99180490"/>
    <x v="4399"/>
    <x v="6"/>
    <x v="1"/>
    <n v="119910"/>
    <x v="0"/>
    <x v="3"/>
    <x v="0"/>
    <n v="5"/>
    <n v="0"/>
    <n v="5"/>
    <s v="Success"/>
  </r>
  <r>
    <s v="TXN22156003"/>
    <x v="4400"/>
    <x v="2"/>
    <x v="3"/>
    <n v="130828"/>
    <x v="0"/>
    <x v="1"/>
    <x v="0"/>
    <n v="0"/>
    <n v="0"/>
    <n v="0"/>
    <s v="Success"/>
  </r>
  <r>
    <s v="TXN99857611"/>
    <x v="4401"/>
    <x v="2"/>
    <x v="3"/>
    <n v="134905"/>
    <x v="0"/>
    <x v="4"/>
    <x v="0"/>
    <n v="0"/>
    <n v="0"/>
    <n v="0"/>
    <s v="Success"/>
  </r>
  <r>
    <s v="TXN30500933"/>
    <x v="4402"/>
    <x v="6"/>
    <x v="2"/>
    <n v="822"/>
    <x v="0"/>
    <x v="2"/>
    <x v="0"/>
    <n v="0"/>
    <n v="0"/>
    <n v="0"/>
    <s v="Success"/>
  </r>
  <r>
    <s v="TXN93953073"/>
    <x v="4403"/>
    <x v="2"/>
    <x v="2"/>
    <n v="3982"/>
    <x v="0"/>
    <x v="6"/>
    <x v="0"/>
    <n v="0"/>
    <n v="0"/>
    <n v="0"/>
    <s v="Success"/>
  </r>
  <r>
    <s v="TXN20302352"/>
    <x v="4404"/>
    <x v="0"/>
    <x v="1"/>
    <n v="49945"/>
    <x v="0"/>
    <x v="5"/>
    <x v="0"/>
    <n v="5"/>
    <n v="0"/>
    <n v="5"/>
    <s v="Success"/>
  </r>
  <r>
    <s v="TXN14078599"/>
    <x v="4405"/>
    <x v="2"/>
    <x v="2"/>
    <n v="3029"/>
    <x v="0"/>
    <x v="5"/>
    <x v="0"/>
    <n v="0"/>
    <n v="0"/>
    <n v="0"/>
    <s v="Success"/>
  </r>
  <r>
    <s v="TXN72370065"/>
    <x v="4406"/>
    <x v="3"/>
    <x v="2"/>
    <n v="2307"/>
    <x v="0"/>
    <x v="3"/>
    <x v="0"/>
    <n v="0"/>
    <n v="0"/>
    <n v="0"/>
    <s v="Success"/>
  </r>
  <r>
    <s v="TXN51856822"/>
    <x v="4407"/>
    <x v="4"/>
    <x v="4"/>
    <n v="84401"/>
    <x v="0"/>
    <x v="3"/>
    <x v="1"/>
    <n v="844.01"/>
    <n v="0"/>
    <n v="844.01"/>
    <s v="Failed"/>
  </r>
  <r>
    <s v="TXN69167866"/>
    <x v="4408"/>
    <x v="0"/>
    <x v="2"/>
    <n v="4918"/>
    <x v="0"/>
    <x v="5"/>
    <x v="0"/>
    <n v="0"/>
    <n v="0"/>
    <n v="0"/>
    <s v="Success"/>
  </r>
  <r>
    <s v="TXN65477618"/>
    <x v="4409"/>
    <x v="1"/>
    <x v="4"/>
    <n v="116651"/>
    <x v="0"/>
    <x v="5"/>
    <x v="2"/>
    <n v="1166.51"/>
    <n v="0"/>
    <n v="1166.51"/>
    <s v="Success"/>
  </r>
  <r>
    <s v="TXN80539722"/>
    <x v="4410"/>
    <x v="1"/>
    <x v="3"/>
    <n v="4205"/>
    <x v="0"/>
    <x v="2"/>
    <x v="0"/>
    <n v="0"/>
    <n v="0"/>
    <n v="0"/>
    <s v="Success"/>
  </r>
  <r>
    <s v="TXN96788560"/>
    <x v="4411"/>
    <x v="3"/>
    <x v="1"/>
    <n v="51059"/>
    <x v="0"/>
    <x v="1"/>
    <x v="0"/>
    <n v="5"/>
    <n v="0"/>
    <n v="5"/>
    <s v="Success"/>
  </r>
  <r>
    <s v="TXN76490631"/>
    <x v="4412"/>
    <x v="7"/>
    <x v="1"/>
    <n v="87981"/>
    <x v="0"/>
    <x v="6"/>
    <x v="0"/>
    <n v="5"/>
    <n v="0"/>
    <n v="5"/>
    <s v="Success"/>
  </r>
  <r>
    <s v="TXN43051094"/>
    <x v="4413"/>
    <x v="3"/>
    <x v="4"/>
    <n v="57746"/>
    <x v="0"/>
    <x v="1"/>
    <x v="4"/>
    <n v="577.46"/>
    <n v="0"/>
    <n v="577.46"/>
    <s v="Success"/>
  </r>
  <r>
    <s v="TXN50471122"/>
    <x v="4414"/>
    <x v="6"/>
    <x v="2"/>
    <n v="3525"/>
    <x v="0"/>
    <x v="8"/>
    <x v="0"/>
    <n v="0"/>
    <n v="0"/>
    <n v="0"/>
    <s v="Failed"/>
  </r>
  <r>
    <s v="TXN53667453"/>
    <x v="4415"/>
    <x v="0"/>
    <x v="2"/>
    <n v="3273"/>
    <x v="0"/>
    <x v="3"/>
    <x v="0"/>
    <n v="0"/>
    <n v="0"/>
    <n v="0"/>
    <s v="Success"/>
  </r>
  <r>
    <s v="TXN63042362"/>
    <x v="4416"/>
    <x v="2"/>
    <x v="2"/>
    <n v="2725"/>
    <x v="0"/>
    <x v="5"/>
    <x v="0"/>
    <n v="0"/>
    <n v="0"/>
    <n v="0"/>
    <s v="Success"/>
  </r>
  <r>
    <s v="TXN93012552"/>
    <x v="4417"/>
    <x v="4"/>
    <x v="4"/>
    <n v="57917"/>
    <x v="0"/>
    <x v="6"/>
    <x v="5"/>
    <n v="579.16999999999996"/>
    <n v="0"/>
    <n v="579.16999999999996"/>
    <s v="Success"/>
  </r>
  <r>
    <s v="TXN68488539"/>
    <x v="4418"/>
    <x v="5"/>
    <x v="2"/>
    <n v="4853"/>
    <x v="0"/>
    <x v="6"/>
    <x v="0"/>
    <n v="0"/>
    <n v="0"/>
    <n v="0"/>
    <s v="Success"/>
  </r>
  <r>
    <s v="TXN74544670"/>
    <x v="4419"/>
    <x v="7"/>
    <x v="3"/>
    <n v="94616"/>
    <x v="0"/>
    <x v="4"/>
    <x v="0"/>
    <n v="0"/>
    <n v="0"/>
    <n v="0"/>
    <s v="Success"/>
  </r>
  <r>
    <s v="TXN56074118"/>
    <x v="4420"/>
    <x v="0"/>
    <x v="1"/>
    <n v="142516"/>
    <x v="0"/>
    <x v="2"/>
    <x v="0"/>
    <n v="5"/>
    <n v="0"/>
    <n v="5"/>
    <s v="Success"/>
  </r>
  <r>
    <s v="TXN78934883"/>
    <x v="4421"/>
    <x v="3"/>
    <x v="0"/>
    <n v="206000"/>
    <x v="0"/>
    <x v="6"/>
    <x v="0"/>
    <n v="3811"/>
    <n v="1524.4"/>
    <n v="2286.6"/>
    <s v="Success"/>
  </r>
  <r>
    <s v="TXN64205077"/>
    <x v="4422"/>
    <x v="5"/>
    <x v="0"/>
    <n v="187500"/>
    <x v="0"/>
    <x v="6"/>
    <x v="0"/>
    <n v="3468.75"/>
    <n v="1387.5"/>
    <n v="2081.25"/>
    <s v="Success"/>
  </r>
  <r>
    <s v="TXN52551742"/>
    <x v="4423"/>
    <x v="4"/>
    <x v="0"/>
    <n v="82000"/>
    <x v="0"/>
    <x v="1"/>
    <x v="0"/>
    <n v="1517"/>
    <n v="606.79999999999995"/>
    <n v="910.2"/>
    <s v="Success"/>
  </r>
  <r>
    <s v="TXN41619113"/>
    <x v="4424"/>
    <x v="3"/>
    <x v="1"/>
    <n v="91950"/>
    <x v="0"/>
    <x v="3"/>
    <x v="0"/>
    <n v="5"/>
    <n v="0"/>
    <n v="5"/>
    <s v="Success"/>
  </r>
  <r>
    <s v="TXN66675525"/>
    <x v="4425"/>
    <x v="1"/>
    <x v="1"/>
    <n v="114618"/>
    <x v="0"/>
    <x v="8"/>
    <x v="0"/>
    <n v="5"/>
    <n v="0"/>
    <n v="5"/>
    <s v="Success"/>
  </r>
  <r>
    <s v="TXN25514732"/>
    <x v="4426"/>
    <x v="0"/>
    <x v="0"/>
    <n v="92500"/>
    <x v="0"/>
    <x v="5"/>
    <x v="0"/>
    <n v="1711.25"/>
    <n v="684.5"/>
    <n v="1026.75"/>
    <s v="Success"/>
  </r>
  <r>
    <s v="TXN26118486"/>
    <x v="4427"/>
    <x v="6"/>
    <x v="0"/>
    <n v="167000"/>
    <x v="2"/>
    <x v="3"/>
    <x v="0"/>
    <n v="3089.5"/>
    <n v="1235.8"/>
    <n v="1853.7"/>
    <s v="Success"/>
  </r>
  <r>
    <s v="TXN74866914"/>
    <x v="4428"/>
    <x v="4"/>
    <x v="0"/>
    <n v="50000"/>
    <x v="0"/>
    <x v="5"/>
    <x v="0"/>
    <n v="925"/>
    <n v="370"/>
    <n v="555"/>
    <s v="Success"/>
  </r>
  <r>
    <s v="TXN26697092"/>
    <x v="4429"/>
    <x v="4"/>
    <x v="0"/>
    <n v="234500"/>
    <x v="1"/>
    <x v="2"/>
    <x v="0"/>
    <n v="4338.25"/>
    <n v="1735.3"/>
    <n v="2602.9499999999998"/>
    <s v="Success"/>
  </r>
  <r>
    <s v="TXN78728881"/>
    <x v="4430"/>
    <x v="6"/>
    <x v="1"/>
    <n v="74199"/>
    <x v="0"/>
    <x v="4"/>
    <x v="0"/>
    <n v="5"/>
    <n v="0"/>
    <n v="5"/>
    <s v="Success"/>
  </r>
  <r>
    <s v="TXN98714274"/>
    <x v="4431"/>
    <x v="1"/>
    <x v="0"/>
    <n v="241500"/>
    <x v="1"/>
    <x v="0"/>
    <x v="0"/>
    <n v="4467.75"/>
    <n v="1787.1"/>
    <n v="2680.65"/>
    <s v="Success"/>
  </r>
  <r>
    <s v="TXN56809305"/>
    <x v="4432"/>
    <x v="6"/>
    <x v="0"/>
    <n v="230000"/>
    <x v="0"/>
    <x v="8"/>
    <x v="0"/>
    <n v="4255"/>
    <n v="1702"/>
    <n v="2553"/>
    <s v="Success"/>
  </r>
  <r>
    <s v="TXN29430186"/>
    <x v="4433"/>
    <x v="7"/>
    <x v="3"/>
    <n v="52139"/>
    <x v="0"/>
    <x v="0"/>
    <x v="0"/>
    <n v="0"/>
    <n v="0"/>
    <n v="0"/>
    <s v="Success"/>
  </r>
  <r>
    <s v="TXN84289612"/>
    <x v="4434"/>
    <x v="1"/>
    <x v="1"/>
    <n v="116318"/>
    <x v="0"/>
    <x v="4"/>
    <x v="0"/>
    <n v="5"/>
    <n v="0"/>
    <n v="5"/>
    <s v="Success"/>
  </r>
  <r>
    <s v="TXN78995506"/>
    <x v="4435"/>
    <x v="6"/>
    <x v="0"/>
    <n v="172500"/>
    <x v="0"/>
    <x v="7"/>
    <x v="0"/>
    <n v="3191.25"/>
    <n v="1276.5"/>
    <n v="1914.75"/>
    <s v="Success"/>
  </r>
  <r>
    <s v="TXN67987869"/>
    <x v="4436"/>
    <x v="7"/>
    <x v="0"/>
    <n v="65500"/>
    <x v="1"/>
    <x v="2"/>
    <x v="0"/>
    <n v="1211.75"/>
    <n v="484.7"/>
    <n v="727.05"/>
    <s v="Failed"/>
  </r>
  <r>
    <s v="TXN86259696"/>
    <x v="4437"/>
    <x v="0"/>
    <x v="2"/>
    <n v="2169"/>
    <x v="1"/>
    <x v="4"/>
    <x v="0"/>
    <n v="0"/>
    <n v="0"/>
    <n v="0"/>
    <s v="Success"/>
  </r>
  <r>
    <s v="TXN77447271"/>
    <x v="4438"/>
    <x v="6"/>
    <x v="2"/>
    <n v="588"/>
    <x v="0"/>
    <x v="5"/>
    <x v="0"/>
    <n v="0"/>
    <n v="0"/>
    <n v="0"/>
    <s v="Success"/>
  </r>
  <r>
    <s v="TXN60007137"/>
    <x v="4439"/>
    <x v="5"/>
    <x v="4"/>
    <n v="121523"/>
    <x v="0"/>
    <x v="8"/>
    <x v="3"/>
    <n v="1215.23"/>
    <n v="0"/>
    <n v="1215.23"/>
    <s v="Success"/>
  </r>
  <r>
    <s v="TXN73244990"/>
    <x v="4440"/>
    <x v="7"/>
    <x v="0"/>
    <n v="172000"/>
    <x v="0"/>
    <x v="1"/>
    <x v="0"/>
    <n v="3182"/>
    <n v="1272.8"/>
    <n v="1909.2"/>
    <s v="Success"/>
  </r>
  <r>
    <s v="TXN61272177"/>
    <x v="4441"/>
    <x v="0"/>
    <x v="3"/>
    <n v="128943"/>
    <x v="1"/>
    <x v="4"/>
    <x v="0"/>
    <n v="0"/>
    <n v="0"/>
    <n v="0"/>
    <s v="Success"/>
  </r>
  <r>
    <s v="TXN91344606"/>
    <x v="4442"/>
    <x v="3"/>
    <x v="0"/>
    <n v="180000"/>
    <x v="2"/>
    <x v="0"/>
    <x v="0"/>
    <n v="3330"/>
    <n v="1332"/>
    <n v="1998"/>
    <s v="Success"/>
  </r>
  <r>
    <s v="TXN41406107"/>
    <x v="4443"/>
    <x v="0"/>
    <x v="2"/>
    <n v="1842"/>
    <x v="1"/>
    <x v="2"/>
    <x v="0"/>
    <n v="0"/>
    <n v="0"/>
    <n v="0"/>
    <s v="Success"/>
  </r>
  <r>
    <s v="TXN13554788"/>
    <x v="4444"/>
    <x v="6"/>
    <x v="0"/>
    <n v="196500"/>
    <x v="0"/>
    <x v="6"/>
    <x v="0"/>
    <n v="3635.25"/>
    <n v="1454.1"/>
    <n v="2181.15"/>
    <s v="Success"/>
  </r>
  <r>
    <s v="TXN23257586"/>
    <x v="4445"/>
    <x v="4"/>
    <x v="3"/>
    <n v="149326"/>
    <x v="0"/>
    <x v="5"/>
    <x v="0"/>
    <n v="0"/>
    <n v="0"/>
    <n v="0"/>
    <s v="Success"/>
  </r>
  <r>
    <s v="TXN76613166"/>
    <x v="4446"/>
    <x v="1"/>
    <x v="0"/>
    <n v="106000"/>
    <x v="2"/>
    <x v="0"/>
    <x v="0"/>
    <n v="1961"/>
    <n v="784.4"/>
    <n v="1176.5999999999999"/>
    <s v="Success"/>
  </r>
  <r>
    <s v="TXN83719104"/>
    <x v="4447"/>
    <x v="7"/>
    <x v="4"/>
    <n v="109437"/>
    <x v="0"/>
    <x v="2"/>
    <x v="5"/>
    <n v="1094.3699999999999"/>
    <n v="0"/>
    <n v="1094.3699999999999"/>
    <s v="Success"/>
  </r>
  <r>
    <s v="TXN70525025"/>
    <x v="4448"/>
    <x v="1"/>
    <x v="0"/>
    <n v="166500"/>
    <x v="0"/>
    <x v="4"/>
    <x v="0"/>
    <n v="3080.25"/>
    <n v="1232.0999999999999"/>
    <n v="1848.15"/>
    <s v="Success"/>
  </r>
  <r>
    <s v="TXN45286946"/>
    <x v="4449"/>
    <x v="2"/>
    <x v="3"/>
    <n v="62603"/>
    <x v="1"/>
    <x v="1"/>
    <x v="0"/>
    <n v="0"/>
    <n v="0"/>
    <n v="0"/>
    <s v="Success"/>
  </r>
  <r>
    <s v="TXN63002730"/>
    <x v="4450"/>
    <x v="7"/>
    <x v="2"/>
    <n v="2995"/>
    <x v="0"/>
    <x v="0"/>
    <x v="0"/>
    <n v="0"/>
    <n v="0"/>
    <n v="0"/>
    <s v="Success"/>
  </r>
  <r>
    <s v="TXN84460291"/>
    <x v="4451"/>
    <x v="0"/>
    <x v="3"/>
    <n v="138610"/>
    <x v="0"/>
    <x v="6"/>
    <x v="0"/>
    <n v="0"/>
    <n v="0"/>
    <n v="0"/>
    <s v="Success"/>
  </r>
  <r>
    <s v="TXN17698291"/>
    <x v="4452"/>
    <x v="5"/>
    <x v="0"/>
    <n v="52000"/>
    <x v="0"/>
    <x v="3"/>
    <x v="0"/>
    <n v="962"/>
    <n v="384.8"/>
    <n v="577.20000000000005"/>
    <s v="Success"/>
  </r>
  <r>
    <s v="TXN19719143"/>
    <x v="4453"/>
    <x v="1"/>
    <x v="1"/>
    <n v="23239"/>
    <x v="0"/>
    <x v="3"/>
    <x v="0"/>
    <n v="5"/>
    <n v="0"/>
    <n v="5"/>
    <s v="Success"/>
  </r>
  <r>
    <s v="TXN95200333"/>
    <x v="4454"/>
    <x v="5"/>
    <x v="3"/>
    <n v="110374"/>
    <x v="0"/>
    <x v="0"/>
    <x v="0"/>
    <n v="0"/>
    <n v="0"/>
    <n v="0"/>
    <s v="Success"/>
  </r>
  <r>
    <s v="TXN29390999"/>
    <x v="4455"/>
    <x v="4"/>
    <x v="2"/>
    <n v="3396"/>
    <x v="0"/>
    <x v="7"/>
    <x v="0"/>
    <n v="0"/>
    <n v="0"/>
    <n v="0"/>
    <s v="Success"/>
  </r>
  <r>
    <s v="TXN46694209"/>
    <x v="4456"/>
    <x v="5"/>
    <x v="2"/>
    <n v="4370"/>
    <x v="0"/>
    <x v="5"/>
    <x v="0"/>
    <n v="0"/>
    <n v="0"/>
    <n v="0"/>
    <s v="Success"/>
  </r>
  <r>
    <s v="TXN57417082"/>
    <x v="4457"/>
    <x v="2"/>
    <x v="1"/>
    <n v="72091"/>
    <x v="0"/>
    <x v="4"/>
    <x v="0"/>
    <n v="5"/>
    <n v="0"/>
    <n v="5"/>
    <s v="Success"/>
  </r>
  <r>
    <s v="TXN14104060"/>
    <x v="4458"/>
    <x v="6"/>
    <x v="0"/>
    <n v="183500"/>
    <x v="0"/>
    <x v="4"/>
    <x v="0"/>
    <n v="3394.75"/>
    <n v="1357.9"/>
    <n v="2036.85"/>
    <s v="Success"/>
  </r>
  <r>
    <s v="TXN69560785"/>
    <x v="4459"/>
    <x v="1"/>
    <x v="4"/>
    <n v="110770"/>
    <x v="0"/>
    <x v="0"/>
    <x v="2"/>
    <n v="1107.7"/>
    <n v="0"/>
    <n v="1107.7"/>
    <s v="Success"/>
  </r>
  <r>
    <s v="TXN93497877"/>
    <x v="4460"/>
    <x v="0"/>
    <x v="1"/>
    <n v="124680"/>
    <x v="0"/>
    <x v="7"/>
    <x v="0"/>
    <n v="5"/>
    <n v="0"/>
    <n v="5"/>
    <s v="Success"/>
  </r>
  <r>
    <s v="TXN24077811"/>
    <x v="4461"/>
    <x v="4"/>
    <x v="1"/>
    <n v="12547"/>
    <x v="1"/>
    <x v="7"/>
    <x v="0"/>
    <n v="5"/>
    <n v="0"/>
    <n v="5"/>
    <s v="Success"/>
  </r>
  <r>
    <s v="TXN74524767"/>
    <x v="4462"/>
    <x v="5"/>
    <x v="0"/>
    <n v="247000"/>
    <x v="1"/>
    <x v="5"/>
    <x v="0"/>
    <n v="4569.5"/>
    <n v="1827.8"/>
    <n v="2741.7"/>
    <s v="Success"/>
  </r>
  <r>
    <s v="TXN28320273"/>
    <x v="4463"/>
    <x v="0"/>
    <x v="2"/>
    <n v="33"/>
    <x v="0"/>
    <x v="3"/>
    <x v="0"/>
    <n v="0"/>
    <n v="0"/>
    <n v="0"/>
    <s v="Success"/>
  </r>
  <r>
    <s v="TXN63263623"/>
    <x v="4464"/>
    <x v="4"/>
    <x v="2"/>
    <n v="1770"/>
    <x v="0"/>
    <x v="2"/>
    <x v="0"/>
    <n v="0"/>
    <n v="0"/>
    <n v="0"/>
    <s v="Success"/>
  </r>
  <r>
    <s v="TXN71149442"/>
    <x v="4465"/>
    <x v="3"/>
    <x v="4"/>
    <n v="1817"/>
    <x v="0"/>
    <x v="2"/>
    <x v="5"/>
    <n v="18.170000000000002"/>
    <n v="0"/>
    <n v="18.170000000000002"/>
    <s v="Success"/>
  </r>
  <r>
    <s v="TXN65501801"/>
    <x v="4466"/>
    <x v="2"/>
    <x v="0"/>
    <n v="130000"/>
    <x v="0"/>
    <x v="2"/>
    <x v="0"/>
    <n v="2405"/>
    <n v="962"/>
    <n v="1443"/>
    <s v="Success"/>
  </r>
  <r>
    <s v="TXN81071307"/>
    <x v="4467"/>
    <x v="7"/>
    <x v="4"/>
    <n v="96279"/>
    <x v="1"/>
    <x v="6"/>
    <x v="5"/>
    <n v="962.79"/>
    <n v="0"/>
    <n v="962.79"/>
    <s v="Success"/>
  </r>
  <r>
    <s v="TXN27087986"/>
    <x v="4468"/>
    <x v="3"/>
    <x v="2"/>
    <n v="4366"/>
    <x v="0"/>
    <x v="3"/>
    <x v="0"/>
    <n v="0"/>
    <n v="0"/>
    <n v="0"/>
    <s v="Success"/>
  </r>
  <r>
    <s v="TXN79640341"/>
    <x v="4469"/>
    <x v="5"/>
    <x v="2"/>
    <n v="2286"/>
    <x v="0"/>
    <x v="6"/>
    <x v="0"/>
    <n v="0"/>
    <n v="0"/>
    <n v="0"/>
    <s v="Failed"/>
  </r>
  <r>
    <s v="TXN54572694"/>
    <x v="4470"/>
    <x v="4"/>
    <x v="1"/>
    <n v="11677"/>
    <x v="0"/>
    <x v="1"/>
    <x v="0"/>
    <n v="5"/>
    <n v="0"/>
    <n v="5"/>
    <s v="Success"/>
  </r>
  <r>
    <s v="TXN35105809"/>
    <x v="4471"/>
    <x v="4"/>
    <x v="4"/>
    <n v="88494"/>
    <x v="0"/>
    <x v="1"/>
    <x v="3"/>
    <n v="884.94"/>
    <n v="0"/>
    <n v="884.94"/>
    <s v="Success"/>
  </r>
  <r>
    <s v="TXN63488969"/>
    <x v="4472"/>
    <x v="5"/>
    <x v="3"/>
    <n v="13462"/>
    <x v="0"/>
    <x v="7"/>
    <x v="0"/>
    <n v="0"/>
    <n v="0"/>
    <n v="0"/>
    <s v="Success"/>
  </r>
  <r>
    <s v="TXN97943070"/>
    <x v="4473"/>
    <x v="0"/>
    <x v="4"/>
    <n v="81854"/>
    <x v="0"/>
    <x v="5"/>
    <x v="2"/>
    <n v="818.54"/>
    <n v="0"/>
    <n v="818.54"/>
    <s v="Success"/>
  </r>
  <r>
    <s v="TXN80623782"/>
    <x v="4474"/>
    <x v="5"/>
    <x v="1"/>
    <n v="77123"/>
    <x v="0"/>
    <x v="0"/>
    <x v="0"/>
    <n v="5"/>
    <n v="0"/>
    <n v="5"/>
    <s v="Success"/>
  </r>
  <r>
    <s v="TXN40735492"/>
    <x v="4475"/>
    <x v="5"/>
    <x v="3"/>
    <n v="4704"/>
    <x v="0"/>
    <x v="3"/>
    <x v="0"/>
    <n v="0"/>
    <n v="0"/>
    <n v="0"/>
    <s v="Failed"/>
  </r>
  <r>
    <s v="TXN83562193"/>
    <x v="4476"/>
    <x v="6"/>
    <x v="2"/>
    <n v="3682"/>
    <x v="0"/>
    <x v="5"/>
    <x v="0"/>
    <n v="0"/>
    <n v="0"/>
    <n v="0"/>
    <s v="Success"/>
  </r>
  <r>
    <s v="TXN31881985"/>
    <x v="4477"/>
    <x v="3"/>
    <x v="2"/>
    <n v="4106"/>
    <x v="0"/>
    <x v="6"/>
    <x v="0"/>
    <n v="0"/>
    <n v="0"/>
    <n v="0"/>
    <s v="Success"/>
  </r>
  <r>
    <s v="TXN23870719"/>
    <x v="4478"/>
    <x v="2"/>
    <x v="1"/>
    <n v="74284"/>
    <x v="0"/>
    <x v="5"/>
    <x v="0"/>
    <n v="5"/>
    <n v="0"/>
    <n v="5"/>
    <s v="Success"/>
  </r>
  <r>
    <s v="TXN38874912"/>
    <x v="4479"/>
    <x v="2"/>
    <x v="1"/>
    <n v="118719"/>
    <x v="2"/>
    <x v="0"/>
    <x v="0"/>
    <n v="5"/>
    <n v="0"/>
    <n v="5"/>
    <s v="Success"/>
  </r>
  <r>
    <s v="TXN61309638"/>
    <x v="4480"/>
    <x v="6"/>
    <x v="2"/>
    <n v="966"/>
    <x v="0"/>
    <x v="0"/>
    <x v="0"/>
    <n v="0"/>
    <n v="0"/>
    <n v="0"/>
    <s v="Success"/>
  </r>
  <r>
    <s v="TXN96808309"/>
    <x v="4481"/>
    <x v="7"/>
    <x v="0"/>
    <n v="50000"/>
    <x v="0"/>
    <x v="7"/>
    <x v="0"/>
    <n v="925"/>
    <n v="370"/>
    <n v="555"/>
    <s v="Success"/>
  </r>
  <r>
    <s v="TXN77092036"/>
    <x v="4482"/>
    <x v="0"/>
    <x v="2"/>
    <n v="686"/>
    <x v="1"/>
    <x v="0"/>
    <x v="0"/>
    <n v="0"/>
    <n v="0"/>
    <n v="0"/>
    <s v="Success"/>
  </r>
  <r>
    <s v="TXN18223063"/>
    <x v="4483"/>
    <x v="3"/>
    <x v="0"/>
    <n v="228500"/>
    <x v="0"/>
    <x v="2"/>
    <x v="0"/>
    <n v="4227.25"/>
    <n v="1690.9"/>
    <n v="2536.35"/>
    <s v="Success"/>
  </r>
  <r>
    <s v="TXN91657547"/>
    <x v="4484"/>
    <x v="6"/>
    <x v="1"/>
    <n v="88365"/>
    <x v="1"/>
    <x v="4"/>
    <x v="0"/>
    <n v="5"/>
    <n v="0"/>
    <n v="5"/>
    <s v="Success"/>
  </r>
  <r>
    <s v="TXN62146738"/>
    <x v="4485"/>
    <x v="5"/>
    <x v="3"/>
    <n v="31931"/>
    <x v="0"/>
    <x v="7"/>
    <x v="0"/>
    <n v="0"/>
    <n v="0"/>
    <n v="0"/>
    <s v="Success"/>
  </r>
  <r>
    <s v="TXN62058083"/>
    <x v="4486"/>
    <x v="0"/>
    <x v="3"/>
    <n v="92521"/>
    <x v="0"/>
    <x v="1"/>
    <x v="0"/>
    <n v="0"/>
    <n v="0"/>
    <n v="0"/>
    <s v="Success"/>
  </r>
  <r>
    <s v="TXN10177305"/>
    <x v="4487"/>
    <x v="6"/>
    <x v="2"/>
    <n v="2861"/>
    <x v="1"/>
    <x v="0"/>
    <x v="0"/>
    <n v="0"/>
    <n v="0"/>
    <n v="0"/>
    <s v="Success"/>
  </r>
  <r>
    <s v="TXN24975487"/>
    <x v="4488"/>
    <x v="7"/>
    <x v="2"/>
    <n v="1706"/>
    <x v="0"/>
    <x v="6"/>
    <x v="0"/>
    <n v="0"/>
    <n v="0"/>
    <n v="0"/>
    <s v="Success"/>
  </r>
  <r>
    <s v="TXN78318859"/>
    <x v="4489"/>
    <x v="7"/>
    <x v="0"/>
    <n v="29500"/>
    <x v="0"/>
    <x v="7"/>
    <x v="0"/>
    <n v="545.75"/>
    <n v="218.3"/>
    <n v="327.45"/>
    <s v="Success"/>
  </r>
  <r>
    <s v="TXN38921797"/>
    <x v="4490"/>
    <x v="6"/>
    <x v="2"/>
    <n v="4352"/>
    <x v="0"/>
    <x v="3"/>
    <x v="0"/>
    <n v="0"/>
    <n v="0"/>
    <n v="0"/>
    <s v="Success"/>
  </r>
  <r>
    <s v="TXN51891111"/>
    <x v="4491"/>
    <x v="7"/>
    <x v="3"/>
    <n v="23519"/>
    <x v="0"/>
    <x v="6"/>
    <x v="0"/>
    <n v="0"/>
    <n v="0"/>
    <n v="0"/>
    <s v="Success"/>
  </r>
  <r>
    <s v="TXN13521475"/>
    <x v="4492"/>
    <x v="2"/>
    <x v="2"/>
    <n v="1430"/>
    <x v="0"/>
    <x v="8"/>
    <x v="0"/>
    <n v="0"/>
    <n v="0"/>
    <n v="0"/>
    <s v="Success"/>
  </r>
  <r>
    <s v="TXN64132898"/>
    <x v="4493"/>
    <x v="1"/>
    <x v="1"/>
    <n v="80165"/>
    <x v="0"/>
    <x v="8"/>
    <x v="0"/>
    <n v="5"/>
    <n v="0"/>
    <n v="5"/>
    <s v="Success"/>
  </r>
  <r>
    <s v="TXN31484007"/>
    <x v="4494"/>
    <x v="4"/>
    <x v="4"/>
    <n v="8017"/>
    <x v="0"/>
    <x v="1"/>
    <x v="5"/>
    <n v="80.17"/>
    <n v="0"/>
    <n v="80.17"/>
    <s v="Success"/>
  </r>
  <r>
    <s v="TXN52761261"/>
    <x v="4495"/>
    <x v="1"/>
    <x v="1"/>
    <n v="26442"/>
    <x v="0"/>
    <x v="1"/>
    <x v="0"/>
    <n v="5"/>
    <n v="0"/>
    <n v="5"/>
    <s v="Success"/>
  </r>
  <r>
    <s v="TXN23987842"/>
    <x v="4496"/>
    <x v="6"/>
    <x v="1"/>
    <n v="62777"/>
    <x v="1"/>
    <x v="7"/>
    <x v="0"/>
    <n v="5"/>
    <n v="0"/>
    <n v="5"/>
    <s v="Success"/>
  </r>
  <r>
    <s v="TXN99986138"/>
    <x v="4497"/>
    <x v="5"/>
    <x v="0"/>
    <n v="45000"/>
    <x v="0"/>
    <x v="0"/>
    <x v="0"/>
    <n v="832.5"/>
    <n v="333"/>
    <n v="499.5"/>
    <s v="Success"/>
  </r>
  <r>
    <s v="TXN72711560"/>
    <x v="4498"/>
    <x v="2"/>
    <x v="0"/>
    <n v="231000"/>
    <x v="0"/>
    <x v="1"/>
    <x v="0"/>
    <n v="4273.5"/>
    <n v="1709.4"/>
    <n v="2564.1"/>
    <s v="Success"/>
  </r>
  <r>
    <s v="TXN81978658"/>
    <x v="4499"/>
    <x v="6"/>
    <x v="4"/>
    <n v="75042"/>
    <x v="0"/>
    <x v="2"/>
    <x v="3"/>
    <n v="750.42"/>
    <n v="0"/>
    <n v="750.42"/>
    <s v="Success"/>
  </r>
  <r>
    <s v="TXN40386888"/>
    <x v="4500"/>
    <x v="6"/>
    <x v="3"/>
    <n v="9004"/>
    <x v="1"/>
    <x v="1"/>
    <x v="0"/>
    <n v="0"/>
    <n v="0"/>
    <n v="0"/>
    <s v="Success"/>
  </r>
  <r>
    <s v="TXN38754398"/>
    <x v="4501"/>
    <x v="4"/>
    <x v="2"/>
    <n v="1938"/>
    <x v="0"/>
    <x v="3"/>
    <x v="0"/>
    <n v="0"/>
    <n v="0"/>
    <n v="0"/>
    <s v="Success"/>
  </r>
  <r>
    <s v="TXN58274897"/>
    <x v="4502"/>
    <x v="6"/>
    <x v="0"/>
    <n v="249000"/>
    <x v="1"/>
    <x v="1"/>
    <x v="0"/>
    <n v="4606.5"/>
    <n v="1842.6"/>
    <n v="2763.9"/>
    <s v="Success"/>
  </r>
  <r>
    <s v="TXN39840781"/>
    <x v="4503"/>
    <x v="6"/>
    <x v="1"/>
    <n v="100240"/>
    <x v="0"/>
    <x v="6"/>
    <x v="0"/>
    <n v="5"/>
    <n v="0"/>
    <n v="5"/>
    <s v="Success"/>
  </r>
  <r>
    <s v="TXN18147001"/>
    <x v="4504"/>
    <x v="4"/>
    <x v="3"/>
    <n v="50196"/>
    <x v="1"/>
    <x v="2"/>
    <x v="0"/>
    <n v="0"/>
    <n v="0"/>
    <n v="0"/>
    <s v="Success"/>
  </r>
  <r>
    <s v="TXN64649688"/>
    <x v="4505"/>
    <x v="0"/>
    <x v="3"/>
    <n v="103239"/>
    <x v="0"/>
    <x v="3"/>
    <x v="0"/>
    <n v="0"/>
    <n v="0"/>
    <n v="0"/>
    <s v="Success"/>
  </r>
  <r>
    <s v="TXN48006306"/>
    <x v="4506"/>
    <x v="2"/>
    <x v="2"/>
    <n v="209"/>
    <x v="0"/>
    <x v="2"/>
    <x v="0"/>
    <n v="0"/>
    <n v="0"/>
    <n v="0"/>
    <s v="Success"/>
  </r>
  <r>
    <s v="TXN17037843"/>
    <x v="4507"/>
    <x v="1"/>
    <x v="1"/>
    <n v="57060"/>
    <x v="1"/>
    <x v="6"/>
    <x v="0"/>
    <n v="5"/>
    <n v="0"/>
    <n v="5"/>
    <s v="Success"/>
  </r>
  <r>
    <s v="TXN39379386"/>
    <x v="4508"/>
    <x v="7"/>
    <x v="0"/>
    <n v="245000"/>
    <x v="0"/>
    <x v="4"/>
    <x v="0"/>
    <n v="4532.5"/>
    <n v="1813"/>
    <n v="2719.5"/>
    <s v="Success"/>
  </r>
  <r>
    <s v="TXN26006187"/>
    <x v="4509"/>
    <x v="2"/>
    <x v="0"/>
    <n v="138500"/>
    <x v="0"/>
    <x v="5"/>
    <x v="0"/>
    <n v="2562.25"/>
    <n v="1024.9000000000001"/>
    <n v="1537.35"/>
    <s v="Success"/>
  </r>
  <r>
    <s v="TXN85120096"/>
    <x v="4510"/>
    <x v="6"/>
    <x v="1"/>
    <n v="144910"/>
    <x v="1"/>
    <x v="6"/>
    <x v="0"/>
    <n v="5"/>
    <n v="0"/>
    <n v="5"/>
    <s v="Success"/>
  </r>
  <r>
    <s v="TXN67242441"/>
    <x v="4511"/>
    <x v="6"/>
    <x v="4"/>
    <n v="129737"/>
    <x v="0"/>
    <x v="1"/>
    <x v="4"/>
    <n v="1297.3699999999999"/>
    <n v="0"/>
    <n v="1297.3699999999999"/>
    <s v="Success"/>
  </r>
  <r>
    <s v="TXN79234628"/>
    <x v="4512"/>
    <x v="2"/>
    <x v="0"/>
    <n v="205000"/>
    <x v="0"/>
    <x v="5"/>
    <x v="0"/>
    <n v="3792.5"/>
    <n v="1517"/>
    <n v="2275.5"/>
    <s v="Success"/>
  </r>
  <r>
    <s v="TXN79398563"/>
    <x v="4513"/>
    <x v="5"/>
    <x v="3"/>
    <n v="113761"/>
    <x v="0"/>
    <x v="1"/>
    <x v="0"/>
    <n v="0"/>
    <n v="0"/>
    <n v="0"/>
    <s v="Success"/>
  </r>
  <r>
    <s v="TXN93171044"/>
    <x v="4514"/>
    <x v="5"/>
    <x v="2"/>
    <n v="1299"/>
    <x v="1"/>
    <x v="7"/>
    <x v="0"/>
    <n v="0"/>
    <n v="0"/>
    <n v="0"/>
    <s v="Success"/>
  </r>
  <r>
    <s v="TXN96177809"/>
    <x v="4515"/>
    <x v="1"/>
    <x v="1"/>
    <n v="33995"/>
    <x v="1"/>
    <x v="5"/>
    <x v="0"/>
    <n v="5"/>
    <n v="0"/>
    <n v="5"/>
    <s v="Success"/>
  </r>
  <r>
    <s v="TXN54422334"/>
    <x v="4516"/>
    <x v="1"/>
    <x v="3"/>
    <n v="97625"/>
    <x v="0"/>
    <x v="3"/>
    <x v="0"/>
    <n v="0"/>
    <n v="0"/>
    <n v="0"/>
    <s v="Success"/>
  </r>
  <r>
    <s v="TXN93144494"/>
    <x v="4517"/>
    <x v="0"/>
    <x v="3"/>
    <n v="140399"/>
    <x v="0"/>
    <x v="7"/>
    <x v="0"/>
    <n v="0"/>
    <n v="0"/>
    <n v="0"/>
    <s v="Success"/>
  </r>
  <r>
    <s v="TXN21409685"/>
    <x v="4518"/>
    <x v="0"/>
    <x v="3"/>
    <n v="73154"/>
    <x v="0"/>
    <x v="3"/>
    <x v="0"/>
    <n v="0"/>
    <n v="0"/>
    <n v="0"/>
    <s v="Success"/>
  </r>
  <r>
    <s v="TXN28112906"/>
    <x v="4519"/>
    <x v="4"/>
    <x v="1"/>
    <n v="62858"/>
    <x v="0"/>
    <x v="7"/>
    <x v="0"/>
    <n v="5"/>
    <n v="0"/>
    <n v="5"/>
    <s v="Success"/>
  </r>
  <r>
    <s v="TXN38489147"/>
    <x v="4520"/>
    <x v="2"/>
    <x v="0"/>
    <n v="219500"/>
    <x v="0"/>
    <x v="5"/>
    <x v="0"/>
    <n v="4060.75"/>
    <n v="1624.3"/>
    <n v="2436.4499999999998"/>
    <s v="Success"/>
  </r>
  <r>
    <s v="TXN55071352"/>
    <x v="4521"/>
    <x v="5"/>
    <x v="3"/>
    <n v="34560"/>
    <x v="0"/>
    <x v="1"/>
    <x v="0"/>
    <n v="0"/>
    <n v="0"/>
    <n v="0"/>
    <s v="Success"/>
  </r>
  <r>
    <s v="TXN41594052"/>
    <x v="4522"/>
    <x v="2"/>
    <x v="3"/>
    <n v="110545"/>
    <x v="0"/>
    <x v="6"/>
    <x v="0"/>
    <n v="0"/>
    <n v="0"/>
    <n v="0"/>
    <s v="Success"/>
  </r>
  <r>
    <s v="TXN33902100"/>
    <x v="4523"/>
    <x v="4"/>
    <x v="3"/>
    <n v="48173"/>
    <x v="1"/>
    <x v="2"/>
    <x v="0"/>
    <n v="0"/>
    <n v="0"/>
    <n v="0"/>
    <s v="Success"/>
  </r>
  <r>
    <s v="TXN69392464"/>
    <x v="4524"/>
    <x v="4"/>
    <x v="2"/>
    <n v="4438"/>
    <x v="0"/>
    <x v="7"/>
    <x v="0"/>
    <n v="0"/>
    <n v="0"/>
    <n v="0"/>
    <s v="Success"/>
  </r>
  <r>
    <s v="TXN86410822"/>
    <x v="4525"/>
    <x v="2"/>
    <x v="4"/>
    <n v="14801"/>
    <x v="2"/>
    <x v="5"/>
    <x v="5"/>
    <n v="148.01"/>
    <n v="0"/>
    <n v="148.01"/>
    <s v="Success"/>
  </r>
  <r>
    <s v="TXN76202955"/>
    <x v="4526"/>
    <x v="6"/>
    <x v="2"/>
    <n v="1072"/>
    <x v="0"/>
    <x v="5"/>
    <x v="0"/>
    <n v="0"/>
    <n v="0"/>
    <n v="0"/>
    <s v="Success"/>
  </r>
  <r>
    <s v="TXN37016524"/>
    <x v="4527"/>
    <x v="1"/>
    <x v="4"/>
    <n v="47082"/>
    <x v="0"/>
    <x v="0"/>
    <x v="1"/>
    <n v="470.82"/>
    <n v="0"/>
    <n v="470.82"/>
    <s v="Success"/>
  </r>
  <r>
    <s v="TXN18949763"/>
    <x v="4528"/>
    <x v="6"/>
    <x v="1"/>
    <n v="95873"/>
    <x v="1"/>
    <x v="1"/>
    <x v="0"/>
    <n v="5"/>
    <n v="0"/>
    <n v="5"/>
    <s v="Success"/>
  </r>
  <r>
    <s v="TXN35111681"/>
    <x v="4529"/>
    <x v="7"/>
    <x v="3"/>
    <n v="26710"/>
    <x v="0"/>
    <x v="2"/>
    <x v="0"/>
    <n v="0"/>
    <n v="0"/>
    <n v="0"/>
    <s v="Success"/>
  </r>
  <r>
    <s v="TXN40784709"/>
    <x v="4530"/>
    <x v="0"/>
    <x v="2"/>
    <n v="561"/>
    <x v="1"/>
    <x v="8"/>
    <x v="0"/>
    <n v="0"/>
    <n v="0"/>
    <n v="0"/>
    <s v="Success"/>
  </r>
  <r>
    <s v="TXN73194785"/>
    <x v="4531"/>
    <x v="0"/>
    <x v="4"/>
    <n v="61448"/>
    <x v="0"/>
    <x v="1"/>
    <x v="2"/>
    <n v="614.48"/>
    <n v="0"/>
    <n v="614.48"/>
    <s v="Success"/>
  </r>
  <r>
    <s v="TXN34066428"/>
    <x v="4532"/>
    <x v="5"/>
    <x v="0"/>
    <n v="191500"/>
    <x v="0"/>
    <x v="2"/>
    <x v="0"/>
    <n v="3542.75"/>
    <n v="1417.1"/>
    <n v="2125.65"/>
    <s v="Failed"/>
  </r>
  <r>
    <s v="TXN29085069"/>
    <x v="4533"/>
    <x v="5"/>
    <x v="4"/>
    <n v="1663"/>
    <x v="0"/>
    <x v="1"/>
    <x v="4"/>
    <n v="16.63"/>
    <n v="0"/>
    <n v="16.63"/>
    <s v="Success"/>
  </r>
  <r>
    <s v="TXN52609200"/>
    <x v="4534"/>
    <x v="5"/>
    <x v="2"/>
    <n v="779"/>
    <x v="0"/>
    <x v="6"/>
    <x v="0"/>
    <n v="0"/>
    <n v="0"/>
    <n v="0"/>
    <s v="Failed"/>
  </r>
  <r>
    <s v="TXN66208193"/>
    <x v="4535"/>
    <x v="7"/>
    <x v="0"/>
    <n v="108000"/>
    <x v="1"/>
    <x v="3"/>
    <x v="0"/>
    <n v="1998"/>
    <n v="799.2"/>
    <n v="1198.8"/>
    <s v="Success"/>
  </r>
  <r>
    <s v="TXN36412155"/>
    <x v="4536"/>
    <x v="4"/>
    <x v="1"/>
    <n v="147247"/>
    <x v="0"/>
    <x v="7"/>
    <x v="0"/>
    <n v="5"/>
    <n v="0"/>
    <n v="5"/>
    <s v="Success"/>
  </r>
  <r>
    <s v="TXN92245998"/>
    <x v="4537"/>
    <x v="0"/>
    <x v="0"/>
    <n v="203000"/>
    <x v="0"/>
    <x v="7"/>
    <x v="0"/>
    <n v="3755.5"/>
    <n v="1502.2"/>
    <n v="2253.3000000000002"/>
    <s v="Success"/>
  </r>
  <r>
    <s v="TXN93350994"/>
    <x v="4538"/>
    <x v="3"/>
    <x v="0"/>
    <n v="132000"/>
    <x v="0"/>
    <x v="2"/>
    <x v="0"/>
    <n v="2442"/>
    <n v="976.8"/>
    <n v="1465.2"/>
    <s v="Success"/>
  </r>
  <r>
    <s v="TXN98337305"/>
    <x v="4539"/>
    <x v="6"/>
    <x v="1"/>
    <n v="101899"/>
    <x v="1"/>
    <x v="1"/>
    <x v="0"/>
    <n v="5"/>
    <n v="0"/>
    <n v="5"/>
    <s v="Success"/>
  </r>
  <r>
    <s v="TXN31246533"/>
    <x v="4540"/>
    <x v="4"/>
    <x v="0"/>
    <n v="114500"/>
    <x v="0"/>
    <x v="2"/>
    <x v="0"/>
    <n v="2118.25"/>
    <n v="847.3"/>
    <n v="1270.95"/>
    <s v="Success"/>
  </r>
  <r>
    <s v="TXN93477244"/>
    <x v="4541"/>
    <x v="7"/>
    <x v="0"/>
    <n v="38500"/>
    <x v="1"/>
    <x v="2"/>
    <x v="0"/>
    <n v="712.25"/>
    <n v="284.89999999999998"/>
    <n v="427.35"/>
    <s v="Success"/>
  </r>
  <r>
    <s v="TXN88330139"/>
    <x v="4542"/>
    <x v="2"/>
    <x v="3"/>
    <n v="64148"/>
    <x v="0"/>
    <x v="5"/>
    <x v="0"/>
    <n v="0"/>
    <n v="0"/>
    <n v="0"/>
    <s v="Failed"/>
  </r>
  <r>
    <s v="TXN47469449"/>
    <x v="4543"/>
    <x v="3"/>
    <x v="1"/>
    <n v="96707"/>
    <x v="0"/>
    <x v="8"/>
    <x v="0"/>
    <n v="5"/>
    <n v="0"/>
    <n v="5"/>
    <s v="Success"/>
  </r>
  <r>
    <s v="TXN69858258"/>
    <x v="4544"/>
    <x v="7"/>
    <x v="2"/>
    <n v="3767"/>
    <x v="1"/>
    <x v="2"/>
    <x v="0"/>
    <n v="0"/>
    <n v="0"/>
    <n v="0"/>
    <s v="Success"/>
  </r>
  <r>
    <s v="TXN95288837"/>
    <x v="4545"/>
    <x v="0"/>
    <x v="0"/>
    <n v="60000"/>
    <x v="0"/>
    <x v="3"/>
    <x v="0"/>
    <n v="1110"/>
    <n v="444"/>
    <n v="666"/>
    <s v="Success"/>
  </r>
  <r>
    <s v="TXN77151573"/>
    <x v="4546"/>
    <x v="2"/>
    <x v="4"/>
    <n v="77821"/>
    <x v="0"/>
    <x v="3"/>
    <x v="1"/>
    <n v="778.21"/>
    <n v="0"/>
    <n v="778.21"/>
    <s v="Success"/>
  </r>
  <r>
    <s v="TXN19307871"/>
    <x v="4547"/>
    <x v="4"/>
    <x v="2"/>
    <n v="1639"/>
    <x v="0"/>
    <x v="4"/>
    <x v="0"/>
    <n v="0"/>
    <n v="0"/>
    <n v="0"/>
    <s v="Success"/>
  </r>
  <r>
    <s v="TXN94400702"/>
    <x v="4548"/>
    <x v="6"/>
    <x v="4"/>
    <n v="48595"/>
    <x v="0"/>
    <x v="2"/>
    <x v="1"/>
    <n v="485.95"/>
    <n v="0"/>
    <n v="485.95"/>
    <s v="Success"/>
  </r>
  <r>
    <s v="TXN62583679"/>
    <x v="4549"/>
    <x v="5"/>
    <x v="3"/>
    <n v="112430"/>
    <x v="0"/>
    <x v="5"/>
    <x v="0"/>
    <n v="0"/>
    <n v="0"/>
    <n v="0"/>
    <s v="Success"/>
  </r>
  <r>
    <s v="TXN76413811"/>
    <x v="4550"/>
    <x v="3"/>
    <x v="4"/>
    <n v="65086"/>
    <x v="0"/>
    <x v="4"/>
    <x v="5"/>
    <n v="650.86"/>
    <n v="0"/>
    <n v="650.86"/>
    <s v="Success"/>
  </r>
  <r>
    <s v="TXN34165289"/>
    <x v="4551"/>
    <x v="7"/>
    <x v="3"/>
    <n v="111185"/>
    <x v="0"/>
    <x v="6"/>
    <x v="0"/>
    <n v="0"/>
    <n v="0"/>
    <n v="0"/>
    <s v="Success"/>
  </r>
  <r>
    <s v="TXN32060798"/>
    <x v="4552"/>
    <x v="2"/>
    <x v="3"/>
    <n v="34577"/>
    <x v="0"/>
    <x v="0"/>
    <x v="0"/>
    <n v="0"/>
    <n v="0"/>
    <n v="0"/>
    <s v="Success"/>
  </r>
  <r>
    <s v="TXN57123314"/>
    <x v="4553"/>
    <x v="0"/>
    <x v="1"/>
    <n v="76839"/>
    <x v="0"/>
    <x v="7"/>
    <x v="0"/>
    <n v="5"/>
    <n v="0"/>
    <n v="5"/>
    <s v="Success"/>
  </r>
  <r>
    <s v="TXN58658703"/>
    <x v="4554"/>
    <x v="2"/>
    <x v="3"/>
    <n v="48232"/>
    <x v="0"/>
    <x v="1"/>
    <x v="0"/>
    <n v="0"/>
    <n v="0"/>
    <n v="0"/>
    <s v="Success"/>
  </r>
  <r>
    <s v="TXN38988968"/>
    <x v="4555"/>
    <x v="3"/>
    <x v="1"/>
    <n v="132766"/>
    <x v="0"/>
    <x v="7"/>
    <x v="0"/>
    <n v="5"/>
    <n v="0"/>
    <n v="5"/>
    <s v="Success"/>
  </r>
  <r>
    <s v="TXN29698135"/>
    <x v="4556"/>
    <x v="7"/>
    <x v="2"/>
    <n v="1338"/>
    <x v="0"/>
    <x v="0"/>
    <x v="0"/>
    <n v="0"/>
    <n v="0"/>
    <n v="0"/>
    <s v="Success"/>
  </r>
  <r>
    <s v="TXN71129471"/>
    <x v="4557"/>
    <x v="7"/>
    <x v="4"/>
    <n v="89975"/>
    <x v="0"/>
    <x v="5"/>
    <x v="1"/>
    <n v="899.75"/>
    <n v="0"/>
    <n v="899.75"/>
    <s v="Success"/>
  </r>
  <r>
    <s v="TXN29893801"/>
    <x v="4558"/>
    <x v="2"/>
    <x v="1"/>
    <n v="51552"/>
    <x v="0"/>
    <x v="3"/>
    <x v="0"/>
    <n v="5"/>
    <n v="0"/>
    <n v="5"/>
    <s v="Success"/>
  </r>
  <r>
    <s v="TXN71959801"/>
    <x v="4559"/>
    <x v="6"/>
    <x v="4"/>
    <n v="46392"/>
    <x v="0"/>
    <x v="3"/>
    <x v="3"/>
    <n v="463.92"/>
    <n v="0"/>
    <n v="463.92"/>
    <s v="Success"/>
  </r>
  <r>
    <s v="TXN70306041"/>
    <x v="4560"/>
    <x v="0"/>
    <x v="0"/>
    <n v="175500"/>
    <x v="0"/>
    <x v="7"/>
    <x v="0"/>
    <n v="3246.75"/>
    <n v="1298.7"/>
    <n v="1948.05"/>
    <s v="Success"/>
  </r>
  <r>
    <s v="TXN22495494"/>
    <x v="4561"/>
    <x v="0"/>
    <x v="4"/>
    <n v="84060"/>
    <x v="0"/>
    <x v="4"/>
    <x v="2"/>
    <n v="840.6"/>
    <n v="0"/>
    <n v="840.6"/>
    <s v="Success"/>
  </r>
  <r>
    <s v="TXN66050032"/>
    <x v="4562"/>
    <x v="0"/>
    <x v="1"/>
    <n v="47701"/>
    <x v="0"/>
    <x v="3"/>
    <x v="0"/>
    <n v="5"/>
    <n v="0"/>
    <n v="5"/>
    <s v="Success"/>
  </r>
  <r>
    <s v="TXN21004064"/>
    <x v="4563"/>
    <x v="5"/>
    <x v="3"/>
    <n v="120086"/>
    <x v="2"/>
    <x v="4"/>
    <x v="0"/>
    <n v="0"/>
    <n v="0"/>
    <n v="0"/>
    <s v="Success"/>
  </r>
  <r>
    <s v="TXN78147519"/>
    <x v="4564"/>
    <x v="4"/>
    <x v="3"/>
    <n v="123149"/>
    <x v="0"/>
    <x v="4"/>
    <x v="0"/>
    <n v="0"/>
    <n v="0"/>
    <n v="0"/>
    <s v="Success"/>
  </r>
  <r>
    <s v="TXN50062415"/>
    <x v="4565"/>
    <x v="5"/>
    <x v="3"/>
    <n v="148831"/>
    <x v="1"/>
    <x v="7"/>
    <x v="0"/>
    <n v="0"/>
    <n v="0"/>
    <n v="0"/>
    <s v="Success"/>
  </r>
  <r>
    <s v="TXN73024999"/>
    <x v="4566"/>
    <x v="5"/>
    <x v="1"/>
    <n v="62855"/>
    <x v="0"/>
    <x v="0"/>
    <x v="0"/>
    <n v="5"/>
    <n v="0"/>
    <n v="5"/>
    <s v="Success"/>
  </r>
  <r>
    <s v="TXN97573142"/>
    <x v="4567"/>
    <x v="0"/>
    <x v="1"/>
    <n v="74023"/>
    <x v="0"/>
    <x v="4"/>
    <x v="0"/>
    <n v="5"/>
    <n v="0"/>
    <n v="5"/>
    <s v="Success"/>
  </r>
  <r>
    <s v="TXN90417702"/>
    <x v="4568"/>
    <x v="3"/>
    <x v="0"/>
    <n v="161500"/>
    <x v="0"/>
    <x v="6"/>
    <x v="0"/>
    <n v="2987.75"/>
    <n v="1195.0999999999999"/>
    <n v="1792.65"/>
    <s v="Success"/>
  </r>
  <r>
    <s v="TXN75339485"/>
    <x v="4569"/>
    <x v="2"/>
    <x v="1"/>
    <n v="30421"/>
    <x v="0"/>
    <x v="2"/>
    <x v="0"/>
    <n v="5"/>
    <n v="0"/>
    <n v="5"/>
    <s v="Success"/>
  </r>
  <r>
    <s v="TXN19576581"/>
    <x v="4570"/>
    <x v="1"/>
    <x v="3"/>
    <n v="73582"/>
    <x v="0"/>
    <x v="0"/>
    <x v="0"/>
    <n v="0"/>
    <n v="0"/>
    <n v="0"/>
    <s v="Success"/>
  </r>
  <r>
    <s v="TXN27462909"/>
    <x v="4571"/>
    <x v="6"/>
    <x v="1"/>
    <n v="140968"/>
    <x v="0"/>
    <x v="8"/>
    <x v="0"/>
    <n v="5"/>
    <n v="0"/>
    <n v="5"/>
    <s v="Success"/>
  </r>
  <r>
    <s v="TXN45339620"/>
    <x v="4572"/>
    <x v="1"/>
    <x v="1"/>
    <n v="70401"/>
    <x v="1"/>
    <x v="7"/>
    <x v="0"/>
    <n v="5"/>
    <n v="0"/>
    <n v="5"/>
    <s v="Success"/>
  </r>
  <r>
    <s v="TXN57538077"/>
    <x v="4573"/>
    <x v="7"/>
    <x v="4"/>
    <n v="66432"/>
    <x v="0"/>
    <x v="0"/>
    <x v="2"/>
    <n v="664.32"/>
    <n v="0"/>
    <n v="664.32"/>
    <s v="Success"/>
  </r>
  <r>
    <s v="TXN88379122"/>
    <x v="4574"/>
    <x v="6"/>
    <x v="4"/>
    <n v="105870"/>
    <x v="0"/>
    <x v="3"/>
    <x v="4"/>
    <n v="1058.7"/>
    <n v="0"/>
    <n v="1058.7"/>
    <s v="Success"/>
  </r>
  <r>
    <s v="TXN80437139"/>
    <x v="4575"/>
    <x v="5"/>
    <x v="3"/>
    <n v="59998"/>
    <x v="0"/>
    <x v="2"/>
    <x v="0"/>
    <n v="0"/>
    <n v="0"/>
    <n v="0"/>
    <s v="Success"/>
  </r>
  <r>
    <s v="TXN80851830"/>
    <x v="4576"/>
    <x v="5"/>
    <x v="2"/>
    <n v="3056"/>
    <x v="0"/>
    <x v="8"/>
    <x v="0"/>
    <n v="0"/>
    <n v="0"/>
    <n v="0"/>
    <s v="Failed"/>
  </r>
  <r>
    <s v="TXN71951213"/>
    <x v="4577"/>
    <x v="7"/>
    <x v="1"/>
    <n v="24595"/>
    <x v="0"/>
    <x v="0"/>
    <x v="0"/>
    <n v="5"/>
    <n v="0"/>
    <n v="5"/>
    <s v="Success"/>
  </r>
  <r>
    <s v="TXN17239594"/>
    <x v="4578"/>
    <x v="2"/>
    <x v="1"/>
    <n v="93070"/>
    <x v="0"/>
    <x v="5"/>
    <x v="0"/>
    <n v="5"/>
    <n v="0"/>
    <n v="5"/>
    <s v="Success"/>
  </r>
  <r>
    <s v="TXN95067734"/>
    <x v="4579"/>
    <x v="7"/>
    <x v="2"/>
    <n v="1923"/>
    <x v="0"/>
    <x v="7"/>
    <x v="0"/>
    <n v="0"/>
    <n v="0"/>
    <n v="0"/>
    <s v="Success"/>
  </r>
  <r>
    <s v="TXN20381680"/>
    <x v="4580"/>
    <x v="1"/>
    <x v="3"/>
    <n v="39911"/>
    <x v="2"/>
    <x v="0"/>
    <x v="0"/>
    <n v="0"/>
    <n v="0"/>
    <n v="0"/>
    <s v="Success"/>
  </r>
  <r>
    <s v="TXN14222924"/>
    <x v="4581"/>
    <x v="3"/>
    <x v="3"/>
    <n v="109281"/>
    <x v="0"/>
    <x v="2"/>
    <x v="0"/>
    <n v="0"/>
    <n v="0"/>
    <n v="0"/>
    <s v="Failed"/>
  </r>
  <r>
    <s v="TXN14309056"/>
    <x v="4582"/>
    <x v="5"/>
    <x v="0"/>
    <n v="145000"/>
    <x v="0"/>
    <x v="0"/>
    <x v="0"/>
    <n v="2682.5"/>
    <n v="1073"/>
    <n v="1609.5"/>
    <s v="Success"/>
  </r>
  <r>
    <s v="TXN11071331"/>
    <x v="4583"/>
    <x v="7"/>
    <x v="1"/>
    <n v="84465"/>
    <x v="0"/>
    <x v="3"/>
    <x v="0"/>
    <n v="5"/>
    <n v="0"/>
    <n v="5"/>
    <s v="Success"/>
  </r>
  <r>
    <s v="TXN13459232"/>
    <x v="4584"/>
    <x v="6"/>
    <x v="1"/>
    <n v="104321"/>
    <x v="0"/>
    <x v="5"/>
    <x v="0"/>
    <n v="5"/>
    <n v="0"/>
    <n v="5"/>
    <s v="Success"/>
  </r>
  <r>
    <s v="TXN67200742"/>
    <x v="4585"/>
    <x v="5"/>
    <x v="1"/>
    <n v="99175"/>
    <x v="0"/>
    <x v="4"/>
    <x v="0"/>
    <n v="5"/>
    <n v="0"/>
    <n v="5"/>
    <s v="Success"/>
  </r>
  <r>
    <s v="TXN70554886"/>
    <x v="4586"/>
    <x v="3"/>
    <x v="4"/>
    <n v="30260"/>
    <x v="0"/>
    <x v="4"/>
    <x v="3"/>
    <n v="302.60000000000002"/>
    <n v="0"/>
    <n v="302.60000000000002"/>
    <s v="Success"/>
  </r>
  <r>
    <s v="TXN70857875"/>
    <x v="4587"/>
    <x v="0"/>
    <x v="3"/>
    <n v="129889"/>
    <x v="0"/>
    <x v="5"/>
    <x v="0"/>
    <n v="0"/>
    <n v="0"/>
    <n v="0"/>
    <s v="Success"/>
  </r>
  <r>
    <s v="TXN15627147"/>
    <x v="4588"/>
    <x v="4"/>
    <x v="1"/>
    <n v="24294"/>
    <x v="0"/>
    <x v="1"/>
    <x v="0"/>
    <n v="5"/>
    <n v="0"/>
    <n v="5"/>
    <s v="Success"/>
  </r>
  <r>
    <s v="TXN36204744"/>
    <x v="4589"/>
    <x v="6"/>
    <x v="3"/>
    <n v="100957"/>
    <x v="0"/>
    <x v="5"/>
    <x v="0"/>
    <n v="0"/>
    <n v="0"/>
    <n v="0"/>
    <s v="Success"/>
  </r>
  <r>
    <s v="TXN28677095"/>
    <x v="4590"/>
    <x v="1"/>
    <x v="3"/>
    <n v="26048"/>
    <x v="0"/>
    <x v="7"/>
    <x v="0"/>
    <n v="0"/>
    <n v="0"/>
    <n v="0"/>
    <s v="Success"/>
  </r>
  <r>
    <s v="TXN43427696"/>
    <x v="4591"/>
    <x v="1"/>
    <x v="1"/>
    <n v="25217"/>
    <x v="0"/>
    <x v="7"/>
    <x v="0"/>
    <n v="5"/>
    <n v="0"/>
    <n v="5"/>
    <s v="Success"/>
  </r>
  <r>
    <s v="TXN11757360"/>
    <x v="4592"/>
    <x v="3"/>
    <x v="2"/>
    <n v="288"/>
    <x v="0"/>
    <x v="7"/>
    <x v="0"/>
    <n v="0"/>
    <n v="0"/>
    <n v="0"/>
    <s v="Failed"/>
  </r>
  <r>
    <s v="TXN49301447"/>
    <x v="4593"/>
    <x v="3"/>
    <x v="0"/>
    <n v="176500"/>
    <x v="0"/>
    <x v="0"/>
    <x v="0"/>
    <n v="3265.25"/>
    <n v="1306.0999999999999"/>
    <n v="1959.15"/>
    <s v="Success"/>
  </r>
  <r>
    <s v="TXN46389099"/>
    <x v="4594"/>
    <x v="2"/>
    <x v="2"/>
    <n v="2778"/>
    <x v="0"/>
    <x v="4"/>
    <x v="0"/>
    <n v="0"/>
    <n v="0"/>
    <n v="0"/>
    <s v="Success"/>
  </r>
  <r>
    <s v="TXN70982752"/>
    <x v="4595"/>
    <x v="1"/>
    <x v="3"/>
    <n v="44368"/>
    <x v="2"/>
    <x v="7"/>
    <x v="0"/>
    <n v="0"/>
    <n v="0"/>
    <n v="0"/>
    <s v="Success"/>
  </r>
  <r>
    <s v="TXN56704983"/>
    <x v="4596"/>
    <x v="6"/>
    <x v="3"/>
    <n v="26546"/>
    <x v="0"/>
    <x v="8"/>
    <x v="0"/>
    <n v="0"/>
    <n v="0"/>
    <n v="0"/>
    <s v="Success"/>
  </r>
  <r>
    <s v="TXN30757908"/>
    <x v="4597"/>
    <x v="2"/>
    <x v="0"/>
    <n v="58000"/>
    <x v="0"/>
    <x v="3"/>
    <x v="0"/>
    <n v="1073"/>
    <n v="429.2"/>
    <n v="643.79999999999995"/>
    <s v="Success"/>
  </r>
  <r>
    <s v="TXN28552198"/>
    <x v="4598"/>
    <x v="2"/>
    <x v="0"/>
    <n v="214500"/>
    <x v="1"/>
    <x v="0"/>
    <x v="0"/>
    <n v="3968.25"/>
    <n v="1587.3"/>
    <n v="2380.9499999999998"/>
    <s v="Success"/>
  </r>
  <r>
    <s v="TXN72487607"/>
    <x v="4599"/>
    <x v="2"/>
    <x v="3"/>
    <n v="93540"/>
    <x v="0"/>
    <x v="5"/>
    <x v="0"/>
    <n v="0"/>
    <n v="0"/>
    <n v="0"/>
    <s v="Success"/>
  </r>
  <r>
    <s v="TXN38479233"/>
    <x v="4600"/>
    <x v="7"/>
    <x v="4"/>
    <n v="44406"/>
    <x v="1"/>
    <x v="8"/>
    <x v="3"/>
    <n v="444.06"/>
    <n v="0"/>
    <n v="444.06"/>
    <s v="Success"/>
  </r>
  <r>
    <s v="TXN73907757"/>
    <x v="4601"/>
    <x v="3"/>
    <x v="0"/>
    <n v="110500"/>
    <x v="0"/>
    <x v="7"/>
    <x v="0"/>
    <n v="2044.25"/>
    <n v="817.7"/>
    <n v="1226.55"/>
    <s v="Success"/>
  </r>
  <r>
    <s v="TXN63836491"/>
    <x v="4602"/>
    <x v="2"/>
    <x v="4"/>
    <n v="13228"/>
    <x v="0"/>
    <x v="5"/>
    <x v="2"/>
    <n v="132.28"/>
    <n v="0"/>
    <n v="132.28"/>
    <s v="Success"/>
  </r>
  <r>
    <s v="TXN92774350"/>
    <x v="4603"/>
    <x v="6"/>
    <x v="0"/>
    <n v="90000"/>
    <x v="0"/>
    <x v="0"/>
    <x v="0"/>
    <n v="1665"/>
    <n v="666"/>
    <n v="999"/>
    <s v="Success"/>
  </r>
  <r>
    <s v="TXN19587937"/>
    <x v="4604"/>
    <x v="1"/>
    <x v="4"/>
    <n v="107274"/>
    <x v="1"/>
    <x v="3"/>
    <x v="3"/>
    <n v="1072.74"/>
    <n v="0"/>
    <n v="1072.74"/>
    <s v="Success"/>
  </r>
  <r>
    <s v="TXN63776661"/>
    <x v="4605"/>
    <x v="1"/>
    <x v="3"/>
    <n v="52026"/>
    <x v="0"/>
    <x v="5"/>
    <x v="0"/>
    <n v="0"/>
    <n v="0"/>
    <n v="0"/>
    <s v="Success"/>
  </r>
  <r>
    <s v="TXN66659929"/>
    <x v="4606"/>
    <x v="5"/>
    <x v="2"/>
    <n v="732"/>
    <x v="0"/>
    <x v="1"/>
    <x v="0"/>
    <n v="0"/>
    <n v="0"/>
    <n v="0"/>
    <s v="Success"/>
  </r>
  <r>
    <s v="TXN85783566"/>
    <x v="4607"/>
    <x v="3"/>
    <x v="1"/>
    <n v="139029"/>
    <x v="0"/>
    <x v="7"/>
    <x v="0"/>
    <n v="5"/>
    <n v="0"/>
    <n v="5"/>
    <s v="Success"/>
  </r>
  <r>
    <s v="TXN54118173"/>
    <x v="4608"/>
    <x v="0"/>
    <x v="0"/>
    <n v="204500"/>
    <x v="0"/>
    <x v="5"/>
    <x v="0"/>
    <n v="3783.25"/>
    <n v="1513.3"/>
    <n v="2269.9499999999998"/>
    <s v="Success"/>
  </r>
  <r>
    <s v="TXN93241615"/>
    <x v="4609"/>
    <x v="3"/>
    <x v="4"/>
    <n v="83276"/>
    <x v="0"/>
    <x v="2"/>
    <x v="1"/>
    <n v="832.76"/>
    <n v="0"/>
    <n v="832.76"/>
    <s v="Success"/>
  </r>
  <r>
    <s v="TXN34624979"/>
    <x v="4610"/>
    <x v="7"/>
    <x v="3"/>
    <n v="3436"/>
    <x v="0"/>
    <x v="5"/>
    <x v="0"/>
    <n v="0"/>
    <n v="0"/>
    <n v="0"/>
    <s v="Success"/>
  </r>
  <r>
    <s v="TXN61060533"/>
    <x v="4611"/>
    <x v="2"/>
    <x v="4"/>
    <n v="95894"/>
    <x v="0"/>
    <x v="5"/>
    <x v="3"/>
    <n v="958.94"/>
    <n v="0"/>
    <n v="958.94"/>
    <s v="Success"/>
  </r>
  <r>
    <s v="TXN15025945"/>
    <x v="4612"/>
    <x v="4"/>
    <x v="3"/>
    <n v="21609"/>
    <x v="1"/>
    <x v="4"/>
    <x v="0"/>
    <n v="0"/>
    <n v="0"/>
    <n v="0"/>
    <s v="Success"/>
  </r>
  <r>
    <s v="TXN85879790"/>
    <x v="4613"/>
    <x v="4"/>
    <x v="3"/>
    <n v="126913"/>
    <x v="0"/>
    <x v="1"/>
    <x v="0"/>
    <n v="0"/>
    <n v="0"/>
    <n v="0"/>
    <s v="Success"/>
  </r>
  <r>
    <s v="TXN85367925"/>
    <x v="4614"/>
    <x v="0"/>
    <x v="2"/>
    <n v="4986"/>
    <x v="0"/>
    <x v="4"/>
    <x v="0"/>
    <n v="0"/>
    <n v="0"/>
    <n v="0"/>
    <s v="Success"/>
  </r>
  <r>
    <s v="TXN80562668"/>
    <x v="4615"/>
    <x v="4"/>
    <x v="0"/>
    <n v="138000"/>
    <x v="0"/>
    <x v="1"/>
    <x v="0"/>
    <n v="2553"/>
    <n v="1021.2"/>
    <n v="1531.8"/>
    <s v="Success"/>
  </r>
  <r>
    <s v="TXN94922951"/>
    <x v="4616"/>
    <x v="6"/>
    <x v="4"/>
    <n v="17298"/>
    <x v="0"/>
    <x v="4"/>
    <x v="1"/>
    <n v="172.98"/>
    <n v="0"/>
    <n v="172.98"/>
    <s v="Success"/>
  </r>
  <r>
    <s v="TXN74862075"/>
    <x v="4617"/>
    <x v="2"/>
    <x v="1"/>
    <n v="87600"/>
    <x v="0"/>
    <x v="0"/>
    <x v="0"/>
    <n v="5"/>
    <n v="0"/>
    <n v="5"/>
    <s v="Success"/>
  </r>
  <r>
    <s v="TXN30982971"/>
    <x v="4618"/>
    <x v="2"/>
    <x v="1"/>
    <n v="34791"/>
    <x v="0"/>
    <x v="4"/>
    <x v="0"/>
    <n v="5"/>
    <n v="0"/>
    <n v="5"/>
    <s v="Success"/>
  </r>
  <r>
    <s v="TXN30378424"/>
    <x v="4619"/>
    <x v="5"/>
    <x v="2"/>
    <n v="3702"/>
    <x v="2"/>
    <x v="1"/>
    <x v="0"/>
    <n v="0"/>
    <n v="0"/>
    <n v="0"/>
    <s v="Success"/>
  </r>
  <r>
    <s v="TXN64542237"/>
    <x v="4620"/>
    <x v="4"/>
    <x v="1"/>
    <n v="59559"/>
    <x v="0"/>
    <x v="1"/>
    <x v="0"/>
    <n v="5"/>
    <n v="0"/>
    <n v="5"/>
    <s v="Success"/>
  </r>
  <r>
    <s v="TXN19392679"/>
    <x v="4621"/>
    <x v="6"/>
    <x v="4"/>
    <n v="117422"/>
    <x v="0"/>
    <x v="5"/>
    <x v="2"/>
    <n v="1174.22"/>
    <n v="0"/>
    <n v="1174.22"/>
    <s v="Success"/>
  </r>
  <r>
    <s v="TXN58266246"/>
    <x v="4622"/>
    <x v="2"/>
    <x v="4"/>
    <n v="8786"/>
    <x v="2"/>
    <x v="1"/>
    <x v="5"/>
    <n v="87.86"/>
    <n v="0"/>
    <n v="87.86"/>
    <s v="Success"/>
  </r>
  <r>
    <s v="TXN64430016"/>
    <x v="4623"/>
    <x v="5"/>
    <x v="2"/>
    <n v="3321"/>
    <x v="0"/>
    <x v="8"/>
    <x v="0"/>
    <n v="0"/>
    <n v="0"/>
    <n v="0"/>
    <s v="Success"/>
  </r>
  <r>
    <s v="TXN71299091"/>
    <x v="4624"/>
    <x v="0"/>
    <x v="0"/>
    <n v="133000"/>
    <x v="2"/>
    <x v="5"/>
    <x v="0"/>
    <n v="2460.5"/>
    <n v="984.2"/>
    <n v="1476.3"/>
    <s v="Success"/>
  </r>
  <r>
    <s v="TXN17041177"/>
    <x v="4625"/>
    <x v="1"/>
    <x v="4"/>
    <n v="113024"/>
    <x v="0"/>
    <x v="4"/>
    <x v="3"/>
    <n v="1130.24"/>
    <n v="0"/>
    <n v="1130.24"/>
    <s v="Success"/>
  </r>
  <r>
    <s v="TXN48378744"/>
    <x v="4626"/>
    <x v="0"/>
    <x v="3"/>
    <n v="42233"/>
    <x v="0"/>
    <x v="3"/>
    <x v="0"/>
    <n v="0"/>
    <n v="0"/>
    <n v="0"/>
    <s v="Success"/>
  </r>
  <r>
    <s v="TXN75899469"/>
    <x v="4627"/>
    <x v="3"/>
    <x v="0"/>
    <n v="56000"/>
    <x v="0"/>
    <x v="2"/>
    <x v="0"/>
    <n v="1036"/>
    <n v="414.4"/>
    <n v="621.6"/>
    <s v="Success"/>
  </r>
  <r>
    <s v="TXN97278318"/>
    <x v="4628"/>
    <x v="3"/>
    <x v="2"/>
    <n v="1923"/>
    <x v="1"/>
    <x v="6"/>
    <x v="0"/>
    <n v="0"/>
    <n v="0"/>
    <n v="0"/>
    <s v="Failed"/>
  </r>
  <r>
    <s v="TXN97635612"/>
    <x v="4629"/>
    <x v="5"/>
    <x v="3"/>
    <n v="94377"/>
    <x v="1"/>
    <x v="2"/>
    <x v="0"/>
    <n v="0"/>
    <n v="0"/>
    <n v="0"/>
    <s v="Success"/>
  </r>
  <r>
    <s v="TXN23173180"/>
    <x v="4630"/>
    <x v="2"/>
    <x v="3"/>
    <n v="72703"/>
    <x v="1"/>
    <x v="0"/>
    <x v="0"/>
    <n v="0"/>
    <n v="0"/>
    <n v="0"/>
    <s v="Success"/>
  </r>
  <r>
    <s v="TXN75020845"/>
    <x v="4631"/>
    <x v="7"/>
    <x v="2"/>
    <n v="4678"/>
    <x v="0"/>
    <x v="8"/>
    <x v="0"/>
    <n v="0"/>
    <n v="0"/>
    <n v="0"/>
    <s v="Success"/>
  </r>
  <r>
    <s v="TXN19352178"/>
    <x v="4632"/>
    <x v="3"/>
    <x v="1"/>
    <n v="142853"/>
    <x v="0"/>
    <x v="1"/>
    <x v="0"/>
    <n v="5"/>
    <n v="0"/>
    <n v="5"/>
    <s v="Success"/>
  </r>
  <r>
    <s v="TXN75599425"/>
    <x v="4633"/>
    <x v="6"/>
    <x v="4"/>
    <n v="101498"/>
    <x v="0"/>
    <x v="6"/>
    <x v="3"/>
    <n v="1014.98"/>
    <n v="0"/>
    <n v="1014.98"/>
    <s v="Success"/>
  </r>
  <r>
    <s v="TXN63436707"/>
    <x v="4634"/>
    <x v="5"/>
    <x v="2"/>
    <n v="929"/>
    <x v="0"/>
    <x v="2"/>
    <x v="0"/>
    <n v="0"/>
    <n v="0"/>
    <n v="0"/>
    <s v="Failed"/>
  </r>
  <r>
    <s v="TXN68431404"/>
    <x v="4635"/>
    <x v="1"/>
    <x v="2"/>
    <n v="1329"/>
    <x v="2"/>
    <x v="3"/>
    <x v="0"/>
    <n v="0"/>
    <n v="0"/>
    <n v="0"/>
    <s v="Success"/>
  </r>
  <r>
    <s v="TXN60755914"/>
    <x v="4636"/>
    <x v="4"/>
    <x v="4"/>
    <n v="32389"/>
    <x v="1"/>
    <x v="2"/>
    <x v="2"/>
    <n v="323.89"/>
    <n v="0"/>
    <n v="323.89"/>
    <s v="Success"/>
  </r>
  <r>
    <s v="TXN26369809"/>
    <x v="4637"/>
    <x v="0"/>
    <x v="2"/>
    <n v="4445"/>
    <x v="0"/>
    <x v="5"/>
    <x v="0"/>
    <n v="0"/>
    <n v="0"/>
    <n v="0"/>
    <s v="Success"/>
  </r>
  <r>
    <s v="TXN42570102"/>
    <x v="4638"/>
    <x v="1"/>
    <x v="2"/>
    <n v="336"/>
    <x v="0"/>
    <x v="5"/>
    <x v="0"/>
    <n v="0"/>
    <n v="0"/>
    <n v="0"/>
    <s v="Success"/>
  </r>
  <r>
    <s v="TXN53560764"/>
    <x v="4639"/>
    <x v="0"/>
    <x v="0"/>
    <n v="57500"/>
    <x v="0"/>
    <x v="8"/>
    <x v="0"/>
    <n v="1063.75"/>
    <n v="425.5"/>
    <n v="638.25"/>
    <s v="Success"/>
  </r>
  <r>
    <s v="TXN47248217"/>
    <x v="4640"/>
    <x v="4"/>
    <x v="2"/>
    <n v="1429"/>
    <x v="0"/>
    <x v="3"/>
    <x v="0"/>
    <n v="0"/>
    <n v="0"/>
    <n v="0"/>
    <s v="Success"/>
  </r>
  <r>
    <s v="TXN98543422"/>
    <x v="4641"/>
    <x v="5"/>
    <x v="4"/>
    <n v="30577"/>
    <x v="0"/>
    <x v="2"/>
    <x v="4"/>
    <n v="305.77"/>
    <n v="0"/>
    <n v="305.77"/>
    <s v="Success"/>
  </r>
  <r>
    <s v="TXN86250857"/>
    <x v="4642"/>
    <x v="1"/>
    <x v="2"/>
    <n v="1410"/>
    <x v="0"/>
    <x v="0"/>
    <x v="0"/>
    <n v="0"/>
    <n v="0"/>
    <n v="0"/>
    <s v="Success"/>
  </r>
  <r>
    <s v="TXN94720459"/>
    <x v="4643"/>
    <x v="6"/>
    <x v="1"/>
    <n v="128960"/>
    <x v="1"/>
    <x v="7"/>
    <x v="0"/>
    <n v="5"/>
    <n v="0"/>
    <n v="5"/>
    <s v="Success"/>
  </r>
  <r>
    <s v="TXN22449145"/>
    <x v="4644"/>
    <x v="0"/>
    <x v="2"/>
    <n v="3911"/>
    <x v="0"/>
    <x v="3"/>
    <x v="0"/>
    <n v="0"/>
    <n v="0"/>
    <n v="0"/>
    <s v="Success"/>
  </r>
  <r>
    <s v="TXN56508530"/>
    <x v="4645"/>
    <x v="6"/>
    <x v="4"/>
    <n v="149532"/>
    <x v="0"/>
    <x v="2"/>
    <x v="2"/>
    <n v="1495.32"/>
    <n v="0"/>
    <n v="1495.32"/>
    <s v="Success"/>
  </r>
  <r>
    <s v="TXN39371103"/>
    <x v="4646"/>
    <x v="3"/>
    <x v="3"/>
    <n v="56751"/>
    <x v="0"/>
    <x v="5"/>
    <x v="0"/>
    <n v="0"/>
    <n v="0"/>
    <n v="0"/>
    <s v="Success"/>
  </r>
  <r>
    <s v="TXN21144393"/>
    <x v="4647"/>
    <x v="7"/>
    <x v="3"/>
    <n v="145501"/>
    <x v="0"/>
    <x v="1"/>
    <x v="0"/>
    <n v="0"/>
    <n v="0"/>
    <n v="0"/>
    <s v="Success"/>
  </r>
  <r>
    <s v="TXN31913372"/>
    <x v="4648"/>
    <x v="5"/>
    <x v="3"/>
    <n v="46716"/>
    <x v="0"/>
    <x v="0"/>
    <x v="0"/>
    <n v="0"/>
    <n v="0"/>
    <n v="0"/>
    <s v="Success"/>
  </r>
  <r>
    <s v="TXN43705396"/>
    <x v="4649"/>
    <x v="2"/>
    <x v="0"/>
    <n v="203500"/>
    <x v="1"/>
    <x v="8"/>
    <x v="0"/>
    <n v="3764.75"/>
    <n v="1505.9"/>
    <n v="2258.85"/>
    <s v="Success"/>
  </r>
  <r>
    <s v="TXN38801267"/>
    <x v="4650"/>
    <x v="3"/>
    <x v="3"/>
    <n v="97733"/>
    <x v="0"/>
    <x v="4"/>
    <x v="0"/>
    <n v="0"/>
    <n v="0"/>
    <n v="0"/>
    <s v="Success"/>
  </r>
  <r>
    <s v="TXN95702329"/>
    <x v="4651"/>
    <x v="6"/>
    <x v="0"/>
    <n v="73500"/>
    <x v="0"/>
    <x v="5"/>
    <x v="0"/>
    <n v="1359.75"/>
    <n v="543.9"/>
    <n v="815.85"/>
    <s v="Success"/>
  </r>
  <r>
    <s v="TXN82616338"/>
    <x v="4652"/>
    <x v="0"/>
    <x v="4"/>
    <n v="102423"/>
    <x v="0"/>
    <x v="0"/>
    <x v="3"/>
    <n v="1024.23"/>
    <n v="0"/>
    <n v="1024.23"/>
    <s v="Success"/>
  </r>
  <r>
    <s v="TXN17777610"/>
    <x v="4653"/>
    <x v="3"/>
    <x v="4"/>
    <n v="132210"/>
    <x v="0"/>
    <x v="8"/>
    <x v="5"/>
    <n v="1322.1"/>
    <n v="0"/>
    <n v="1322.1"/>
    <s v="Success"/>
  </r>
  <r>
    <s v="TXN29626199"/>
    <x v="4654"/>
    <x v="3"/>
    <x v="0"/>
    <n v="220000"/>
    <x v="2"/>
    <x v="3"/>
    <x v="0"/>
    <n v="4070"/>
    <n v="1628"/>
    <n v="2442"/>
    <s v="Success"/>
  </r>
  <r>
    <s v="TXN39428890"/>
    <x v="4655"/>
    <x v="6"/>
    <x v="0"/>
    <n v="184500"/>
    <x v="1"/>
    <x v="1"/>
    <x v="0"/>
    <n v="3413.25"/>
    <n v="1365.3"/>
    <n v="2047.95"/>
    <s v="Success"/>
  </r>
  <r>
    <s v="TXN32363184"/>
    <x v="4656"/>
    <x v="3"/>
    <x v="0"/>
    <n v="147500"/>
    <x v="0"/>
    <x v="2"/>
    <x v="0"/>
    <n v="2728.75"/>
    <n v="1091.5"/>
    <n v="1637.25"/>
    <s v="Success"/>
  </r>
  <r>
    <s v="TXN17315566"/>
    <x v="4657"/>
    <x v="3"/>
    <x v="1"/>
    <n v="48811"/>
    <x v="0"/>
    <x v="3"/>
    <x v="0"/>
    <n v="5"/>
    <n v="0"/>
    <n v="5"/>
    <s v="Success"/>
  </r>
  <r>
    <s v="TXN30658272"/>
    <x v="4658"/>
    <x v="0"/>
    <x v="3"/>
    <n v="95830"/>
    <x v="0"/>
    <x v="2"/>
    <x v="0"/>
    <n v="0"/>
    <n v="0"/>
    <n v="0"/>
    <s v="Success"/>
  </r>
  <r>
    <s v="TXN61990751"/>
    <x v="4659"/>
    <x v="4"/>
    <x v="2"/>
    <n v="604"/>
    <x v="0"/>
    <x v="0"/>
    <x v="0"/>
    <n v="0"/>
    <n v="0"/>
    <n v="0"/>
    <s v="Success"/>
  </r>
  <r>
    <s v="TXN96487177"/>
    <x v="4660"/>
    <x v="4"/>
    <x v="4"/>
    <n v="63724"/>
    <x v="0"/>
    <x v="6"/>
    <x v="4"/>
    <n v="637.24"/>
    <n v="0"/>
    <n v="637.24"/>
    <s v="Success"/>
  </r>
  <r>
    <s v="TXN66671928"/>
    <x v="4661"/>
    <x v="0"/>
    <x v="4"/>
    <n v="29065"/>
    <x v="0"/>
    <x v="4"/>
    <x v="4"/>
    <n v="290.64999999999998"/>
    <n v="0"/>
    <n v="290.64999999999998"/>
    <s v="Success"/>
  </r>
  <r>
    <s v="TXN75002980"/>
    <x v="4662"/>
    <x v="1"/>
    <x v="0"/>
    <n v="112500"/>
    <x v="0"/>
    <x v="5"/>
    <x v="0"/>
    <n v="2081.25"/>
    <n v="832.5"/>
    <n v="1248.75"/>
    <s v="Success"/>
  </r>
  <r>
    <s v="TXN26587484"/>
    <x v="4663"/>
    <x v="5"/>
    <x v="4"/>
    <n v="100361"/>
    <x v="0"/>
    <x v="3"/>
    <x v="5"/>
    <n v="1003.61"/>
    <n v="0"/>
    <n v="1003.61"/>
    <s v="Success"/>
  </r>
  <r>
    <s v="TXN37233973"/>
    <x v="4664"/>
    <x v="6"/>
    <x v="3"/>
    <n v="103951"/>
    <x v="0"/>
    <x v="7"/>
    <x v="0"/>
    <n v="0"/>
    <n v="0"/>
    <n v="0"/>
    <s v="Success"/>
  </r>
  <r>
    <s v="TXN63830006"/>
    <x v="4665"/>
    <x v="5"/>
    <x v="2"/>
    <n v="2028"/>
    <x v="0"/>
    <x v="4"/>
    <x v="0"/>
    <n v="0"/>
    <n v="0"/>
    <n v="0"/>
    <s v="Success"/>
  </r>
  <r>
    <s v="TXN20183843"/>
    <x v="4666"/>
    <x v="0"/>
    <x v="1"/>
    <n v="5715"/>
    <x v="0"/>
    <x v="8"/>
    <x v="0"/>
    <n v="5"/>
    <n v="0"/>
    <n v="5"/>
    <s v="Success"/>
  </r>
  <r>
    <s v="TXN67372901"/>
    <x v="4667"/>
    <x v="2"/>
    <x v="1"/>
    <n v="117557"/>
    <x v="1"/>
    <x v="5"/>
    <x v="0"/>
    <n v="5"/>
    <n v="0"/>
    <n v="5"/>
    <s v="Success"/>
  </r>
  <r>
    <s v="TXN26353868"/>
    <x v="4668"/>
    <x v="7"/>
    <x v="0"/>
    <n v="51500"/>
    <x v="0"/>
    <x v="6"/>
    <x v="0"/>
    <n v="952.75"/>
    <n v="381.1"/>
    <n v="571.65"/>
    <s v="Success"/>
  </r>
  <r>
    <s v="TXN52248769"/>
    <x v="4669"/>
    <x v="6"/>
    <x v="2"/>
    <n v="3350"/>
    <x v="0"/>
    <x v="1"/>
    <x v="0"/>
    <n v="0"/>
    <n v="0"/>
    <n v="0"/>
    <s v="Success"/>
  </r>
  <r>
    <s v="TXN82997171"/>
    <x v="4670"/>
    <x v="6"/>
    <x v="3"/>
    <n v="44543"/>
    <x v="0"/>
    <x v="5"/>
    <x v="0"/>
    <n v="0"/>
    <n v="0"/>
    <n v="0"/>
    <s v="Success"/>
  </r>
  <r>
    <s v="TXN78695478"/>
    <x v="4671"/>
    <x v="3"/>
    <x v="4"/>
    <n v="101802"/>
    <x v="0"/>
    <x v="3"/>
    <x v="2"/>
    <n v="1018.02"/>
    <n v="0"/>
    <n v="1018.02"/>
    <s v="Success"/>
  </r>
  <r>
    <s v="TXN49455565"/>
    <x v="4672"/>
    <x v="0"/>
    <x v="0"/>
    <n v="57500"/>
    <x v="0"/>
    <x v="8"/>
    <x v="0"/>
    <n v="1063.75"/>
    <n v="425.5"/>
    <n v="638.25"/>
    <s v="Success"/>
  </r>
  <r>
    <s v="TXN55835634"/>
    <x v="4673"/>
    <x v="1"/>
    <x v="4"/>
    <n v="37376"/>
    <x v="0"/>
    <x v="3"/>
    <x v="3"/>
    <n v="373.76"/>
    <n v="0"/>
    <n v="373.76"/>
    <s v="Success"/>
  </r>
  <r>
    <s v="TXN50723887"/>
    <x v="4674"/>
    <x v="1"/>
    <x v="3"/>
    <n v="48666"/>
    <x v="1"/>
    <x v="5"/>
    <x v="0"/>
    <n v="0"/>
    <n v="0"/>
    <n v="0"/>
    <s v="Success"/>
  </r>
  <r>
    <s v="TXN76504716"/>
    <x v="4675"/>
    <x v="4"/>
    <x v="1"/>
    <n v="107162"/>
    <x v="0"/>
    <x v="3"/>
    <x v="0"/>
    <n v="5"/>
    <n v="0"/>
    <n v="5"/>
    <s v="Success"/>
  </r>
  <r>
    <s v="TXN77247853"/>
    <x v="4676"/>
    <x v="4"/>
    <x v="1"/>
    <n v="55960"/>
    <x v="0"/>
    <x v="5"/>
    <x v="0"/>
    <n v="5"/>
    <n v="0"/>
    <n v="5"/>
    <s v="Success"/>
  </r>
  <r>
    <s v="TXN15935874"/>
    <x v="4677"/>
    <x v="2"/>
    <x v="4"/>
    <n v="96135"/>
    <x v="0"/>
    <x v="3"/>
    <x v="2"/>
    <n v="961.35"/>
    <n v="0"/>
    <n v="961.35"/>
    <s v="Success"/>
  </r>
  <r>
    <s v="TXN13700332"/>
    <x v="4678"/>
    <x v="2"/>
    <x v="1"/>
    <n v="122570"/>
    <x v="0"/>
    <x v="2"/>
    <x v="0"/>
    <n v="5"/>
    <n v="0"/>
    <n v="5"/>
    <s v="Success"/>
  </r>
  <r>
    <s v="TXN16624654"/>
    <x v="4679"/>
    <x v="5"/>
    <x v="3"/>
    <n v="85858"/>
    <x v="1"/>
    <x v="2"/>
    <x v="0"/>
    <n v="0"/>
    <n v="0"/>
    <n v="0"/>
    <s v="Success"/>
  </r>
  <r>
    <s v="TXN31722051"/>
    <x v="4680"/>
    <x v="2"/>
    <x v="1"/>
    <n v="110637"/>
    <x v="0"/>
    <x v="7"/>
    <x v="0"/>
    <n v="5"/>
    <n v="0"/>
    <n v="5"/>
    <s v="Success"/>
  </r>
  <r>
    <s v="TXN33443594"/>
    <x v="4681"/>
    <x v="5"/>
    <x v="1"/>
    <n v="122304"/>
    <x v="1"/>
    <x v="6"/>
    <x v="0"/>
    <n v="5"/>
    <n v="0"/>
    <n v="5"/>
    <s v="Success"/>
  </r>
  <r>
    <s v="TXN51300521"/>
    <x v="4682"/>
    <x v="1"/>
    <x v="4"/>
    <n v="36990"/>
    <x v="1"/>
    <x v="7"/>
    <x v="4"/>
    <n v="369.9"/>
    <n v="0"/>
    <n v="369.9"/>
    <s v="Success"/>
  </r>
  <r>
    <s v="TXN85908431"/>
    <x v="4683"/>
    <x v="1"/>
    <x v="1"/>
    <n v="113623"/>
    <x v="0"/>
    <x v="3"/>
    <x v="0"/>
    <n v="5"/>
    <n v="0"/>
    <n v="5"/>
    <s v="Success"/>
  </r>
  <r>
    <s v="TXN99229959"/>
    <x v="4684"/>
    <x v="5"/>
    <x v="2"/>
    <n v="4512"/>
    <x v="2"/>
    <x v="2"/>
    <x v="0"/>
    <n v="0"/>
    <n v="0"/>
    <n v="0"/>
    <s v="Success"/>
  </r>
  <r>
    <s v="TXN84743681"/>
    <x v="4685"/>
    <x v="4"/>
    <x v="1"/>
    <n v="18017"/>
    <x v="0"/>
    <x v="8"/>
    <x v="0"/>
    <n v="5"/>
    <n v="0"/>
    <n v="5"/>
    <s v="Success"/>
  </r>
  <r>
    <s v="TXN10213302"/>
    <x v="4686"/>
    <x v="6"/>
    <x v="2"/>
    <n v="1043"/>
    <x v="0"/>
    <x v="4"/>
    <x v="0"/>
    <n v="0"/>
    <n v="0"/>
    <n v="0"/>
    <s v="Success"/>
  </r>
  <r>
    <s v="TXN57673832"/>
    <x v="4687"/>
    <x v="0"/>
    <x v="4"/>
    <n v="70079"/>
    <x v="0"/>
    <x v="7"/>
    <x v="5"/>
    <n v="700.79"/>
    <n v="0"/>
    <n v="700.79"/>
    <s v="Success"/>
  </r>
  <r>
    <s v="TXN57207796"/>
    <x v="4688"/>
    <x v="2"/>
    <x v="2"/>
    <n v="2158"/>
    <x v="0"/>
    <x v="4"/>
    <x v="0"/>
    <n v="0"/>
    <n v="0"/>
    <n v="0"/>
    <s v="Success"/>
  </r>
  <r>
    <s v="TXN95514958"/>
    <x v="4689"/>
    <x v="3"/>
    <x v="0"/>
    <n v="92000"/>
    <x v="0"/>
    <x v="7"/>
    <x v="0"/>
    <n v="1702"/>
    <n v="680.8"/>
    <n v="1021.2"/>
    <s v="Success"/>
  </r>
  <r>
    <s v="TXN63084290"/>
    <x v="4690"/>
    <x v="6"/>
    <x v="3"/>
    <n v="51748"/>
    <x v="0"/>
    <x v="7"/>
    <x v="0"/>
    <n v="0"/>
    <n v="0"/>
    <n v="0"/>
    <s v="Failed"/>
  </r>
  <r>
    <s v="TXN72012026"/>
    <x v="4691"/>
    <x v="6"/>
    <x v="1"/>
    <n v="63925"/>
    <x v="0"/>
    <x v="5"/>
    <x v="0"/>
    <n v="5"/>
    <n v="0"/>
    <n v="5"/>
    <s v="Success"/>
  </r>
  <r>
    <s v="TXN63227416"/>
    <x v="4692"/>
    <x v="5"/>
    <x v="0"/>
    <n v="89000"/>
    <x v="1"/>
    <x v="5"/>
    <x v="0"/>
    <n v="1646.5"/>
    <n v="658.6"/>
    <n v="987.9"/>
    <s v="Success"/>
  </r>
  <r>
    <s v="TXN22344546"/>
    <x v="4693"/>
    <x v="5"/>
    <x v="3"/>
    <n v="74452"/>
    <x v="2"/>
    <x v="5"/>
    <x v="0"/>
    <n v="0"/>
    <n v="0"/>
    <n v="0"/>
    <s v="Success"/>
  </r>
  <r>
    <s v="TXN46538079"/>
    <x v="4694"/>
    <x v="6"/>
    <x v="2"/>
    <n v="1188"/>
    <x v="1"/>
    <x v="7"/>
    <x v="0"/>
    <n v="0"/>
    <n v="0"/>
    <n v="0"/>
    <s v="Success"/>
  </r>
  <r>
    <s v="TXN73437629"/>
    <x v="4695"/>
    <x v="0"/>
    <x v="4"/>
    <n v="128524"/>
    <x v="0"/>
    <x v="5"/>
    <x v="5"/>
    <n v="1285.24"/>
    <n v="0"/>
    <n v="1285.24"/>
    <s v="Failed"/>
  </r>
  <r>
    <s v="TXN54765379"/>
    <x v="4696"/>
    <x v="4"/>
    <x v="3"/>
    <n v="25649"/>
    <x v="0"/>
    <x v="3"/>
    <x v="0"/>
    <n v="0"/>
    <n v="0"/>
    <n v="0"/>
    <s v="Success"/>
  </r>
  <r>
    <s v="TXN96106518"/>
    <x v="4697"/>
    <x v="2"/>
    <x v="4"/>
    <n v="12097"/>
    <x v="0"/>
    <x v="8"/>
    <x v="1"/>
    <n v="120.97"/>
    <n v="0"/>
    <n v="120.97"/>
    <s v="Success"/>
  </r>
  <r>
    <s v="TXN86766010"/>
    <x v="4698"/>
    <x v="2"/>
    <x v="4"/>
    <n v="99656"/>
    <x v="0"/>
    <x v="3"/>
    <x v="3"/>
    <n v="996.56"/>
    <n v="0"/>
    <n v="996.56"/>
    <s v="Success"/>
  </r>
  <r>
    <s v="TXN57444675"/>
    <x v="4699"/>
    <x v="1"/>
    <x v="2"/>
    <n v="4247"/>
    <x v="0"/>
    <x v="1"/>
    <x v="0"/>
    <n v="0"/>
    <n v="0"/>
    <n v="0"/>
    <s v="Success"/>
  </r>
  <r>
    <s v="TXN76713040"/>
    <x v="4700"/>
    <x v="3"/>
    <x v="1"/>
    <n v="42077"/>
    <x v="0"/>
    <x v="7"/>
    <x v="0"/>
    <n v="5"/>
    <n v="0"/>
    <n v="5"/>
    <s v="Success"/>
  </r>
  <r>
    <s v="TXN52558162"/>
    <x v="4701"/>
    <x v="0"/>
    <x v="4"/>
    <n v="63663"/>
    <x v="0"/>
    <x v="8"/>
    <x v="3"/>
    <n v="636.63"/>
    <n v="0"/>
    <n v="636.63"/>
    <s v="Success"/>
  </r>
  <r>
    <s v="TXN29063881"/>
    <x v="4702"/>
    <x v="7"/>
    <x v="3"/>
    <n v="13074"/>
    <x v="1"/>
    <x v="3"/>
    <x v="0"/>
    <n v="0"/>
    <n v="0"/>
    <n v="0"/>
    <s v="Success"/>
  </r>
  <r>
    <s v="TXN36131728"/>
    <x v="4703"/>
    <x v="4"/>
    <x v="2"/>
    <n v="2537"/>
    <x v="0"/>
    <x v="7"/>
    <x v="0"/>
    <n v="0"/>
    <n v="0"/>
    <n v="0"/>
    <s v="Success"/>
  </r>
  <r>
    <s v="TXN81497249"/>
    <x v="4704"/>
    <x v="1"/>
    <x v="0"/>
    <n v="53500"/>
    <x v="0"/>
    <x v="0"/>
    <x v="0"/>
    <n v="989.75"/>
    <n v="395.9"/>
    <n v="593.85"/>
    <s v="Success"/>
  </r>
  <r>
    <s v="TXN99344286"/>
    <x v="4705"/>
    <x v="7"/>
    <x v="3"/>
    <n v="98825"/>
    <x v="0"/>
    <x v="5"/>
    <x v="0"/>
    <n v="0"/>
    <n v="0"/>
    <n v="0"/>
    <s v="Success"/>
  </r>
  <r>
    <s v="TXN18486747"/>
    <x v="4706"/>
    <x v="6"/>
    <x v="1"/>
    <n v="100724"/>
    <x v="0"/>
    <x v="8"/>
    <x v="0"/>
    <n v="5"/>
    <n v="0"/>
    <n v="5"/>
    <s v="Success"/>
  </r>
  <r>
    <s v="TXN51419149"/>
    <x v="4707"/>
    <x v="7"/>
    <x v="3"/>
    <n v="49032"/>
    <x v="0"/>
    <x v="5"/>
    <x v="0"/>
    <n v="0"/>
    <n v="0"/>
    <n v="0"/>
    <s v="Success"/>
  </r>
  <r>
    <s v="TXN72106585"/>
    <x v="4708"/>
    <x v="1"/>
    <x v="4"/>
    <n v="50794"/>
    <x v="0"/>
    <x v="2"/>
    <x v="5"/>
    <n v="507.94"/>
    <n v="0"/>
    <n v="507.94"/>
    <s v="Success"/>
  </r>
  <r>
    <s v="TXN48736101"/>
    <x v="4709"/>
    <x v="7"/>
    <x v="3"/>
    <n v="83034"/>
    <x v="1"/>
    <x v="0"/>
    <x v="0"/>
    <n v="0"/>
    <n v="0"/>
    <n v="0"/>
    <s v="Success"/>
  </r>
  <r>
    <s v="TXN29030313"/>
    <x v="4710"/>
    <x v="0"/>
    <x v="2"/>
    <n v="3609"/>
    <x v="1"/>
    <x v="0"/>
    <x v="0"/>
    <n v="0"/>
    <n v="0"/>
    <n v="0"/>
    <s v="Success"/>
  </r>
  <r>
    <s v="TXN86447425"/>
    <x v="4711"/>
    <x v="5"/>
    <x v="1"/>
    <n v="132821"/>
    <x v="0"/>
    <x v="2"/>
    <x v="0"/>
    <n v="5"/>
    <n v="0"/>
    <n v="5"/>
    <s v="Success"/>
  </r>
  <r>
    <s v="TXN73647886"/>
    <x v="4712"/>
    <x v="6"/>
    <x v="0"/>
    <n v="10000"/>
    <x v="0"/>
    <x v="5"/>
    <x v="0"/>
    <n v="185"/>
    <n v="74"/>
    <n v="111"/>
    <s v="Success"/>
  </r>
  <r>
    <s v="TXN31202894"/>
    <x v="4713"/>
    <x v="1"/>
    <x v="2"/>
    <n v="615"/>
    <x v="0"/>
    <x v="3"/>
    <x v="0"/>
    <n v="0"/>
    <n v="0"/>
    <n v="0"/>
    <s v="Success"/>
  </r>
  <r>
    <s v="TXN77104478"/>
    <x v="4714"/>
    <x v="3"/>
    <x v="0"/>
    <n v="225500"/>
    <x v="0"/>
    <x v="4"/>
    <x v="0"/>
    <n v="4171.75"/>
    <n v="1668.7"/>
    <n v="2503.0500000000002"/>
    <s v="Success"/>
  </r>
  <r>
    <s v="TXN29209724"/>
    <x v="4715"/>
    <x v="2"/>
    <x v="2"/>
    <n v="4792"/>
    <x v="0"/>
    <x v="5"/>
    <x v="0"/>
    <n v="0"/>
    <n v="0"/>
    <n v="0"/>
    <s v="Success"/>
  </r>
  <r>
    <s v="TXN46176702"/>
    <x v="4716"/>
    <x v="7"/>
    <x v="3"/>
    <n v="106469"/>
    <x v="0"/>
    <x v="6"/>
    <x v="0"/>
    <n v="0"/>
    <n v="0"/>
    <n v="0"/>
    <s v="Success"/>
  </r>
  <r>
    <s v="TXN95379377"/>
    <x v="4717"/>
    <x v="4"/>
    <x v="4"/>
    <n v="12670"/>
    <x v="0"/>
    <x v="1"/>
    <x v="3"/>
    <n v="126.7"/>
    <n v="0"/>
    <n v="126.7"/>
    <s v="Success"/>
  </r>
  <r>
    <s v="TXN60195582"/>
    <x v="4718"/>
    <x v="1"/>
    <x v="1"/>
    <n v="111885"/>
    <x v="0"/>
    <x v="5"/>
    <x v="0"/>
    <n v="5"/>
    <n v="0"/>
    <n v="5"/>
    <s v="Success"/>
  </r>
  <r>
    <s v="TXN41433325"/>
    <x v="4719"/>
    <x v="0"/>
    <x v="4"/>
    <n v="41833"/>
    <x v="1"/>
    <x v="6"/>
    <x v="2"/>
    <n v="418.33"/>
    <n v="0"/>
    <n v="418.33"/>
    <s v="Success"/>
  </r>
  <r>
    <s v="TXN76366907"/>
    <x v="4720"/>
    <x v="1"/>
    <x v="2"/>
    <n v="3599"/>
    <x v="1"/>
    <x v="7"/>
    <x v="0"/>
    <n v="0"/>
    <n v="0"/>
    <n v="0"/>
    <s v="Success"/>
  </r>
  <r>
    <s v="TXN46274303"/>
    <x v="4721"/>
    <x v="5"/>
    <x v="3"/>
    <n v="115351"/>
    <x v="0"/>
    <x v="8"/>
    <x v="0"/>
    <n v="0"/>
    <n v="0"/>
    <n v="0"/>
    <s v="Success"/>
  </r>
  <r>
    <s v="TXN21312655"/>
    <x v="4722"/>
    <x v="3"/>
    <x v="0"/>
    <n v="238000"/>
    <x v="0"/>
    <x v="3"/>
    <x v="0"/>
    <n v="4403"/>
    <n v="1761.2"/>
    <n v="2641.8"/>
    <s v="Success"/>
  </r>
  <r>
    <s v="TXN80480352"/>
    <x v="4723"/>
    <x v="4"/>
    <x v="3"/>
    <n v="22803"/>
    <x v="0"/>
    <x v="4"/>
    <x v="0"/>
    <n v="0"/>
    <n v="0"/>
    <n v="0"/>
    <s v="Success"/>
  </r>
  <r>
    <s v="TXN24594476"/>
    <x v="4724"/>
    <x v="6"/>
    <x v="0"/>
    <n v="56000"/>
    <x v="0"/>
    <x v="8"/>
    <x v="0"/>
    <n v="1036"/>
    <n v="414.4"/>
    <n v="621.6"/>
    <s v="Success"/>
  </r>
  <r>
    <s v="TXN93218435"/>
    <x v="4725"/>
    <x v="6"/>
    <x v="2"/>
    <n v="2747"/>
    <x v="0"/>
    <x v="0"/>
    <x v="0"/>
    <n v="0"/>
    <n v="0"/>
    <n v="0"/>
    <s v="Success"/>
  </r>
  <r>
    <s v="TXN93832814"/>
    <x v="4726"/>
    <x v="7"/>
    <x v="4"/>
    <n v="23860"/>
    <x v="2"/>
    <x v="4"/>
    <x v="2"/>
    <n v="238.6"/>
    <n v="0"/>
    <n v="238.6"/>
    <s v="Success"/>
  </r>
  <r>
    <s v="TXN12115537"/>
    <x v="4727"/>
    <x v="4"/>
    <x v="2"/>
    <n v="2160"/>
    <x v="1"/>
    <x v="2"/>
    <x v="0"/>
    <n v="0"/>
    <n v="0"/>
    <n v="0"/>
    <s v="Success"/>
  </r>
  <r>
    <s v="TXN24039639"/>
    <x v="4728"/>
    <x v="0"/>
    <x v="3"/>
    <n v="74677"/>
    <x v="0"/>
    <x v="3"/>
    <x v="0"/>
    <n v="0"/>
    <n v="0"/>
    <n v="0"/>
    <s v="Success"/>
  </r>
  <r>
    <s v="TXN25836250"/>
    <x v="4729"/>
    <x v="5"/>
    <x v="1"/>
    <n v="45346"/>
    <x v="0"/>
    <x v="7"/>
    <x v="0"/>
    <n v="5"/>
    <n v="0"/>
    <n v="5"/>
    <s v="Success"/>
  </r>
  <r>
    <s v="TXN14861137"/>
    <x v="4730"/>
    <x v="0"/>
    <x v="3"/>
    <n v="3451"/>
    <x v="0"/>
    <x v="8"/>
    <x v="0"/>
    <n v="0"/>
    <n v="0"/>
    <n v="0"/>
    <s v="Success"/>
  </r>
  <r>
    <s v="TXN49104350"/>
    <x v="4731"/>
    <x v="2"/>
    <x v="0"/>
    <n v="183500"/>
    <x v="0"/>
    <x v="1"/>
    <x v="0"/>
    <n v="3394.75"/>
    <n v="1357.9"/>
    <n v="2036.85"/>
    <s v="Success"/>
  </r>
  <r>
    <s v="TXN97781544"/>
    <x v="4732"/>
    <x v="6"/>
    <x v="4"/>
    <n v="96583"/>
    <x v="1"/>
    <x v="8"/>
    <x v="3"/>
    <n v="965.83"/>
    <n v="0"/>
    <n v="965.83"/>
    <s v="Success"/>
  </r>
  <r>
    <s v="TXN21563099"/>
    <x v="4733"/>
    <x v="4"/>
    <x v="0"/>
    <n v="75500"/>
    <x v="0"/>
    <x v="5"/>
    <x v="0"/>
    <n v="1396.75"/>
    <n v="558.70000000000005"/>
    <n v="838.05"/>
    <s v="Success"/>
  </r>
  <r>
    <s v="TXN60722429"/>
    <x v="4734"/>
    <x v="4"/>
    <x v="1"/>
    <n v="90913"/>
    <x v="0"/>
    <x v="5"/>
    <x v="0"/>
    <n v="5"/>
    <n v="0"/>
    <n v="5"/>
    <s v="Success"/>
  </r>
  <r>
    <s v="TXN57003277"/>
    <x v="4735"/>
    <x v="7"/>
    <x v="3"/>
    <n v="127167"/>
    <x v="2"/>
    <x v="7"/>
    <x v="0"/>
    <n v="0"/>
    <n v="0"/>
    <n v="0"/>
    <s v="Success"/>
  </r>
  <r>
    <s v="TXN64708313"/>
    <x v="4736"/>
    <x v="1"/>
    <x v="1"/>
    <n v="58934"/>
    <x v="0"/>
    <x v="4"/>
    <x v="0"/>
    <n v="5"/>
    <n v="0"/>
    <n v="5"/>
    <s v="Success"/>
  </r>
  <r>
    <s v="TXN15310419"/>
    <x v="4737"/>
    <x v="1"/>
    <x v="3"/>
    <n v="133031"/>
    <x v="0"/>
    <x v="4"/>
    <x v="0"/>
    <n v="0"/>
    <n v="0"/>
    <n v="0"/>
    <s v="Success"/>
  </r>
  <r>
    <s v="TXN71795843"/>
    <x v="4738"/>
    <x v="5"/>
    <x v="4"/>
    <n v="142344"/>
    <x v="0"/>
    <x v="5"/>
    <x v="2"/>
    <n v="1423.44"/>
    <n v="0"/>
    <n v="1423.44"/>
    <s v="Success"/>
  </r>
  <r>
    <s v="TXN36060978"/>
    <x v="4739"/>
    <x v="6"/>
    <x v="0"/>
    <n v="180000"/>
    <x v="0"/>
    <x v="4"/>
    <x v="0"/>
    <n v="3330"/>
    <n v="1332"/>
    <n v="1998"/>
    <s v="Success"/>
  </r>
  <r>
    <s v="TXN22279785"/>
    <x v="4740"/>
    <x v="7"/>
    <x v="0"/>
    <n v="171000"/>
    <x v="1"/>
    <x v="0"/>
    <x v="0"/>
    <n v="3163.5"/>
    <n v="1265.4000000000001"/>
    <n v="1898.1"/>
    <s v="Success"/>
  </r>
  <r>
    <s v="TXN63348720"/>
    <x v="4741"/>
    <x v="6"/>
    <x v="1"/>
    <n v="16559"/>
    <x v="0"/>
    <x v="3"/>
    <x v="0"/>
    <n v="5"/>
    <n v="0"/>
    <n v="5"/>
    <s v="Success"/>
  </r>
  <r>
    <s v="TXN54088546"/>
    <x v="4742"/>
    <x v="5"/>
    <x v="2"/>
    <n v="2812"/>
    <x v="0"/>
    <x v="4"/>
    <x v="0"/>
    <n v="0"/>
    <n v="0"/>
    <n v="0"/>
    <s v="Success"/>
  </r>
  <r>
    <s v="TXN33548254"/>
    <x v="4743"/>
    <x v="6"/>
    <x v="2"/>
    <n v="3205"/>
    <x v="0"/>
    <x v="3"/>
    <x v="0"/>
    <n v="0"/>
    <n v="0"/>
    <n v="0"/>
    <s v="Success"/>
  </r>
  <r>
    <s v="TXN79505562"/>
    <x v="4744"/>
    <x v="5"/>
    <x v="2"/>
    <n v="3313"/>
    <x v="0"/>
    <x v="4"/>
    <x v="0"/>
    <n v="0"/>
    <n v="0"/>
    <n v="0"/>
    <s v="Success"/>
  </r>
  <r>
    <s v="TXN74447374"/>
    <x v="4745"/>
    <x v="0"/>
    <x v="3"/>
    <n v="131423"/>
    <x v="2"/>
    <x v="4"/>
    <x v="0"/>
    <n v="0"/>
    <n v="0"/>
    <n v="0"/>
    <s v="Success"/>
  </r>
  <r>
    <s v="TXN12498926"/>
    <x v="4746"/>
    <x v="0"/>
    <x v="2"/>
    <n v="2263"/>
    <x v="0"/>
    <x v="1"/>
    <x v="0"/>
    <n v="0"/>
    <n v="0"/>
    <n v="0"/>
    <s v="Success"/>
  </r>
  <r>
    <s v="TXN79904960"/>
    <x v="4747"/>
    <x v="3"/>
    <x v="1"/>
    <n v="62524"/>
    <x v="0"/>
    <x v="0"/>
    <x v="0"/>
    <n v="5"/>
    <n v="0"/>
    <n v="5"/>
    <s v="Success"/>
  </r>
  <r>
    <s v="TXN83497883"/>
    <x v="4748"/>
    <x v="1"/>
    <x v="4"/>
    <n v="21248"/>
    <x v="0"/>
    <x v="4"/>
    <x v="2"/>
    <n v="212.48"/>
    <n v="0"/>
    <n v="212.48"/>
    <s v="Failed"/>
  </r>
  <r>
    <s v="TXN32338673"/>
    <x v="4749"/>
    <x v="7"/>
    <x v="3"/>
    <n v="62309"/>
    <x v="1"/>
    <x v="3"/>
    <x v="0"/>
    <n v="0"/>
    <n v="0"/>
    <n v="0"/>
    <s v="Success"/>
  </r>
  <r>
    <s v="TXN40935770"/>
    <x v="4750"/>
    <x v="4"/>
    <x v="3"/>
    <n v="19222"/>
    <x v="0"/>
    <x v="8"/>
    <x v="0"/>
    <n v="0"/>
    <n v="0"/>
    <n v="0"/>
    <s v="Success"/>
  </r>
  <r>
    <s v="TXN50594406"/>
    <x v="4751"/>
    <x v="7"/>
    <x v="3"/>
    <n v="3778"/>
    <x v="2"/>
    <x v="2"/>
    <x v="0"/>
    <n v="0"/>
    <n v="0"/>
    <n v="0"/>
    <s v="Success"/>
  </r>
  <r>
    <s v="TXN62233960"/>
    <x v="4752"/>
    <x v="2"/>
    <x v="3"/>
    <n v="134907"/>
    <x v="0"/>
    <x v="3"/>
    <x v="0"/>
    <n v="0"/>
    <n v="0"/>
    <n v="0"/>
    <s v="Success"/>
  </r>
  <r>
    <s v="TXN55674830"/>
    <x v="4753"/>
    <x v="1"/>
    <x v="0"/>
    <n v="64500"/>
    <x v="0"/>
    <x v="5"/>
    <x v="0"/>
    <n v="1193.25"/>
    <n v="477.3"/>
    <n v="715.95"/>
    <s v="Success"/>
  </r>
  <r>
    <s v="TXN91305137"/>
    <x v="4754"/>
    <x v="0"/>
    <x v="3"/>
    <n v="6288"/>
    <x v="0"/>
    <x v="3"/>
    <x v="0"/>
    <n v="0"/>
    <n v="0"/>
    <n v="0"/>
    <s v="Success"/>
  </r>
  <r>
    <s v="TXN99118890"/>
    <x v="4755"/>
    <x v="5"/>
    <x v="4"/>
    <n v="65910"/>
    <x v="0"/>
    <x v="8"/>
    <x v="2"/>
    <n v="659.1"/>
    <n v="0"/>
    <n v="659.1"/>
    <s v="Success"/>
  </r>
  <r>
    <s v="TXN31385300"/>
    <x v="4756"/>
    <x v="1"/>
    <x v="2"/>
    <n v="4456"/>
    <x v="0"/>
    <x v="4"/>
    <x v="0"/>
    <n v="0"/>
    <n v="0"/>
    <n v="0"/>
    <s v="Success"/>
  </r>
  <r>
    <s v="TXN13235705"/>
    <x v="4757"/>
    <x v="1"/>
    <x v="2"/>
    <n v="1059"/>
    <x v="0"/>
    <x v="1"/>
    <x v="0"/>
    <n v="0"/>
    <n v="0"/>
    <n v="0"/>
    <s v="Success"/>
  </r>
  <r>
    <s v="TXN72436466"/>
    <x v="4758"/>
    <x v="7"/>
    <x v="1"/>
    <n v="94048"/>
    <x v="0"/>
    <x v="3"/>
    <x v="0"/>
    <n v="5"/>
    <n v="0"/>
    <n v="5"/>
    <s v="Success"/>
  </r>
  <r>
    <s v="TXN14796003"/>
    <x v="4759"/>
    <x v="2"/>
    <x v="2"/>
    <n v="1585"/>
    <x v="0"/>
    <x v="0"/>
    <x v="0"/>
    <n v="0"/>
    <n v="0"/>
    <n v="0"/>
    <s v="Success"/>
  </r>
  <r>
    <s v="TXN68821173"/>
    <x v="4760"/>
    <x v="3"/>
    <x v="2"/>
    <n v="4000"/>
    <x v="2"/>
    <x v="5"/>
    <x v="0"/>
    <n v="0"/>
    <n v="0"/>
    <n v="0"/>
    <s v="Success"/>
  </r>
  <r>
    <s v="TXN19763801"/>
    <x v="4761"/>
    <x v="2"/>
    <x v="3"/>
    <n v="60746"/>
    <x v="0"/>
    <x v="4"/>
    <x v="0"/>
    <n v="0"/>
    <n v="0"/>
    <n v="0"/>
    <s v="Success"/>
  </r>
  <r>
    <s v="TXN81640710"/>
    <x v="4762"/>
    <x v="5"/>
    <x v="4"/>
    <n v="79767"/>
    <x v="0"/>
    <x v="4"/>
    <x v="1"/>
    <n v="797.67"/>
    <n v="0"/>
    <n v="797.67"/>
    <s v="Success"/>
  </r>
  <r>
    <s v="TXN61781985"/>
    <x v="4763"/>
    <x v="3"/>
    <x v="3"/>
    <n v="12326"/>
    <x v="1"/>
    <x v="8"/>
    <x v="0"/>
    <n v="0"/>
    <n v="0"/>
    <n v="0"/>
    <s v="Success"/>
  </r>
  <r>
    <s v="TXN76518478"/>
    <x v="4764"/>
    <x v="3"/>
    <x v="3"/>
    <n v="125126"/>
    <x v="0"/>
    <x v="6"/>
    <x v="0"/>
    <n v="0"/>
    <n v="0"/>
    <n v="0"/>
    <s v="Success"/>
  </r>
  <r>
    <s v="TXN93634573"/>
    <x v="4765"/>
    <x v="5"/>
    <x v="0"/>
    <n v="221500"/>
    <x v="2"/>
    <x v="3"/>
    <x v="0"/>
    <n v="4097.75"/>
    <n v="1639.1"/>
    <n v="2458.65"/>
    <s v="Success"/>
  </r>
  <r>
    <s v="TXN37518739"/>
    <x v="4766"/>
    <x v="2"/>
    <x v="2"/>
    <n v="3348"/>
    <x v="0"/>
    <x v="6"/>
    <x v="0"/>
    <n v="0"/>
    <n v="0"/>
    <n v="0"/>
    <s v="Success"/>
  </r>
  <r>
    <s v="TXN20473313"/>
    <x v="4767"/>
    <x v="0"/>
    <x v="2"/>
    <n v="210"/>
    <x v="0"/>
    <x v="5"/>
    <x v="0"/>
    <n v="0"/>
    <n v="0"/>
    <n v="0"/>
    <s v="Success"/>
  </r>
  <r>
    <s v="TXN81579550"/>
    <x v="4768"/>
    <x v="6"/>
    <x v="1"/>
    <n v="115903"/>
    <x v="1"/>
    <x v="8"/>
    <x v="0"/>
    <n v="5"/>
    <n v="0"/>
    <n v="5"/>
    <s v="Success"/>
  </r>
  <r>
    <s v="TXN43680466"/>
    <x v="4769"/>
    <x v="0"/>
    <x v="4"/>
    <n v="72021"/>
    <x v="0"/>
    <x v="2"/>
    <x v="1"/>
    <n v="720.21"/>
    <n v="0"/>
    <n v="720.21"/>
    <s v="Success"/>
  </r>
  <r>
    <s v="TXN21799285"/>
    <x v="4770"/>
    <x v="1"/>
    <x v="3"/>
    <n v="91777"/>
    <x v="0"/>
    <x v="7"/>
    <x v="0"/>
    <n v="0"/>
    <n v="0"/>
    <n v="0"/>
    <s v="Success"/>
  </r>
  <r>
    <s v="TXN19195464"/>
    <x v="4771"/>
    <x v="1"/>
    <x v="4"/>
    <n v="63841"/>
    <x v="0"/>
    <x v="8"/>
    <x v="5"/>
    <n v="638.41"/>
    <n v="0"/>
    <n v="638.41"/>
    <s v="Success"/>
  </r>
  <r>
    <s v="TXN37787974"/>
    <x v="4772"/>
    <x v="4"/>
    <x v="0"/>
    <n v="203500"/>
    <x v="0"/>
    <x v="8"/>
    <x v="0"/>
    <n v="3764.75"/>
    <n v="1505.9"/>
    <n v="2258.85"/>
    <s v="Success"/>
  </r>
  <r>
    <s v="TXN84738028"/>
    <x v="4773"/>
    <x v="1"/>
    <x v="1"/>
    <n v="27525"/>
    <x v="0"/>
    <x v="4"/>
    <x v="0"/>
    <n v="5"/>
    <n v="0"/>
    <n v="5"/>
    <s v="Success"/>
  </r>
  <r>
    <s v="TXN69314134"/>
    <x v="4774"/>
    <x v="7"/>
    <x v="1"/>
    <n v="33448"/>
    <x v="0"/>
    <x v="6"/>
    <x v="0"/>
    <n v="5"/>
    <n v="0"/>
    <n v="5"/>
    <s v="Success"/>
  </r>
  <r>
    <s v="TXN64611235"/>
    <x v="4775"/>
    <x v="0"/>
    <x v="4"/>
    <n v="88209"/>
    <x v="2"/>
    <x v="4"/>
    <x v="1"/>
    <n v="882.09"/>
    <n v="0"/>
    <n v="882.09"/>
    <s v="Success"/>
  </r>
  <r>
    <s v="TXN33627325"/>
    <x v="4776"/>
    <x v="2"/>
    <x v="4"/>
    <n v="39030"/>
    <x v="0"/>
    <x v="2"/>
    <x v="2"/>
    <n v="390.3"/>
    <n v="0"/>
    <n v="390.3"/>
    <s v="Success"/>
  </r>
  <r>
    <s v="TXN61796316"/>
    <x v="4777"/>
    <x v="7"/>
    <x v="1"/>
    <n v="135148"/>
    <x v="0"/>
    <x v="1"/>
    <x v="0"/>
    <n v="5"/>
    <n v="0"/>
    <n v="5"/>
    <s v="Success"/>
  </r>
  <r>
    <s v="TXN36326400"/>
    <x v="4778"/>
    <x v="7"/>
    <x v="4"/>
    <n v="99358"/>
    <x v="0"/>
    <x v="3"/>
    <x v="3"/>
    <n v="993.58"/>
    <n v="0"/>
    <n v="993.58"/>
    <s v="Success"/>
  </r>
  <r>
    <s v="TXN54133517"/>
    <x v="4779"/>
    <x v="1"/>
    <x v="3"/>
    <n v="31878"/>
    <x v="0"/>
    <x v="5"/>
    <x v="0"/>
    <n v="0"/>
    <n v="0"/>
    <n v="0"/>
    <s v="Success"/>
  </r>
  <r>
    <s v="TXN25644818"/>
    <x v="4780"/>
    <x v="7"/>
    <x v="4"/>
    <n v="28113"/>
    <x v="0"/>
    <x v="8"/>
    <x v="3"/>
    <n v="281.13"/>
    <n v="0"/>
    <n v="281.13"/>
    <s v="Success"/>
  </r>
  <r>
    <s v="TXN45910352"/>
    <x v="4781"/>
    <x v="0"/>
    <x v="4"/>
    <n v="55515"/>
    <x v="0"/>
    <x v="7"/>
    <x v="3"/>
    <n v="555.15"/>
    <n v="0"/>
    <n v="555.15"/>
    <s v="Success"/>
  </r>
  <r>
    <s v="TXN81993401"/>
    <x v="4782"/>
    <x v="7"/>
    <x v="3"/>
    <n v="132783"/>
    <x v="0"/>
    <x v="0"/>
    <x v="0"/>
    <n v="0"/>
    <n v="0"/>
    <n v="0"/>
    <s v="Success"/>
  </r>
  <r>
    <s v="TXN21629685"/>
    <x v="4783"/>
    <x v="1"/>
    <x v="2"/>
    <n v="1113"/>
    <x v="0"/>
    <x v="1"/>
    <x v="0"/>
    <n v="0"/>
    <n v="0"/>
    <n v="0"/>
    <s v="Success"/>
  </r>
  <r>
    <s v="TXN80112945"/>
    <x v="4784"/>
    <x v="0"/>
    <x v="1"/>
    <n v="29923"/>
    <x v="1"/>
    <x v="5"/>
    <x v="0"/>
    <n v="5"/>
    <n v="0"/>
    <n v="5"/>
    <s v="Success"/>
  </r>
  <r>
    <s v="TXN84178405"/>
    <x v="4785"/>
    <x v="1"/>
    <x v="4"/>
    <n v="34985"/>
    <x v="1"/>
    <x v="0"/>
    <x v="2"/>
    <n v="349.85"/>
    <n v="0"/>
    <n v="349.85"/>
    <s v="Success"/>
  </r>
  <r>
    <s v="TXN17988610"/>
    <x v="4786"/>
    <x v="1"/>
    <x v="4"/>
    <n v="10415"/>
    <x v="0"/>
    <x v="1"/>
    <x v="5"/>
    <n v="104.15"/>
    <n v="0"/>
    <n v="104.15"/>
    <s v="Success"/>
  </r>
  <r>
    <s v="TXN30322351"/>
    <x v="4787"/>
    <x v="3"/>
    <x v="4"/>
    <n v="55607"/>
    <x v="0"/>
    <x v="8"/>
    <x v="2"/>
    <n v="556.07000000000005"/>
    <n v="0"/>
    <n v="556.07000000000005"/>
    <s v="Success"/>
  </r>
  <r>
    <s v="TXN41234674"/>
    <x v="4788"/>
    <x v="0"/>
    <x v="1"/>
    <n v="127898"/>
    <x v="0"/>
    <x v="0"/>
    <x v="0"/>
    <n v="5"/>
    <n v="0"/>
    <n v="5"/>
    <s v="Success"/>
  </r>
  <r>
    <s v="TXN33301664"/>
    <x v="4789"/>
    <x v="7"/>
    <x v="0"/>
    <n v="184000"/>
    <x v="0"/>
    <x v="6"/>
    <x v="0"/>
    <n v="3404"/>
    <n v="1361.6"/>
    <n v="2042.4"/>
    <s v="Success"/>
  </r>
  <r>
    <s v="TXN91065708"/>
    <x v="4790"/>
    <x v="4"/>
    <x v="2"/>
    <n v="4522"/>
    <x v="0"/>
    <x v="3"/>
    <x v="0"/>
    <n v="0"/>
    <n v="0"/>
    <n v="0"/>
    <s v="Success"/>
  </r>
  <r>
    <s v="TXN52189887"/>
    <x v="4791"/>
    <x v="4"/>
    <x v="1"/>
    <n v="70167"/>
    <x v="0"/>
    <x v="5"/>
    <x v="0"/>
    <n v="5"/>
    <n v="0"/>
    <n v="5"/>
    <s v="Success"/>
  </r>
  <r>
    <s v="TXN58360194"/>
    <x v="4792"/>
    <x v="4"/>
    <x v="4"/>
    <n v="123590"/>
    <x v="0"/>
    <x v="7"/>
    <x v="5"/>
    <n v="1235.9000000000001"/>
    <n v="0"/>
    <n v="1235.9000000000001"/>
    <s v="Success"/>
  </r>
  <r>
    <s v="TXN24472404"/>
    <x v="4793"/>
    <x v="4"/>
    <x v="1"/>
    <n v="123077"/>
    <x v="0"/>
    <x v="3"/>
    <x v="0"/>
    <n v="5"/>
    <n v="0"/>
    <n v="5"/>
    <s v="Success"/>
  </r>
  <r>
    <s v="TXN11069214"/>
    <x v="4794"/>
    <x v="7"/>
    <x v="0"/>
    <n v="181500"/>
    <x v="0"/>
    <x v="5"/>
    <x v="0"/>
    <n v="3357.75"/>
    <n v="1343.1"/>
    <n v="2014.65"/>
    <s v="Success"/>
  </r>
  <r>
    <s v="TXN75763768"/>
    <x v="4795"/>
    <x v="3"/>
    <x v="2"/>
    <n v="4935"/>
    <x v="1"/>
    <x v="3"/>
    <x v="0"/>
    <n v="0"/>
    <n v="0"/>
    <n v="0"/>
    <s v="Success"/>
  </r>
  <r>
    <s v="TXN54954316"/>
    <x v="4796"/>
    <x v="2"/>
    <x v="0"/>
    <n v="164000"/>
    <x v="0"/>
    <x v="0"/>
    <x v="0"/>
    <n v="3034"/>
    <n v="1213.5999999999999"/>
    <n v="1820.4"/>
    <s v="Success"/>
  </r>
  <r>
    <s v="TXN53277249"/>
    <x v="4797"/>
    <x v="5"/>
    <x v="3"/>
    <n v="77732"/>
    <x v="0"/>
    <x v="7"/>
    <x v="0"/>
    <n v="0"/>
    <n v="0"/>
    <n v="0"/>
    <s v="Success"/>
  </r>
  <r>
    <s v="TXN16346424"/>
    <x v="4798"/>
    <x v="3"/>
    <x v="2"/>
    <n v="66"/>
    <x v="0"/>
    <x v="0"/>
    <x v="0"/>
    <n v="0"/>
    <n v="0"/>
    <n v="0"/>
    <s v="Success"/>
  </r>
  <r>
    <s v="TXN77008861"/>
    <x v="4799"/>
    <x v="7"/>
    <x v="1"/>
    <n v="121071"/>
    <x v="0"/>
    <x v="5"/>
    <x v="0"/>
    <n v="5"/>
    <n v="0"/>
    <n v="5"/>
    <s v="Success"/>
  </r>
  <r>
    <s v="TXN28482530"/>
    <x v="4800"/>
    <x v="6"/>
    <x v="2"/>
    <n v="1246"/>
    <x v="0"/>
    <x v="8"/>
    <x v="0"/>
    <n v="0"/>
    <n v="0"/>
    <n v="0"/>
    <s v="Success"/>
  </r>
  <r>
    <s v="TXN26117643"/>
    <x v="4801"/>
    <x v="0"/>
    <x v="3"/>
    <n v="116071"/>
    <x v="0"/>
    <x v="5"/>
    <x v="0"/>
    <n v="0"/>
    <n v="0"/>
    <n v="0"/>
    <s v="Success"/>
  </r>
  <r>
    <s v="TXN47567967"/>
    <x v="4802"/>
    <x v="2"/>
    <x v="2"/>
    <n v="4095"/>
    <x v="0"/>
    <x v="5"/>
    <x v="0"/>
    <n v="0"/>
    <n v="0"/>
    <n v="0"/>
    <s v="Success"/>
  </r>
  <r>
    <s v="TXN72505704"/>
    <x v="4803"/>
    <x v="0"/>
    <x v="3"/>
    <n v="3617"/>
    <x v="1"/>
    <x v="2"/>
    <x v="0"/>
    <n v="0"/>
    <n v="0"/>
    <n v="0"/>
    <s v="Success"/>
  </r>
  <r>
    <s v="TXN86265869"/>
    <x v="4804"/>
    <x v="4"/>
    <x v="4"/>
    <n v="106468"/>
    <x v="0"/>
    <x v="3"/>
    <x v="4"/>
    <n v="1064.68"/>
    <n v="0"/>
    <n v="1064.68"/>
    <s v="Success"/>
  </r>
  <r>
    <s v="TXN27332295"/>
    <x v="4805"/>
    <x v="1"/>
    <x v="3"/>
    <n v="142104"/>
    <x v="0"/>
    <x v="0"/>
    <x v="0"/>
    <n v="0"/>
    <n v="0"/>
    <n v="0"/>
    <s v="Success"/>
  </r>
  <r>
    <s v="TXN88239223"/>
    <x v="4806"/>
    <x v="3"/>
    <x v="3"/>
    <n v="23410"/>
    <x v="1"/>
    <x v="8"/>
    <x v="0"/>
    <n v="0"/>
    <n v="0"/>
    <n v="0"/>
    <s v="Failed"/>
  </r>
  <r>
    <s v="TXN82286302"/>
    <x v="4807"/>
    <x v="6"/>
    <x v="1"/>
    <n v="143088"/>
    <x v="0"/>
    <x v="3"/>
    <x v="0"/>
    <n v="5"/>
    <n v="0"/>
    <n v="5"/>
    <s v="Success"/>
  </r>
  <r>
    <s v="TXN34566891"/>
    <x v="4808"/>
    <x v="7"/>
    <x v="2"/>
    <n v="3284"/>
    <x v="2"/>
    <x v="1"/>
    <x v="0"/>
    <n v="0"/>
    <n v="0"/>
    <n v="0"/>
    <s v="Success"/>
  </r>
  <r>
    <s v="TXN71608328"/>
    <x v="4809"/>
    <x v="7"/>
    <x v="2"/>
    <n v="4094"/>
    <x v="0"/>
    <x v="8"/>
    <x v="0"/>
    <n v="0"/>
    <n v="0"/>
    <n v="0"/>
    <s v="Success"/>
  </r>
  <r>
    <s v="TXN59999313"/>
    <x v="4810"/>
    <x v="1"/>
    <x v="3"/>
    <n v="4213"/>
    <x v="1"/>
    <x v="7"/>
    <x v="0"/>
    <n v="0"/>
    <n v="0"/>
    <n v="0"/>
    <s v="Success"/>
  </r>
  <r>
    <s v="TXN78813947"/>
    <x v="4811"/>
    <x v="6"/>
    <x v="2"/>
    <n v="502"/>
    <x v="1"/>
    <x v="7"/>
    <x v="0"/>
    <n v="0"/>
    <n v="0"/>
    <n v="0"/>
    <s v="Failed"/>
  </r>
  <r>
    <s v="TXN18434826"/>
    <x v="4812"/>
    <x v="5"/>
    <x v="0"/>
    <n v="204500"/>
    <x v="2"/>
    <x v="8"/>
    <x v="0"/>
    <n v="3783.25"/>
    <n v="1513.3"/>
    <n v="2269.9499999999998"/>
    <s v="Success"/>
  </r>
  <r>
    <s v="TXN53111587"/>
    <x v="4813"/>
    <x v="4"/>
    <x v="4"/>
    <n v="87330"/>
    <x v="0"/>
    <x v="3"/>
    <x v="2"/>
    <n v="873.3"/>
    <n v="0"/>
    <n v="873.3"/>
    <s v="Success"/>
  </r>
  <r>
    <s v="TXN93335544"/>
    <x v="4814"/>
    <x v="5"/>
    <x v="4"/>
    <n v="57617"/>
    <x v="0"/>
    <x v="3"/>
    <x v="2"/>
    <n v="576.16999999999996"/>
    <n v="0"/>
    <n v="576.16999999999996"/>
    <s v="Success"/>
  </r>
  <r>
    <s v="TXN98574242"/>
    <x v="4815"/>
    <x v="0"/>
    <x v="4"/>
    <n v="101479"/>
    <x v="0"/>
    <x v="5"/>
    <x v="2"/>
    <n v="1014.79"/>
    <n v="0"/>
    <n v="1014.79"/>
    <s v="Success"/>
  </r>
  <r>
    <s v="TXN74979907"/>
    <x v="4816"/>
    <x v="7"/>
    <x v="3"/>
    <n v="116549"/>
    <x v="0"/>
    <x v="5"/>
    <x v="0"/>
    <n v="0"/>
    <n v="0"/>
    <n v="0"/>
    <s v="Success"/>
  </r>
  <r>
    <s v="TXN32186562"/>
    <x v="4817"/>
    <x v="2"/>
    <x v="2"/>
    <n v="990"/>
    <x v="0"/>
    <x v="6"/>
    <x v="0"/>
    <n v="0"/>
    <n v="0"/>
    <n v="0"/>
    <s v="Failed"/>
  </r>
  <r>
    <s v="TXN68824574"/>
    <x v="4818"/>
    <x v="7"/>
    <x v="3"/>
    <n v="81035"/>
    <x v="0"/>
    <x v="3"/>
    <x v="0"/>
    <n v="0"/>
    <n v="0"/>
    <n v="0"/>
    <s v="Success"/>
  </r>
  <r>
    <s v="TXN96202334"/>
    <x v="4819"/>
    <x v="7"/>
    <x v="1"/>
    <n v="84727"/>
    <x v="0"/>
    <x v="4"/>
    <x v="0"/>
    <n v="5"/>
    <n v="0"/>
    <n v="5"/>
    <s v="Success"/>
  </r>
  <r>
    <s v="TXN39631753"/>
    <x v="4820"/>
    <x v="0"/>
    <x v="4"/>
    <n v="118001"/>
    <x v="0"/>
    <x v="4"/>
    <x v="1"/>
    <n v="1180.01"/>
    <n v="0"/>
    <n v="1180.01"/>
    <s v="Success"/>
  </r>
  <r>
    <s v="TXN92483899"/>
    <x v="4821"/>
    <x v="4"/>
    <x v="1"/>
    <n v="83718"/>
    <x v="0"/>
    <x v="5"/>
    <x v="0"/>
    <n v="5"/>
    <n v="0"/>
    <n v="5"/>
    <s v="Success"/>
  </r>
  <r>
    <s v="TXN20038682"/>
    <x v="4822"/>
    <x v="5"/>
    <x v="4"/>
    <n v="75950"/>
    <x v="0"/>
    <x v="4"/>
    <x v="2"/>
    <n v="759.5"/>
    <n v="0"/>
    <n v="759.5"/>
    <s v="Success"/>
  </r>
  <r>
    <s v="TXN22612335"/>
    <x v="4823"/>
    <x v="7"/>
    <x v="1"/>
    <n v="116038"/>
    <x v="1"/>
    <x v="8"/>
    <x v="0"/>
    <n v="5"/>
    <n v="0"/>
    <n v="5"/>
    <s v="Success"/>
  </r>
  <r>
    <s v="TXN58725788"/>
    <x v="4824"/>
    <x v="7"/>
    <x v="3"/>
    <n v="55427"/>
    <x v="0"/>
    <x v="8"/>
    <x v="0"/>
    <n v="0"/>
    <n v="0"/>
    <n v="0"/>
    <s v="Success"/>
  </r>
  <r>
    <s v="TXN53171707"/>
    <x v="4825"/>
    <x v="2"/>
    <x v="0"/>
    <n v="209000"/>
    <x v="0"/>
    <x v="7"/>
    <x v="0"/>
    <n v="3866.5"/>
    <n v="1546.6"/>
    <n v="2319.9"/>
    <s v="Success"/>
  </r>
  <r>
    <s v="TXN97094552"/>
    <x v="4826"/>
    <x v="2"/>
    <x v="0"/>
    <n v="205500"/>
    <x v="0"/>
    <x v="2"/>
    <x v="0"/>
    <n v="3801.75"/>
    <n v="1520.7"/>
    <n v="2281.0500000000002"/>
    <s v="Success"/>
  </r>
  <r>
    <s v="TXN12386268"/>
    <x v="4827"/>
    <x v="5"/>
    <x v="0"/>
    <n v="231500"/>
    <x v="1"/>
    <x v="2"/>
    <x v="0"/>
    <n v="4282.75"/>
    <n v="1713.1"/>
    <n v="2569.65"/>
    <s v="Success"/>
  </r>
  <r>
    <s v="TXN19159940"/>
    <x v="4828"/>
    <x v="0"/>
    <x v="1"/>
    <n v="131251"/>
    <x v="2"/>
    <x v="8"/>
    <x v="0"/>
    <n v="5"/>
    <n v="0"/>
    <n v="5"/>
    <s v="Success"/>
  </r>
  <r>
    <s v="TXN95316671"/>
    <x v="4829"/>
    <x v="2"/>
    <x v="0"/>
    <n v="36000"/>
    <x v="0"/>
    <x v="1"/>
    <x v="0"/>
    <n v="666"/>
    <n v="266.39999999999998"/>
    <n v="399.6"/>
    <s v="Success"/>
  </r>
  <r>
    <s v="TXN97286205"/>
    <x v="4830"/>
    <x v="3"/>
    <x v="1"/>
    <n v="10174"/>
    <x v="0"/>
    <x v="3"/>
    <x v="0"/>
    <n v="5"/>
    <n v="0"/>
    <n v="5"/>
    <s v="Success"/>
  </r>
  <r>
    <s v="TXN79919575"/>
    <x v="4831"/>
    <x v="6"/>
    <x v="2"/>
    <n v="4424"/>
    <x v="0"/>
    <x v="2"/>
    <x v="0"/>
    <n v="0"/>
    <n v="0"/>
    <n v="0"/>
    <s v="Success"/>
  </r>
  <r>
    <s v="TXN87656149"/>
    <x v="4832"/>
    <x v="6"/>
    <x v="1"/>
    <n v="28483"/>
    <x v="1"/>
    <x v="5"/>
    <x v="0"/>
    <n v="5"/>
    <n v="0"/>
    <n v="5"/>
    <s v="Success"/>
  </r>
  <r>
    <s v="TXN70252806"/>
    <x v="4833"/>
    <x v="5"/>
    <x v="2"/>
    <n v="1347"/>
    <x v="0"/>
    <x v="3"/>
    <x v="0"/>
    <n v="0"/>
    <n v="0"/>
    <n v="0"/>
    <s v="Success"/>
  </r>
  <r>
    <s v="TXN11210784"/>
    <x v="4834"/>
    <x v="3"/>
    <x v="3"/>
    <n v="53316"/>
    <x v="0"/>
    <x v="0"/>
    <x v="0"/>
    <n v="0"/>
    <n v="0"/>
    <n v="0"/>
    <s v="Success"/>
  </r>
  <r>
    <s v="TXN42231036"/>
    <x v="4835"/>
    <x v="0"/>
    <x v="4"/>
    <n v="57783"/>
    <x v="0"/>
    <x v="3"/>
    <x v="2"/>
    <n v="577.83000000000004"/>
    <n v="0"/>
    <n v="577.83000000000004"/>
    <s v="Success"/>
  </r>
  <r>
    <s v="TXN78513060"/>
    <x v="4836"/>
    <x v="0"/>
    <x v="3"/>
    <n v="113375"/>
    <x v="1"/>
    <x v="5"/>
    <x v="0"/>
    <n v="0"/>
    <n v="0"/>
    <n v="0"/>
    <s v="Failed"/>
  </r>
  <r>
    <s v="TXN63619146"/>
    <x v="4837"/>
    <x v="0"/>
    <x v="0"/>
    <n v="113500"/>
    <x v="0"/>
    <x v="7"/>
    <x v="0"/>
    <n v="2099.75"/>
    <n v="839.9"/>
    <n v="1259.8499999999999"/>
    <s v="Success"/>
  </r>
  <r>
    <s v="TXN46204691"/>
    <x v="4838"/>
    <x v="0"/>
    <x v="0"/>
    <n v="140000"/>
    <x v="0"/>
    <x v="8"/>
    <x v="0"/>
    <n v="2590"/>
    <n v="1036"/>
    <n v="1554"/>
    <s v="Success"/>
  </r>
  <r>
    <s v="TXN15586396"/>
    <x v="4839"/>
    <x v="2"/>
    <x v="2"/>
    <n v="2510"/>
    <x v="2"/>
    <x v="2"/>
    <x v="0"/>
    <n v="0"/>
    <n v="0"/>
    <n v="0"/>
    <s v="Success"/>
  </r>
  <r>
    <s v="TXN56314290"/>
    <x v="4840"/>
    <x v="4"/>
    <x v="0"/>
    <n v="162000"/>
    <x v="0"/>
    <x v="7"/>
    <x v="0"/>
    <n v="2997"/>
    <n v="1198.8"/>
    <n v="1798.2"/>
    <s v="Failed"/>
  </r>
  <r>
    <s v="TXN76549373"/>
    <x v="4841"/>
    <x v="3"/>
    <x v="4"/>
    <n v="20753"/>
    <x v="0"/>
    <x v="7"/>
    <x v="1"/>
    <n v="207.53"/>
    <n v="0"/>
    <n v="207.53"/>
    <s v="Success"/>
  </r>
  <r>
    <s v="TXN74248396"/>
    <x v="4842"/>
    <x v="1"/>
    <x v="3"/>
    <n v="20889"/>
    <x v="1"/>
    <x v="5"/>
    <x v="0"/>
    <n v="0"/>
    <n v="0"/>
    <n v="0"/>
    <s v="Success"/>
  </r>
  <r>
    <s v="TXN98835597"/>
    <x v="4843"/>
    <x v="0"/>
    <x v="2"/>
    <n v="3027"/>
    <x v="0"/>
    <x v="2"/>
    <x v="0"/>
    <n v="0"/>
    <n v="0"/>
    <n v="0"/>
    <s v="Success"/>
  </r>
  <r>
    <s v="TXN72280457"/>
    <x v="4844"/>
    <x v="4"/>
    <x v="0"/>
    <n v="27500"/>
    <x v="0"/>
    <x v="6"/>
    <x v="0"/>
    <n v="508.75"/>
    <n v="203.5"/>
    <n v="305.25"/>
    <s v="Success"/>
  </r>
  <r>
    <s v="TXN83805066"/>
    <x v="4845"/>
    <x v="5"/>
    <x v="4"/>
    <n v="137492"/>
    <x v="0"/>
    <x v="0"/>
    <x v="2"/>
    <n v="1374.92"/>
    <n v="0"/>
    <n v="1374.92"/>
    <s v="Success"/>
  </r>
  <r>
    <s v="TXN36654483"/>
    <x v="4846"/>
    <x v="6"/>
    <x v="1"/>
    <n v="146780"/>
    <x v="1"/>
    <x v="6"/>
    <x v="0"/>
    <n v="5"/>
    <n v="0"/>
    <n v="5"/>
    <s v="Success"/>
  </r>
  <r>
    <s v="TXN25058536"/>
    <x v="4847"/>
    <x v="0"/>
    <x v="1"/>
    <n v="43373"/>
    <x v="0"/>
    <x v="2"/>
    <x v="0"/>
    <n v="5"/>
    <n v="0"/>
    <n v="5"/>
    <s v="Success"/>
  </r>
  <r>
    <s v="TXN48979286"/>
    <x v="4848"/>
    <x v="3"/>
    <x v="1"/>
    <n v="116217"/>
    <x v="0"/>
    <x v="5"/>
    <x v="0"/>
    <n v="5"/>
    <n v="0"/>
    <n v="5"/>
    <s v="Success"/>
  </r>
  <r>
    <s v="TXN65704000"/>
    <x v="4849"/>
    <x v="2"/>
    <x v="1"/>
    <n v="57371"/>
    <x v="0"/>
    <x v="1"/>
    <x v="0"/>
    <n v="5"/>
    <n v="0"/>
    <n v="5"/>
    <s v="Failed"/>
  </r>
  <r>
    <s v="TXN23469196"/>
    <x v="4850"/>
    <x v="2"/>
    <x v="2"/>
    <n v="1017"/>
    <x v="0"/>
    <x v="0"/>
    <x v="0"/>
    <n v="0"/>
    <n v="0"/>
    <n v="0"/>
    <s v="Success"/>
  </r>
  <r>
    <s v="TXN24929993"/>
    <x v="4851"/>
    <x v="7"/>
    <x v="0"/>
    <n v="157500"/>
    <x v="1"/>
    <x v="6"/>
    <x v="0"/>
    <n v="2913.75"/>
    <n v="1165.5"/>
    <n v="1748.25"/>
    <s v="Success"/>
  </r>
  <r>
    <s v="TXN66313809"/>
    <x v="4852"/>
    <x v="1"/>
    <x v="1"/>
    <n v="50884"/>
    <x v="0"/>
    <x v="1"/>
    <x v="0"/>
    <n v="5"/>
    <n v="0"/>
    <n v="5"/>
    <s v="Success"/>
  </r>
  <r>
    <s v="TXN18165200"/>
    <x v="4853"/>
    <x v="3"/>
    <x v="3"/>
    <n v="128796"/>
    <x v="2"/>
    <x v="4"/>
    <x v="0"/>
    <n v="0"/>
    <n v="0"/>
    <n v="0"/>
    <s v="Success"/>
  </r>
  <r>
    <s v="TXN78332499"/>
    <x v="4854"/>
    <x v="2"/>
    <x v="1"/>
    <n v="10699"/>
    <x v="0"/>
    <x v="5"/>
    <x v="0"/>
    <n v="5"/>
    <n v="0"/>
    <n v="5"/>
    <s v="Success"/>
  </r>
  <r>
    <s v="TXN51704922"/>
    <x v="4855"/>
    <x v="6"/>
    <x v="1"/>
    <n v="85534"/>
    <x v="0"/>
    <x v="8"/>
    <x v="0"/>
    <n v="5"/>
    <n v="0"/>
    <n v="5"/>
    <s v="Success"/>
  </r>
  <r>
    <s v="TXN74613970"/>
    <x v="4856"/>
    <x v="5"/>
    <x v="2"/>
    <n v="1383"/>
    <x v="0"/>
    <x v="1"/>
    <x v="0"/>
    <n v="0"/>
    <n v="0"/>
    <n v="0"/>
    <s v="Success"/>
  </r>
  <r>
    <s v="TXN12185038"/>
    <x v="4857"/>
    <x v="2"/>
    <x v="1"/>
    <n v="119191"/>
    <x v="0"/>
    <x v="6"/>
    <x v="0"/>
    <n v="5"/>
    <n v="0"/>
    <n v="5"/>
    <s v="Success"/>
  </r>
  <r>
    <s v="TXN58068572"/>
    <x v="4858"/>
    <x v="4"/>
    <x v="0"/>
    <n v="98000"/>
    <x v="0"/>
    <x v="5"/>
    <x v="0"/>
    <n v="1813"/>
    <n v="725.2"/>
    <n v="1087.8"/>
    <s v="Success"/>
  </r>
  <r>
    <s v="TXN38428915"/>
    <x v="4859"/>
    <x v="2"/>
    <x v="1"/>
    <n v="21379"/>
    <x v="0"/>
    <x v="6"/>
    <x v="0"/>
    <n v="5"/>
    <n v="0"/>
    <n v="5"/>
    <s v="Success"/>
  </r>
  <r>
    <s v="TXN83049738"/>
    <x v="4860"/>
    <x v="2"/>
    <x v="1"/>
    <n v="111015"/>
    <x v="0"/>
    <x v="5"/>
    <x v="0"/>
    <n v="5"/>
    <n v="0"/>
    <n v="5"/>
    <s v="Success"/>
  </r>
  <r>
    <s v="TXN40167876"/>
    <x v="4861"/>
    <x v="0"/>
    <x v="0"/>
    <n v="160500"/>
    <x v="1"/>
    <x v="0"/>
    <x v="0"/>
    <n v="2969.25"/>
    <n v="1187.7"/>
    <n v="1781.55"/>
    <s v="Success"/>
  </r>
  <r>
    <s v="TXN21530389"/>
    <x v="4862"/>
    <x v="7"/>
    <x v="0"/>
    <n v="152000"/>
    <x v="0"/>
    <x v="5"/>
    <x v="0"/>
    <n v="2812"/>
    <n v="1124.8"/>
    <n v="1687.2"/>
    <s v="Success"/>
  </r>
  <r>
    <s v="TXN95810413"/>
    <x v="4863"/>
    <x v="4"/>
    <x v="0"/>
    <n v="141000"/>
    <x v="0"/>
    <x v="6"/>
    <x v="0"/>
    <n v="2608.5"/>
    <n v="1043.4000000000001"/>
    <n v="1565.1"/>
    <s v="Success"/>
  </r>
  <r>
    <s v="TXN20834219"/>
    <x v="4864"/>
    <x v="7"/>
    <x v="1"/>
    <n v="49182"/>
    <x v="0"/>
    <x v="7"/>
    <x v="0"/>
    <n v="5"/>
    <n v="0"/>
    <n v="5"/>
    <s v="Success"/>
  </r>
  <r>
    <s v="TXN11193514"/>
    <x v="4865"/>
    <x v="0"/>
    <x v="2"/>
    <n v="3670"/>
    <x v="0"/>
    <x v="3"/>
    <x v="0"/>
    <n v="0"/>
    <n v="0"/>
    <n v="0"/>
    <s v="Success"/>
  </r>
  <r>
    <s v="TXN83645041"/>
    <x v="4866"/>
    <x v="3"/>
    <x v="0"/>
    <n v="60000"/>
    <x v="0"/>
    <x v="4"/>
    <x v="0"/>
    <n v="1110"/>
    <n v="444"/>
    <n v="666"/>
    <s v="Success"/>
  </r>
  <r>
    <s v="TXN43996896"/>
    <x v="4867"/>
    <x v="2"/>
    <x v="0"/>
    <n v="66500"/>
    <x v="0"/>
    <x v="2"/>
    <x v="0"/>
    <n v="1230.25"/>
    <n v="492.1"/>
    <n v="738.15"/>
    <s v="Success"/>
  </r>
  <r>
    <s v="TXN35799675"/>
    <x v="4868"/>
    <x v="0"/>
    <x v="0"/>
    <n v="167000"/>
    <x v="0"/>
    <x v="1"/>
    <x v="0"/>
    <n v="3089.5"/>
    <n v="1235.8"/>
    <n v="1853.7"/>
    <s v="Success"/>
  </r>
  <r>
    <s v="TXN53866694"/>
    <x v="4869"/>
    <x v="2"/>
    <x v="2"/>
    <n v="4554"/>
    <x v="1"/>
    <x v="0"/>
    <x v="0"/>
    <n v="0"/>
    <n v="0"/>
    <n v="0"/>
    <s v="Success"/>
  </r>
  <r>
    <s v="TXN53360443"/>
    <x v="4870"/>
    <x v="3"/>
    <x v="0"/>
    <n v="114500"/>
    <x v="0"/>
    <x v="6"/>
    <x v="0"/>
    <n v="2118.25"/>
    <n v="847.3"/>
    <n v="1270.95"/>
    <s v="Success"/>
  </r>
  <r>
    <s v="TXN51099095"/>
    <x v="4871"/>
    <x v="4"/>
    <x v="2"/>
    <n v="4560"/>
    <x v="0"/>
    <x v="6"/>
    <x v="0"/>
    <n v="0"/>
    <n v="0"/>
    <n v="0"/>
    <s v="Success"/>
  </r>
  <r>
    <s v="TXN34135316"/>
    <x v="4872"/>
    <x v="2"/>
    <x v="3"/>
    <n v="146069"/>
    <x v="0"/>
    <x v="5"/>
    <x v="0"/>
    <n v="0"/>
    <n v="0"/>
    <n v="0"/>
    <s v="Success"/>
  </r>
  <r>
    <s v="TXN32462634"/>
    <x v="4873"/>
    <x v="6"/>
    <x v="1"/>
    <n v="25379"/>
    <x v="1"/>
    <x v="3"/>
    <x v="0"/>
    <n v="5"/>
    <n v="0"/>
    <n v="5"/>
    <s v="Success"/>
  </r>
  <r>
    <s v="TXN23644851"/>
    <x v="4874"/>
    <x v="2"/>
    <x v="1"/>
    <n v="77576"/>
    <x v="2"/>
    <x v="0"/>
    <x v="0"/>
    <n v="5"/>
    <n v="0"/>
    <n v="5"/>
    <s v="Success"/>
  </r>
  <r>
    <s v="TXN68762880"/>
    <x v="4875"/>
    <x v="3"/>
    <x v="4"/>
    <n v="108713"/>
    <x v="0"/>
    <x v="8"/>
    <x v="3"/>
    <n v="1087.1300000000001"/>
    <n v="0"/>
    <n v="1087.1300000000001"/>
    <s v="Success"/>
  </r>
  <r>
    <s v="TXN48786919"/>
    <x v="4876"/>
    <x v="1"/>
    <x v="2"/>
    <n v="1262"/>
    <x v="0"/>
    <x v="6"/>
    <x v="0"/>
    <n v="0"/>
    <n v="0"/>
    <n v="0"/>
    <s v="Success"/>
  </r>
  <r>
    <s v="TXN83305520"/>
    <x v="4877"/>
    <x v="4"/>
    <x v="3"/>
    <n v="48617"/>
    <x v="0"/>
    <x v="2"/>
    <x v="0"/>
    <n v="0"/>
    <n v="0"/>
    <n v="0"/>
    <s v="Success"/>
  </r>
  <r>
    <s v="TXN98308926"/>
    <x v="4878"/>
    <x v="5"/>
    <x v="4"/>
    <n v="89143"/>
    <x v="0"/>
    <x v="2"/>
    <x v="5"/>
    <n v="891.43"/>
    <n v="0"/>
    <n v="891.43"/>
    <s v="Failed"/>
  </r>
  <r>
    <s v="TXN95079333"/>
    <x v="4879"/>
    <x v="4"/>
    <x v="0"/>
    <n v="248500"/>
    <x v="0"/>
    <x v="7"/>
    <x v="0"/>
    <n v="4597.25"/>
    <n v="1838.9"/>
    <n v="2758.35"/>
    <s v="Success"/>
  </r>
  <r>
    <s v="TXN34596593"/>
    <x v="4880"/>
    <x v="2"/>
    <x v="1"/>
    <n v="31687"/>
    <x v="0"/>
    <x v="5"/>
    <x v="0"/>
    <n v="5"/>
    <n v="0"/>
    <n v="5"/>
    <s v="Success"/>
  </r>
  <r>
    <s v="TXN64377457"/>
    <x v="4881"/>
    <x v="3"/>
    <x v="1"/>
    <n v="13050"/>
    <x v="0"/>
    <x v="7"/>
    <x v="0"/>
    <n v="5"/>
    <n v="0"/>
    <n v="5"/>
    <s v="Success"/>
  </r>
  <r>
    <s v="TXN68311299"/>
    <x v="4882"/>
    <x v="7"/>
    <x v="4"/>
    <n v="47204"/>
    <x v="0"/>
    <x v="8"/>
    <x v="4"/>
    <n v="472.04"/>
    <n v="0"/>
    <n v="472.04"/>
    <s v="Success"/>
  </r>
  <r>
    <s v="TXN55040960"/>
    <x v="4883"/>
    <x v="4"/>
    <x v="0"/>
    <n v="6500"/>
    <x v="1"/>
    <x v="5"/>
    <x v="0"/>
    <n v="120.25"/>
    <n v="48.1"/>
    <n v="72.150000000000006"/>
    <s v="Success"/>
  </r>
  <r>
    <s v="TXN63883706"/>
    <x v="4884"/>
    <x v="6"/>
    <x v="0"/>
    <n v="25500"/>
    <x v="0"/>
    <x v="5"/>
    <x v="0"/>
    <n v="471.75"/>
    <n v="188.7"/>
    <n v="283.05"/>
    <s v="Success"/>
  </r>
  <r>
    <s v="TXN43399919"/>
    <x v="4885"/>
    <x v="7"/>
    <x v="4"/>
    <n v="145678"/>
    <x v="0"/>
    <x v="5"/>
    <x v="2"/>
    <n v="1456.78"/>
    <n v="0"/>
    <n v="1456.78"/>
    <s v="Success"/>
  </r>
  <r>
    <s v="TXN54486905"/>
    <x v="4886"/>
    <x v="7"/>
    <x v="3"/>
    <n v="66718"/>
    <x v="1"/>
    <x v="0"/>
    <x v="0"/>
    <n v="0"/>
    <n v="0"/>
    <n v="0"/>
    <s v="Success"/>
  </r>
  <r>
    <s v="TXN61981871"/>
    <x v="4887"/>
    <x v="7"/>
    <x v="0"/>
    <n v="60000"/>
    <x v="0"/>
    <x v="7"/>
    <x v="0"/>
    <n v="1110"/>
    <n v="444"/>
    <n v="666"/>
    <s v="Success"/>
  </r>
  <r>
    <s v="TXN34699668"/>
    <x v="4888"/>
    <x v="5"/>
    <x v="3"/>
    <n v="118012"/>
    <x v="0"/>
    <x v="5"/>
    <x v="0"/>
    <n v="0"/>
    <n v="0"/>
    <n v="0"/>
    <s v="Success"/>
  </r>
  <r>
    <s v="TXN79295349"/>
    <x v="4889"/>
    <x v="1"/>
    <x v="4"/>
    <n v="61109"/>
    <x v="0"/>
    <x v="2"/>
    <x v="2"/>
    <n v="611.09"/>
    <n v="0"/>
    <n v="611.09"/>
    <s v="Success"/>
  </r>
  <r>
    <s v="TXN72684883"/>
    <x v="4890"/>
    <x v="0"/>
    <x v="3"/>
    <n v="147519"/>
    <x v="0"/>
    <x v="7"/>
    <x v="0"/>
    <n v="0"/>
    <n v="0"/>
    <n v="0"/>
    <s v="Success"/>
  </r>
  <r>
    <s v="TXN43275530"/>
    <x v="4891"/>
    <x v="5"/>
    <x v="0"/>
    <n v="79500"/>
    <x v="0"/>
    <x v="7"/>
    <x v="0"/>
    <n v="1470.75"/>
    <n v="588.29999999999995"/>
    <n v="882.45"/>
    <s v="Success"/>
  </r>
  <r>
    <s v="TXN32244778"/>
    <x v="4892"/>
    <x v="1"/>
    <x v="2"/>
    <n v="4895"/>
    <x v="0"/>
    <x v="1"/>
    <x v="0"/>
    <n v="0"/>
    <n v="0"/>
    <n v="0"/>
    <s v="Success"/>
  </r>
  <r>
    <s v="TXN12576338"/>
    <x v="4893"/>
    <x v="7"/>
    <x v="0"/>
    <n v="70500"/>
    <x v="0"/>
    <x v="1"/>
    <x v="0"/>
    <n v="1304.25"/>
    <n v="521.70000000000005"/>
    <n v="782.55"/>
    <s v="Success"/>
  </r>
  <r>
    <s v="TXN96305463"/>
    <x v="4894"/>
    <x v="6"/>
    <x v="1"/>
    <n v="14643"/>
    <x v="0"/>
    <x v="2"/>
    <x v="0"/>
    <n v="5"/>
    <n v="0"/>
    <n v="5"/>
    <s v="Success"/>
  </r>
  <r>
    <s v="TXN22579462"/>
    <x v="4895"/>
    <x v="1"/>
    <x v="3"/>
    <n v="2917"/>
    <x v="0"/>
    <x v="4"/>
    <x v="0"/>
    <n v="0"/>
    <n v="0"/>
    <n v="0"/>
    <s v="Success"/>
  </r>
  <r>
    <s v="TXN72411837"/>
    <x v="4896"/>
    <x v="1"/>
    <x v="3"/>
    <n v="78347"/>
    <x v="1"/>
    <x v="4"/>
    <x v="0"/>
    <n v="0"/>
    <n v="0"/>
    <n v="0"/>
    <s v="Success"/>
  </r>
  <r>
    <s v="TXN82789549"/>
    <x v="4897"/>
    <x v="0"/>
    <x v="1"/>
    <n v="91868"/>
    <x v="0"/>
    <x v="6"/>
    <x v="0"/>
    <n v="5"/>
    <n v="0"/>
    <n v="5"/>
    <s v="Success"/>
  </r>
  <r>
    <s v="TXN68889737"/>
    <x v="4898"/>
    <x v="6"/>
    <x v="4"/>
    <n v="143971"/>
    <x v="0"/>
    <x v="7"/>
    <x v="5"/>
    <n v="1439.71"/>
    <n v="0"/>
    <n v="1439.71"/>
    <s v="Success"/>
  </r>
  <r>
    <s v="TXN44515976"/>
    <x v="4899"/>
    <x v="0"/>
    <x v="2"/>
    <n v="2334"/>
    <x v="1"/>
    <x v="7"/>
    <x v="0"/>
    <n v="0"/>
    <n v="0"/>
    <n v="0"/>
    <s v="Success"/>
  </r>
  <r>
    <s v="TXN42717569"/>
    <x v="4900"/>
    <x v="2"/>
    <x v="3"/>
    <n v="145969"/>
    <x v="0"/>
    <x v="6"/>
    <x v="0"/>
    <n v="0"/>
    <n v="0"/>
    <n v="0"/>
    <s v="Success"/>
  </r>
  <r>
    <s v="TXN31822183"/>
    <x v="4901"/>
    <x v="1"/>
    <x v="0"/>
    <n v="10500"/>
    <x v="0"/>
    <x v="6"/>
    <x v="0"/>
    <n v="194.25"/>
    <n v="77.7"/>
    <n v="116.55"/>
    <s v="Success"/>
  </r>
  <r>
    <s v="TXN51285395"/>
    <x v="4902"/>
    <x v="0"/>
    <x v="0"/>
    <n v="7500"/>
    <x v="0"/>
    <x v="8"/>
    <x v="0"/>
    <n v="138.75"/>
    <n v="55.5"/>
    <n v="83.25"/>
    <s v="Success"/>
  </r>
  <r>
    <s v="TXN70637689"/>
    <x v="4903"/>
    <x v="7"/>
    <x v="1"/>
    <n v="127476"/>
    <x v="0"/>
    <x v="6"/>
    <x v="0"/>
    <n v="5"/>
    <n v="0"/>
    <n v="5"/>
    <s v="Success"/>
  </r>
  <r>
    <s v="TXN58577546"/>
    <x v="4904"/>
    <x v="0"/>
    <x v="0"/>
    <n v="230000"/>
    <x v="0"/>
    <x v="2"/>
    <x v="0"/>
    <n v="4255"/>
    <n v="1702"/>
    <n v="2553"/>
    <s v="Success"/>
  </r>
  <r>
    <s v="TXN80332340"/>
    <x v="4905"/>
    <x v="7"/>
    <x v="3"/>
    <n v="103622"/>
    <x v="1"/>
    <x v="4"/>
    <x v="0"/>
    <n v="0"/>
    <n v="0"/>
    <n v="0"/>
    <s v="Success"/>
  </r>
  <r>
    <s v="TXN34453604"/>
    <x v="4906"/>
    <x v="4"/>
    <x v="4"/>
    <n v="128891"/>
    <x v="0"/>
    <x v="7"/>
    <x v="5"/>
    <n v="1288.9100000000001"/>
    <n v="0"/>
    <n v="1288.9100000000001"/>
    <s v="Success"/>
  </r>
  <r>
    <s v="TXN56969053"/>
    <x v="4907"/>
    <x v="3"/>
    <x v="3"/>
    <n v="37494"/>
    <x v="0"/>
    <x v="5"/>
    <x v="0"/>
    <n v="0"/>
    <n v="0"/>
    <n v="0"/>
    <s v="Success"/>
  </r>
  <r>
    <s v="TXN47108093"/>
    <x v="4908"/>
    <x v="4"/>
    <x v="3"/>
    <n v="89337"/>
    <x v="0"/>
    <x v="6"/>
    <x v="0"/>
    <n v="0"/>
    <n v="0"/>
    <n v="0"/>
    <s v="Success"/>
  </r>
  <r>
    <s v="TXN27614491"/>
    <x v="4909"/>
    <x v="2"/>
    <x v="0"/>
    <n v="22500"/>
    <x v="0"/>
    <x v="0"/>
    <x v="0"/>
    <n v="416.25"/>
    <n v="166.5"/>
    <n v="249.75"/>
    <s v="Success"/>
  </r>
  <r>
    <s v="TXN50869723"/>
    <x v="4910"/>
    <x v="3"/>
    <x v="4"/>
    <n v="99890"/>
    <x v="0"/>
    <x v="3"/>
    <x v="1"/>
    <n v="998.9"/>
    <n v="0"/>
    <n v="998.9"/>
    <s v="Success"/>
  </r>
  <r>
    <s v="TXN14179855"/>
    <x v="4911"/>
    <x v="2"/>
    <x v="4"/>
    <n v="135999"/>
    <x v="0"/>
    <x v="3"/>
    <x v="4"/>
    <n v="1359.99"/>
    <n v="0"/>
    <n v="1359.99"/>
    <s v="Success"/>
  </r>
  <r>
    <s v="TXN63159135"/>
    <x v="4912"/>
    <x v="2"/>
    <x v="0"/>
    <n v="56000"/>
    <x v="0"/>
    <x v="0"/>
    <x v="0"/>
    <n v="1036"/>
    <n v="414.4"/>
    <n v="621.6"/>
    <s v="Failed"/>
  </r>
  <r>
    <s v="TXN22937132"/>
    <x v="4913"/>
    <x v="3"/>
    <x v="3"/>
    <n v="135499"/>
    <x v="0"/>
    <x v="1"/>
    <x v="0"/>
    <n v="0"/>
    <n v="0"/>
    <n v="0"/>
    <s v="Success"/>
  </r>
  <r>
    <s v="TXN92067004"/>
    <x v="4914"/>
    <x v="2"/>
    <x v="0"/>
    <n v="10500"/>
    <x v="0"/>
    <x v="8"/>
    <x v="0"/>
    <n v="194.25"/>
    <n v="77.7"/>
    <n v="116.55"/>
    <s v="Success"/>
  </r>
  <r>
    <s v="TXN66231822"/>
    <x v="4915"/>
    <x v="7"/>
    <x v="2"/>
    <n v="1913"/>
    <x v="0"/>
    <x v="5"/>
    <x v="0"/>
    <n v="0"/>
    <n v="0"/>
    <n v="0"/>
    <s v="Success"/>
  </r>
  <r>
    <s v="TXN45465614"/>
    <x v="4916"/>
    <x v="7"/>
    <x v="1"/>
    <n v="106984"/>
    <x v="0"/>
    <x v="5"/>
    <x v="0"/>
    <n v="5"/>
    <n v="0"/>
    <n v="5"/>
    <s v="Success"/>
  </r>
  <r>
    <s v="TXN26470154"/>
    <x v="4917"/>
    <x v="6"/>
    <x v="0"/>
    <n v="157500"/>
    <x v="1"/>
    <x v="5"/>
    <x v="0"/>
    <n v="2913.75"/>
    <n v="1165.5"/>
    <n v="1748.25"/>
    <s v="Success"/>
  </r>
  <r>
    <s v="TXN92626502"/>
    <x v="4918"/>
    <x v="2"/>
    <x v="0"/>
    <n v="25000"/>
    <x v="2"/>
    <x v="5"/>
    <x v="0"/>
    <n v="462.5"/>
    <n v="185"/>
    <n v="277.5"/>
    <s v="Success"/>
  </r>
  <r>
    <s v="TXN78158703"/>
    <x v="4919"/>
    <x v="7"/>
    <x v="3"/>
    <n v="131594"/>
    <x v="0"/>
    <x v="2"/>
    <x v="0"/>
    <n v="0"/>
    <n v="0"/>
    <n v="0"/>
    <s v="Success"/>
  </r>
  <r>
    <s v="TXN72768158"/>
    <x v="4920"/>
    <x v="3"/>
    <x v="1"/>
    <n v="39968"/>
    <x v="0"/>
    <x v="3"/>
    <x v="0"/>
    <n v="5"/>
    <n v="0"/>
    <n v="5"/>
    <s v="Success"/>
  </r>
  <r>
    <s v="TXN35125287"/>
    <x v="4921"/>
    <x v="6"/>
    <x v="2"/>
    <n v="845"/>
    <x v="0"/>
    <x v="3"/>
    <x v="0"/>
    <n v="0"/>
    <n v="0"/>
    <n v="0"/>
    <s v="Success"/>
  </r>
  <r>
    <s v="TXN94085703"/>
    <x v="4922"/>
    <x v="5"/>
    <x v="2"/>
    <n v="1859"/>
    <x v="1"/>
    <x v="6"/>
    <x v="0"/>
    <n v="0"/>
    <n v="0"/>
    <n v="0"/>
    <s v="Success"/>
  </r>
  <r>
    <s v="TXN74296319"/>
    <x v="4923"/>
    <x v="5"/>
    <x v="0"/>
    <n v="18000"/>
    <x v="0"/>
    <x v="8"/>
    <x v="0"/>
    <n v="333"/>
    <n v="133.19999999999999"/>
    <n v="199.8"/>
    <s v="Success"/>
  </r>
  <r>
    <s v="TXN78742606"/>
    <x v="4924"/>
    <x v="2"/>
    <x v="1"/>
    <n v="132221"/>
    <x v="0"/>
    <x v="3"/>
    <x v="0"/>
    <n v="5"/>
    <n v="0"/>
    <n v="5"/>
    <s v="Success"/>
  </r>
  <r>
    <s v="TXN32318948"/>
    <x v="4925"/>
    <x v="5"/>
    <x v="0"/>
    <n v="16000"/>
    <x v="1"/>
    <x v="5"/>
    <x v="0"/>
    <n v="296"/>
    <n v="118.4"/>
    <n v="177.6"/>
    <s v="Success"/>
  </r>
  <r>
    <s v="TXN31260047"/>
    <x v="4926"/>
    <x v="1"/>
    <x v="4"/>
    <n v="110653"/>
    <x v="0"/>
    <x v="1"/>
    <x v="2"/>
    <n v="1106.53"/>
    <n v="0"/>
    <n v="1106.53"/>
    <s v="Success"/>
  </r>
  <r>
    <s v="TXN69683643"/>
    <x v="4927"/>
    <x v="7"/>
    <x v="2"/>
    <n v="2127"/>
    <x v="0"/>
    <x v="7"/>
    <x v="0"/>
    <n v="0"/>
    <n v="0"/>
    <n v="0"/>
    <s v="Success"/>
  </r>
  <r>
    <s v="TXN30534783"/>
    <x v="4928"/>
    <x v="0"/>
    <x v="1"/>
    <n v="59574"/>
    <x v="2"/>
    <x v="0"/>
    <x v="0"/>
    <n v="5"/>
    <n v="0"/>
    <n v="5"/>
    <s v="Failed"/>
  </r>
  <r>
    <s v="TXN55761380"/>
    <x v="4929"/>
    <x v="3"/>
    <x v="4"/>
    <n v="63101"/>
    <x v="0"/>
    <x v="0"/>
    <x v="2"/>
    <n v="631.01"/>
    <n v="0"/>
    <n v="631.01"/>
    <s v="Success"/>
  </r>
  <r>
    <s v="TXN76913131"/>
    <x v="4930"/>
    <x v="1"/>
    <x v="0"/>
    <n v="221500"/>
    <x v="0"/>
    <x v="3"/>
    <x v="0"/>
    <n v="4097.75"/>
    <n v="1639.1"/>
    <n v="2458.65"/>
    <s v="Success"/>
  </r>
  <r>
    <s v="TXN31467829"/>
    <x v="4931"/>
    <x v="2"/>
    <x v="1"/>
    <n v="5098"/>
    <x v="0"/>
    <x v="8"/>
    <x v="0"/>
    <n v="5"/>
    <n v="0"/>
    <n v="5"/>
    <s v="Success"/>
  </r>
  <r>
    <s v="TXN82041540"/>
    <x v="4932"/>
    <x v="3"/>
    <x v="3"/>
    <n v="82475"/>
    <x v="0"/>
    <x v="6"/>
    <x v="0"/>
    <n v="0"/>
    <n v="0"/>
    <n v="0"/>
    <s v="Success"/>
  </r>
  <r>
    <s v="TXN65229493"/>
    <x v="4933"/>
    <x v="3"/>
    <x v="1"/>
    <n v="12012"/>
    <x v="0"/>
    <x v="6"/>
    <x v="0"/>
    <n v="5"/>
    <n v="0"/>
    <n v="5"/>
    <s v="Failed"/>
  </r>
  <r>
    <s v="TXN97221140"/>
    <x v="4934"/>
    <x v="3"/>
    <x v="1"/>
    <n v="22931"/>
    <x v="0"/>
    <x v="1"/>
    <x v="0"/>
    <n v="5"/>
    <n v="0"/>
    <n v="5"/>
    <s v="Success"/>
  </r>
  <r>
    <s v="TXN79030357"/>
    <x v="4935"/>
    <x v="7"/>
    <x v="0"/>
    <n v="117000"/>
    <x v="0"/>
    <x v="6"/>
    <x v="0"/>
    <n v="2164.5"/>
    <n v="865.8"/>
    <n v="1298.7"/>
    <s v="Success"/>
  </r>
  <r>
    <s v="TXN59765057"/>
    <x v="4936"/>
    <x v="0"/>
    <x v="1"/>
    <n v="63196"/>
    <x v="0"/>
    <x v="6"/>
    <x v="0"/>
    <n v="5"/>
    <n v="0"/>
    <n v="5"/>
    <s v="Success"/>
  </r>
  <r>
    <s v="TXN69554049"/>
    <x v="4937"/>
    <x v="4"/>
    <x v="2"/>
    <n v="3317"/>
    <x v="0"/>
    <x v="8"/>
    <x v="0"/>
    <n v="0"/>
    <n v="0"/>
    <n v="0"/>
    <s v="Success"/>
  </r>
  <r>
    <s v="TXN11911611"/>
    <x v="4938"/>
    <x v="3"/>
    <x v="2"/>
    <n v="4074"/>
    <x v="1"/>
    <x v="8"/>
    <x v="0"/>
    <n v="0"/>
    <n v="0"/>
    <n v="0"/>
    <s v="Success"/>
  </r>
  <r>
    <s v="TXN12138041"/>
    <x v="4939"/>
    <x v="7"/>
    <x v="3"/>
    <n v="64675"/>
    <x v="0"/>
    <x v="2"/>
    <x v="0"/>
    <n v="0"/>
    <n v="0"/>
    <n v="0"/>
    <s v="Success"/>
  </r>
  <r>
    <s v="TXN20476918"/>
    <x v="4940"/>
    <x v="3"/>
    <x v="3"/>
    <n v="19888"/>
    <x v="0"/>
    <x v="6"/>
    <x v="0"/>
    <n v="0"/>
    <n v="0"/>
    <n v="0"/>
    <s v="Success"/>
  </r>
  <r>
    <s v="TXN72185639"/>
    <x v="4941"/>
    <x v="3"/>
    <x v="1"/>
    <n v="113079"/>
    <x v="0"/>
    <x v="1"/>
    <x v="0"/>
    <n v="5"/>
    <n v="0"/>
    <n v="5"/>
    <s v="Success"/>
  </r>
  <r>
    <s v="TXN11786288"/>
    <x v="4942"/>
    <x v="7"/>
    <x v="0"/>
    <n v="234500"/>
    <x v="0"/>
    <x v="2"/>
    <x v="0"/>
    <n v="4338.25"/>
    <n v="1735.3"/>
    <n v="2602.9499999999998"/>
    <s v="Success"/>
  </r>
  <r>
    <s v="TXN43596828"/>
    <x v="4943"/>
    <x v="3"/>
    <x v="1"/>
    <n v="127047"/>
    <x v="0"/>
    <x v="4"/>
    <x v="0"/>
    <n v="5"/>
    <n v="0"/>
    <n v="5"/>
    <s v="Success"/>
  </r>
  <r>
    <s v="TXN60962610"/>
    <x v="4944"/>
    <x v="2"/>
    <x v="3"/>
    <n v="30551"/>
    <x v="1"/>
    <x v="8"/>
    <x v="0"/>
    <n v="0"/>
    <n v="0"/>
    <n v="0"/>
    <s v="Success"/>
  </r>
  <r>
    <s v="TXN47776022"/>
    <x v="4945"/>
    <x v="2"/>
    <x v="2"/>
    <n v="3704"/>
    <x v="0"/>
    <x v="1"/>
    <x v="0"/>
    <n v="0"/>
    <n v="0"/>
    <n v="0"/>
    <s v="Success"/>
  </r>
  <r>
    <s v="TXN24451523"/>
    <x v="4946"/>
    <x v="1"/>
    <x v="2"/>
    <n v="1100"/>
    <x v="1"/>
    <x v="8"/>
    <x v="0"/>
    <n v="0"/>
    <n v="0"/>
    <n v="0"/>
    <s v="Success"/>
  </r>
  <r>
    <s v="TXN15626562"/>
    <x v="4947"/>
    <x v="7"/>
    <x v="1"/>
    <n v="15052"/>
    <x v="0"/>
    <x v="1"/>
    <x v="0"/>
    <n v="5"/>
    <n v="0"/>
    <n v="5"/>
    <s v="Success"/>
  </r>
  <r>
    <s v="TXN86274987"/>
    <x v="4948"/>
    <x v="5"/>
    <x v="3"/>
    <n v="146116"/>
    <x v="1"/>
    <x v="1"/>
    <x v="0"/>
    <n v="0"/>
    <n v="0"/>
    <n v="0"/>
    <s v="Success"/>
  </r>
  <r>
    <s v="TXN31229085"/>
    <x v="4949"/>
    <x v="7"/>
    <x v="1"/>
    <n v="14734"/>
    <x v="1"/>
    <x v="3"/>
    <x v="0"/>
    <n v="5"/>
    <n v="0"/>
    <n v="5"/>
    <s v="Success"/>
  </r>
  <r>
    <s v="TXN87378286"/>
    <x v="4950"/>
    <x v="4"/>
    <x v="0"/>
    <n v="125000"/>
    <x v="0"/>
    <x v="2"/>
    <x v="0"/>
    <n v="2312.5"/>
    <n v="925"/>
    <n v="1387.5"/>
    <s v="Success"/>
  </r>
  <r>
    <s v="TXN59183253"/>
    <x v="4951"/>
    <x v="7"/>
    <x v="1"/>
    <n v="68360"/>
    <x v="0"/>
    <x v="6"/>
    <x v="0"/>
    <n v="5"/>
    <n v="0"/>
    <n v="5"/>
    <s v="Success"/>
  </r>
  <r>
    <s v="TXN54368906"/>
    <x v="4952"/>
    <x v="5"/>
    <x v="2"/>
    <n v="2854"/>
    <x v="0"/>
    <x v="5"/>
    <x v="0"/>
    <n v="0"/>
    <n v="0"/>
    <n v="0"/>
    <s v="Success"/>
  </r>
  <r>
    <s v="TXN84463669"/>
    <x v="4953"/>
    <x v="4"/>
    <x v="4"/>
    <n v="46530"/>
    <x v="0"/>
    <x v="7"/>
    <x v="4"/>
    <n v="465.3"/>
    <n v="0"/>
    <n v="465.3"/>
    <s v="Success"/>
  </r>
  <r>
    <s v="TXN94659152"/>
    <x v="4954"/>
    <x v="5"/>
    <x v="4"/>
    <n v="13321"/>
    <x v="1"/>
    <x v="0"/>
    <x v="4"/>
    <n v="133.21"/>
    <n v="0"/>
    <n v="133.21"/>
    <s v="Success"/>
  </r>
  <r>
    <s v="TXN85962623"/>
    <x v="4955"/>
    <x v="3"/>
    <x v="4"/>
    <n v="30549"/>
    <x v="0"/>
    <x v="0"/>
    <x v="1"/>
    <n v="305.49"/>
    <n v="0"/>
    <n v="305.49"/>
    <s v="Success"/>
  </r>
  <r>
    <s v="TXN31390334"/>
    <x v="4956"/>
    <x v="7"/>
    <x v="1"/>
    <n v="36043"/>
    <x v="0"/>
    <x v="0"/>
    <x v="0"/>
    <n v="5"/>
    <n v="0"/>
    <n v="5"/>
    <s v="Success"/>
  </r>
  <r>
    <s v="TXN79730638"/>
    <x v="4957"/>
    <x v="7"/>
    <x v="1"/>
    <n v="19837"/>
    <x v="0"/>
    <x v="3"/>
    <x v="0"/>
    <n v="5"/>
    <n v="0"/>
    <n v="5"/>
    <s v="Success"/>
  </r>
  <r>
    <s v="TXN24533757"/>
    <x v="4958"/>
    <x v="3"/>
    <x v="4"/>
    <n v="84987"/>
    <x v="0"/>
    <x v="4"/>
    <x v="2"/>
    <n v="849.87"/>
    <n v="0"/>
    <n v="849.87"/>
    <s v="Success"/>
  </r>
  <r>
    <s v="TXN48919748"/>
    <x v="4959"/>
    <x v="4"/>
    <x v="4"/>
    <n v="76467"/>
    <x v="0"/>
    <x v="6"/>
    <x v="4"/>
    <n v="764.67"/>
    <n v="0"/>
    <n v="764.67"/>
    <s v="Success"/>
  </r>
  <r>
    <s v="TXN82594987"/>
    <x v="4960"/>
    <x v="2"/>
    <x v="1"/>
    <n v="22106"/>
    <x v="0"/>
    <x v="8"/>
    <x v="0"/>
    <n v="5"/>
    <n v="0"/>
    <n v="5"/>
    <s v="Success"/>
  </r>
  <r>
    <s v="TXN34438066"/>
    <x v="4961"/>
    <x v="0"/>
    <x v="4"/>
    <n v="117325"/>
    <x v="0"/>
    <x v="1"/>
    <x v="2"/>
    <n v="1173.25"/>
    <n v="0"/>
    <n v="1173.25"/>
    <s v="Success"/>
  </r>
  <r>
    <s v="TXN80316763"/>
    <x v="4962"/>
    <x v="0"/>
    <x v="0"/>
    <n v="113000"/>
    <x v="0"/>
    <x v="1"/>
    <x v="0"/>
    <n v="2090.5"/>
    <n v="836.2"/>
    <n v="1254.3"/>
    <s v="Success"/>
  </r>
  <r>
    <s v="TXN10550204"/>
    <x v="4963"/>
    <x v="6"/>
    <x v="0"/>
    <n v="241500"/>
    <x v="0"/>
    <x v="5"/>
    <x v="0"/>
    <n v="4467.75"/>
    <n v="1787.1"/>
    <n v="2680.65"/>
    <s v="Success"/>
  </r>
  <r>
    <s v="TXN36047172"/>
    <x v="4964"/>
    <x v="2"/>
    <x v="4"/>
    <n v="128169"/>
    <x v="2"/>
    <x v="7"/>
    <x v="5"/>
    <n v="1281.69"/>
    <n v="0"/>
    <n v="1281.69"/>
    <s v="Success"/>
  </r>
  <r>
    <s v="TXN89594502"/>
    <x v="4965"/>
    <x v="1"/>
    <x v="2"/>
    <n v="4906"/>
    <x v="0"/>
    <x v="4"/>
    <x v="0"/>
    <n v="0"/>
    <n v="0"/>
    <n v="0"/>
    <s v="Success"/>
  </r>
  <r>
    <s v="TXN40636706"/>
    <x v="4966"/>
    <x v="6"/>
    <x v="0"/>
    <n v="148500"/>
    <x v="1"/>
    <x v="2"/>
    <x v="0"/>
    <n v="2747.25"/>
    <n v="1098.9000000000001"/>
    <n v="1648.35"/>
    <s v="Success"/>
  </r>
  <r>
    <s v="TXN48802121"/>
    <x v="4967"/>
    <x v="1"/>
    <x v="3"/>
    <n v="16828"/>
    <x v="0"/>
    <x v="7"/>
    <x v="0"/>
    <n v="0"/>
    <n v="0"/>
    <n v="0"/>
    <s v="Success"/>
  </r>
  <r>
    <s v="TXN18308133"/>
    <x v="4968"/>
    <x v="0"/>
    <x v="0"/>
    <n v="133000"/>
    <x v="0"/>
    <x v="1"/>
    <x v="0"/>
    <n v="2460.5"/>
    <n v="984.2"/>
    <n v="1476.3"/>
    <s v="Success"/>
  </r>
  <r>
    <s v="TXN93222718"/>
    <x v="4969"/>
    <x v="3"/>
    <x v="4"/>
    <n v="7240"/>
    <x v="0"/>
    <x v="2"/>
    <x v="5"/>
    <n v="72.400000000000006"/>
    <n v="0"/>
    <n v="72.400000000000006"/>
    <s v="Success"/>
  </r>
  <r>
    <s v="TXN73369191"/>
    <x v="4970"/>
    <x v="3"/>
    <x v="4"/>
    <n v="122408"/>
    <x v="0"/>
    <x v="5"/>
    <x v="1"/>
    <n v="1224.08"/>
    <n v="0"/>
    <n v="1224.08"/>
    <s v="Success"/>
  </r>
  <r>
    <s v="TXN18892620"/>
    <x v="4971"/>
    <x v="1"/>
    <x v="3"/>
    <n v="27166"/>
    <x v="0"/>
    <x v="7"/>
    <x v="0"/>
    <n v="0"/>
    <n v="0"/>
    <n v="0"/>
    <s v="Failed"/>
  </r>
  <r>
    <s v="TXN87868840"/>
    <x v="4972"/>
    <x v="1"/>
    <x v="3"/>
    <n v="72757"/>
    <x v="0"/>
    <x v="5"/>
    <x v="0"/>
    <n v="0"/>
    <n v="0"/>
    <n v="0"/>
    <s v="Success"/>
  </r>
  <r>
    <s v="TXN59651566"/>
    <x v="4973"/>
    <x v="1"/>
    <x v="4"/>
    <n v="14265"/>
    <x v="0"/>
    <x v="4"/>
    <x v="1"/>
    <n v="142.65"/>
    <n v="0"/>
    <n v="142.65"/>
    <s v="Success"/>
  </r>
  <r>
    <s v="TXN70906756"/>
    <x v="4974"/>
    <x v="3"/>
    <x v="4"/>
    <n v="79871"/>
    <x v="0"/>
    <x v="6"/>
    <x v="2"/>
    <n v="798.71"/>
    <n v="0"/>
    <n v="798.71"/>
    <s v="Failed"/>
  </r>
  <r>
    <s v="TXN48024706"/>
    <x v="4975"/>
    <x v="1"/>
    <x v="0"/>
    <n v="131500"/>
    <x v="0"/>
    <x v="5"/>
    <x v="0"/>
    <n v="2432.75"/>
    <n v="973.1"/>
    <n v="1459.65"/>
    <s v="Success"/>
  </r>
  <r>
    <s v="TXN27873568"/>
    <x v="4976"/>
    <x v="1"/>
    <x v="3"/>
    <n v="68179"/>
    <x v="0"/>
    <x v="7"/>
    <x v="0"/>
    <n v="0"/>
    <n v="0"/>
    <n v="0"/>
    <s v="Success"/>
  </r>
  <r>
    <s v="TXN45518334"/>
    <x v="4977"/>
    <x v="4"/>
    <x v="0"/>
    <n v="48500"/>
    <x v="0"/>
    <x v="4"/>
    <x v="0"/>
    <n v="897.25"/>
    <n v="358.9"/>
    <n v="538.35"/>
    <s v="Success"/>
  </r>
  <r>
    <s v="TXN62908799"/>
    <x v="4978"/>
    <x v="0"/>
    <x v="3"/>
    <n v="98096"/>
    <x v="0"/>
    <x v="8"/>
    <x v="0"/>
    <n v="0"/>
    <n v="0"/>
    <n v="0"/>
    <s v="Failed"/>
  </r>
  <r>
    <s v="TXN43942545"/>
    <x v="4979"/>
    <x v="3"/>
    <x v="0"/>
    <n v="165000"/>
    <x v="1"/>
    <x v="8"/>
    <x v="0"/>
    <n v="3052.5"/>
    <n v="1221"/>
    <n v="1831.5"/>
    <s v="Success"/>
  </r>
  <r>
    <s v="TXN40889150"/>
    <x v="4980"/>
    <x v="3"/>
    <x v="4"/>
    <n v="111286"/>
    <x v="1"/>
    <x v="3"/>
    <x v="2"/>
    <n v="1112.8599999999999"/>
    <n v="0"/>
    <n v="1112.8599999999999"/>
    <s v="Success"/>
  </r>
  <r>
    <s v="TXN51348619"/>
    <x v="4981"/>
    <x v="2"/>
    <x v="3"/>
    <n v="105352"/>
    <x v="0"/>
    <x v="3"/>
    <x v="0"/>
    <n v="0"/>
    <n v="0"/>
    <n v="0"/>
    <s v="Success"/>
  </r>
  <r>
    <s v="TXN87406177"/>
    <x v="4982"/>
    <x v="1"/>
    <x v="3"/>
    <n v="114804"/>
    <x v="0"/>
    <x v="8"/>
    <x v="0"/>
    <n v="0"/>
    <n v="0"/>
    <n v="0"/>
    <s v="Success"/>
  </r>
  <r>
    <s v="TXN49992932"/>
    <x v="4983"/>
    <x v="4"/>
    <x v="0"/>
    <n v="186500"/>
    <x v="0"/>
    <x v="3"/>
    <x v="0"/>
    <n v="3450.25"/>
    <n v="1380.1"/>
    <n v="2070.15"/>
    <s v="Success"/>
  </r>
  <r>
    <s v="TXN69871231"/>
    <x v="4984"/>
    <x v="5"/>
    <x v="2"/>
    <n v="2061"/>
    <x v="0"/>
    <x v="3"/>
    <x v="0"/>
    <n v="0"/>
    <n v="0"/>
    <n v="0"/>
    <s v="Success"/>
  </r>
  <r>
    <s v="TXN89864098"/>
    <x v="4985"/>
    <x v="3"/>
    <x v="0"/>
    <n v="243500"/>
    <x v="0"/>
    <x v="0"/>
    <x v="0"/>
    <n v="4504.75"/>
    <n v="1801.9"/>
    <n v="2702.85"/>
    <s v="Success"/>
  </r>
  <r>
    <s v="TXN82936026"/>
    <x v="4986"/>
    <x v="2"/>
    <x v="0"/>
    <n v="151000"/>
    <x v="0"/>
    <x v="4"/>
    <x v="0"/>
    <n v="2793.5"/>
    <n v="1117.4000000000001"/>
    <n v="1676.1"/>
    <s v="Success"/>
  </r>
  <r>
    <s v="TXN52035839"/>
    <x v="4987"/>
    <x v="3"/>
    <x v="4"/>
    <n v="86742"/>
    <x v="0"/>
    <x v="5"/>
    <x v="2"/>
    <n v="867.42"/>
    <n v="0"/>
    <n v="867.42"/>
    <s v="Success"/>
  </r>
  <r>
    <s v="TXN63914030"/>
    <x v="4988"/>
    <x v="1"/>
    <x v="0"/>
    <n v="23500"/>
    <x v="0"/>
    <x v="8"/>
    <x v="0"/>
    <n v="434.75"/>
    <n v="173.9"/>
    <n v="260.85000000000002"/>
    <s v="Success"/>
  </r>
  <r>
    <s v="TXN15849602"/>
    <x v="4989"/>
    <x v="1"/>
    <x v="2"/>
    <n v="868"/>
    <x v="1"/>
    <x v="4"/>
    <x v="0"/>
    <n v="0"/>
    <n v="0"/>
    <n v="0"/>
    <s v="Success"/>
  </r>
  <r>
    <s v="TXN29899886"/>
    <x v="4990"/>
    <x v="5"/>
    <x v="0"/>
    <n v="75000"/>
    <x v="0"/>
    <x v="8"/>
    <x v="0"/>
    <n v="1387.5"/>
    <n v="555"/>
    <n v="832.5"/>
    <s v="Success"/>
  </r>
  <r>
    <s v="TXN57912530"/>
    <x v="4991"/>
    <x v="6"/>
    <x v="0"/>
    <n v="63500"/>
    <x v="0"/>
    <x v="5"/>
    <x v="0"/>
    <n v="1174.75"/>
    <n v="469.9"/>
    <n v="704.85"/>
    <s v="Success"/>
  </r>
  <r>
    <s v="TXN55231296"/>
    <x v="4992"/>
    <x v="5"/>
    <x v="3"/>
    <n v="2795"/>
    <x v="0"/>
    <x v="5"/>
    <x v="0"/>
    <n v="0"/>
    <n v="0"/>
    <n v="0"/>
    <s v="Success"/>
  </r>
  <r>
    <s v="TXN66843240"/>
    <x v="4993"/>
    <x v="7"/>
    <x v="2"/>
    <n v="4841"/>
    <x v="0"/>
    <x v="4"/>
    <x v="0"/>
    <n v="0"/>
    <n v="0"/>
    <n v="0"/>
    <s v="Success"/>
  </r>
  <r>
    <s v="TXN19596474"/>
    <x v="4994"/>
    <x v="7"/>
    <x v="3"/>
    <n v="23231"/>
    <x v="0"/>
    <x v="6"/>
    <x v="0"/>
    <n v="0"/>
    <n v="0"/>
    <n v="0"/>
    <s v="Success"/>
  </r>
  <r>
    <s v="TXN59544926"/>
    <x v="4995"/>
    <x v="0"/>
    <x v="3"/>
    <n v="47979"/>
    <x v="0"/>
    <x v="8"/>
    <x v="0"/>
    <n v="0"/>
    <n v="0"/>
    <n v="0"/>
    <s v="Success"/>
  </r>
  <r>
    <s v="TXN21852023"/>
    <x v="4996"/>
    <x v="1"/>
    <x v="1"/>
    <n v="96641"/>
    <x v="0"/>
    <x v="5"/>
    <x v="0"/>
    <n v="5"/>
    <n v="0"/>
    <n v="5"/>
    <s v="Success"/>
  </r>
  <r>
    <s v="TXN57669286"/>
    <x v="4997"/>
    <x v="5"/>
    <x v="3"/>
    <n v="146945"/>
    <x v="0"/>
    <x v="2"/>
    <x v="0"/>
    <n v="0"/>
    <n v="0"/>
    <n v="0"/>
    <s v="Success"/>
  </r>
  <r>
    <s v="TXN21920009"/>
    <x v="4998"/>
    <x v="1"/>
    <x v="1"/>
    <n v="18304"/>
    <x v="0"/>
    <x v="7"/>
    <x v="0"/>
    <n v="5"/>
    <n v="0"/>
    <n v="5"/>
    <s v="Success"/>
  </r>
  <r>
    <s v="TXN35717292"/>
    <x v="4999"/>
    <x v="5"/>
    <x v="2"/>
    <n v="1363"/>
    <x v="0"/>
    <x v="5"/>
    <x v="0"/>
    <n v="0"/>
    <n v="0"/>
    <n v="0"/>
    <s v="Succ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C02DD-498F-4138-9331-03FFA281F6E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3">
  <location ref="G3:H8" firstHeaderRow="1" firstDataRow="1" firstDataCol="1"/>
  <pivotFields count="12">
    <pivotField compact="0" outline="0" showAll="0" defaultSubtotal="0"/>
    <pivotField compact="0" numFmtId="22" outline="0" showAll="0" sortType="ascending" defaultSubtotal="0">
      <items count="14">
        <item x="1"/>
        <item x="2"/>
        <item x="3"/>
        <item x="4"/>
        <item x="5"/>
        <item x="6"/>
        <item x="7"/>
        <item x="8"/>
        <item x="9"/>
        <item x="10"/>
        <item x="11"/>
        <item x="12"/>
        <item x="0"/>
        <item x="13"/>
      </items>
    </pivotField>
    <pivotField compact="0" outline="0" showAll="0" defaultSubtotal="0">
      <items count="8">
        <item h="1" x="7"/>
        <item x="6"/>
        <item x="5"/>
        <item x="3"/>
        <item x="2"/>
        <item x="1"/>
        <item x="4"/>
        <item h="1" x="0"/>
      </items>
    </pivotField>
    <pivotField axis="axisRow" compact="0" outline="0" showAll="0" sortType="ascending" defaultSubtotal="0">
      <items count="5">
        <item x="3"/>
        <item x="0"/>
        <item x="2"/>
        <item x="4"/>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3"/>
  </rowFields>
  <rowItems count="5">
    <i>
      <x v="2"/>
    </i>
    <i>
      <x/>
    </i>
    <i>
      <x v="4"/>
    </i>
    <i>
      <x v="3"/>
    </i>
    <i>
      <x v="1"/>
    </i>
  </rowItems>
  <colItems count="1">
    <i/>
  </colItems>
  <dataFields count="1">
    <dataField name="Sum of Net_Revenue" fld="10" baseField="0" baseItem="0" numFmtId="165"/>
  </dataFields>
  <formats count="1">
    <format dxfId="296">
      <pivotArea outline="0" collapsedLevelsAreSubtotals="1" fieldPosition="0"/>
    </format>
  </formats>
  <chartFormats count="11">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2"/>
          </reference>
        </references>
      </pivotArea>
    </chartFormat>
    <chartFormat chart="8" format="2">
      <pivotArea type="data" outline="0" fieldPosition="0">
        <references count="2">
          <reference field="4294967294" count="1" selected="0">
            <x v="0"/>
          </reference>
          <reference field="3" count="1" selected="0">
            <x v="4"/>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1"/>
          </reference>
        </references>
      </pivotArea>
    </chartFormat>
    <chartFormat chart="12"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CAA3FB-4AAA-40B8-9C53-010A0CF10338}"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6">
  <location ref="N3:O6" firstHeaderRow="1" firstDataRow="1" firstDataCol="1"/>
  <pivotFields count="12">
    <pivotField compact="0" outline="0" showAll="0" defaultSubtotal="0"/>
    <pivotField compact="0" numFmtId="22" outline="0" showAll="0" sortType="ascending" defaultSubtotal="0">
      <items count="14">
        <item x="1"/>
        <item x="2"/>
        <item x="3"/>
        <item x="4"/>
        <item x="5"/>
        <item x="6"/>
        <item x="7"/>
        <item x="8"/>
        <item x="9"/>
        <item x="10"/>
        <item x="11"/>
        <item x="12"/>
        <item x="0"/>
        <item x="13"/>
      </items>
    </pivotField>
    <pivotField compact="0" outline="0" showAll="0" defaultSubtotal="0">
      <items count="8">
        <item h="1" x="7"/>
        <item x="6"/>
        <item x="5"/>
        <item x="3"/>
        <item x="2"/>
        <item x="1"/>
        <item x="4"/>
        <item h="1" x="0"/>
      </items>
    </pivotField>
    <pivotField compact="0" outline="0" showAll="0" defaultSubtotal="0">
      <items count="5">
        <item x="3"/>
        <item x="0"/>
        <item x="2"/>
        <item x="4"/>
        <item x="1"/>
      </items>
    </pivotField>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5"/>
  </rowFields>
  <rowItems count="3">
    <i>
      <x/>
    </i>
    <i>
      <x v="1"/>
    </i>
    <i>
      <x v="2"/>
    </i>
  </rowItems>
  <colItems count="1">
    <i/>
  </colItems>
  <dataFields count="1">
    <dataField name="Sum of Net_Revenue" fld="10" baseField="0" baseItem="0" numFmtId="165"/>
  </dataFields>
  <formats count="1">
    <format dxfId="297">
      <pivotArea outline="0" collapsedLevelsAreSubtotals="1" fieldPosition="0"/>
    </format>
  </formats>
  <chartFormats count="12">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5" count="1" selected="0">
            <x v="0"/>
          </reference>
        </references>
      </pivotArea>
    </chartFormat>
    <chartFormat chart="15" format="7">
      <pivotArea type="data" outline="0" fieldPosition="0">
        <references count="2">
          <reference field="4294967294" count="1" selected="0">
            <x v="0"/>
          </reference>
          <reference field="5" count="1" selected="0">
            <x v="1"/>
          </reference>
        </references>
      </pivotArea>
    </chartFormat>
    <chartFormat chart="1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E977C-0FDB-4E0C-BF86-33F8E5334E17}"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8">
  <location ref="J3:K9" firstHeaderRow="1" firstDataRow="1" firstDataCol="1"/>
  <pivotFields count="12">
    <pivotField compact="0" outline="0" showAll="0" defaultSubtotal="0"/>
    <pivotField compact="0" numFmtId="22" outline="0" showAll="0" sortType="ascending" defaultSubtotal="0">
      <items count="14">
        <item x="1"/>
        <item x="2"/>
        <item x="3"/>
        <item x="4"/>
        <item x="5"/>
        <item x="6"/>
        <item x="7"/>
        <item x="8"/>
        <item x="9"/>
        <item x="10"/>
        <item x="11"/>
        <item x="12"/>
        <item x="0"/>
        <item x="13"/>
      </items>
    </pivotField>
    <pivotField axis="axisRow" compact="0" outline="0" showAll="0" sortType="descending" defaultSubtotal="0">
      <items count="8">
        <item h="1" x="7"/>
        <item x="6"/>
        <item x="5"/>
        <item x="3"/>
        <item x="2"/>
        <item x="1"/>
        <item x="4"/>
        <item h="1"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2"/>
  </rowFields>
  <rowItems count="6">
    <i>
      <x v="3"/>
    </i>
    <i>
      <x v="4"/>
    </i>
    <i>
      <x v="5"/>
    </i>
    <i>
      <x v="1"/>
    </i>
    <i>
      <x v="6"/>
    </i>
    <i>
      <x v="2"/>
    </i>
  </rowItems>
  <colItems count="1">
    <i/>
  </colItems>
  <dataFields count="1">
    <dataField name="Sum of Net_Revenue" fld="10" baseField="0" baseItem="0" numFmtId="165"/>
  </dataFields>
  <formats count="1">
    <format dxfId="298">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5B895-9460-426E-A5C3-94145D83895A}"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7">
  <location ref="T3:V15" firstHeaderRow="0" firstDataRow="1" firstDataCol="1"/>
  <pivotFields count="12">
    <pivotField compact="0" outline="0" showAll="0" defaultSubtotal="0"/>
    <pivotField axis="axisRow" compact="0" numFmtId="22" outline="0" showAll="0" sortType="ascending" defaultSubtotal="0">
      <items count="14">
        <item x="1"/>
        <item x="2"/>
        <item x="3"/>
        <item x="4"/>
        <item x="5"/>
        <item x="6"/>
        <item x="7"/>
        <item x="8"/>
        <item x="9"/>
        <item x="10"/>
        <item x="11"/>
        <item x="12"/>
        <item x="0"/>
        <item x="13"/>
      </items>
    </pivotField>
    <pivotField compact="0" outline="0" showAll="0" defaultSubtotal="0">
      <items count="8">
        <item h="1" x="7"/>
        <item x="6"/>
        <item x="5"/>
        <item x="3"/>
        <item x="2"/>
        <item x="1"/>
        <item x="4"/>
        <item h="1" x="0"/>
      </items>
    </pivotField>
    <pivotField compact="0" outline="0" showAll="0" defaultSubtotal="0"/>
    <pivotField dataField="1" compact="0" outline="0" showAll="0" defaultSubtotal="0"/>
    <pivotField compact="0" outline="0" showAll="0" defaultSubtotal="0">
      <items count="3">
        <item x="1"/>
        <item x="2"/>
        <item x="0"/>
      </items>
    </pivotField>
    <pivotField compact="0" outline="0" showAll="0" sortType="ascending" defaultSubtotal="0">
      <items count="10">
        <item x="5"/>
        <item m="1" x="9"/>
        <item x="4"/>
        <item x="0"/>
        <item x="7"/>
        <item x="8"/>
        <item x="6"/>
        <item x="3"/>
        <item x="1"/>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Amount" fld="4" baseField="0" baseItem="0"/>
    <dataField name="Sum of Net_Revenue" fld="10" baseField="0" baseItem="0"/>
  </dataFields>
  <formats count="1">
    <format dxfId="299">
      <pivotArea outline="0" collapsedLevelsAreSubtotals="1" fieldPosition="0"/>
    </format>
  </formats>
  <chartFormats count="1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2">
    <pivotField dataField="1" showAll="0"/>
    <pivotField numFmtId="22" showAll="0">
      <items count="15">
        <item x="0"/>
        <item x="1"/>
        <item x="2"/>
        <item x="3"/>
        <item x="4"/>
        <item x="5"/>
        <item x="6"/>
        <item x="7"/>
        <item x="8"/>
        <item x="9"/>
        <item x="10"/>
        <item x="11"/>
        <item x="12"/>
        <item x="13"/>
        <item t="default"/>
      </items>
    </pivotField>
    <pivotField showAll="0">
      <items count="9">
        <item h="1" x="7"/>
        <item x="6"/>
        <item x="5"/>
        <item x="3"/>
        <item x="2"/>
        <item x="1"/>
        <item x="4"/>
        <item h="1" x="0"/>
        <item t="default"/>
      </items>
    </pivotField>
    <pivotField showAll="0"/>
    <pivotField dataField="1" showAll="0"/>
    <pivotField showAll="0">
      <items count="4">
        <item x="1"/>
        <item x="2"/>
        <item x="0"/>
        <item t="default"/>
      </items>
    </pivotField>
    <pivotField showAll="0"/>
    <pivotField showAll="0"/>
    <pivotField dataField="1" showAll="0"/>
    <pivotField dataField="1" showAll="0"/>
    <pivotField dataField="1" showAll="0"/>
    <pivotField showAll="0"/>
  </pivotFields>
  <rowItems count="1">
    <i/>
  </rowItems>
  <colFields count="1">
    <field x="-2"/>
  </colFields>
  <colItems count="5">
    <i>
      <x/>
    </i>
    <i i="1">
      <x v="1"/>
    </i>
    <i i="2">
      <x v="2"/>
    </i>
    <i i="3">
      <x v="3"/>
    </i>
    <i i="4">
      <x v="4"/>
    </i>
  </colItems>
  <dataFields count="5">
    <dataField name="Count of Transaction_ID" fld="0" subtotal="count" baseField="0" baseItem="0"/>
    <dataField name="Sum of Amount" fld="4" baseField="0" baseItem="0"/>
    <dataField name="Sum of Service_Charge" fld="8" baseField="0" baseItem="0"/>
    <dataField name="Sum of Commission_Earned" fld="9" baseField="0" baseItem="0"/>
    <dataField name="Sum of Net_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3086B-E80F-4439-8950-745A62CE4FD4}"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5">
  <location ref="Q3:R12" firstHeaderRow="1" firstDataRow="1" firstDataCol="1"/>
  <pivotFields count="12">
    <pivotField compact="0" outline="0" showAll="0" defaultSubtotal="0"/>
    <pivotField compact="0" numFmtId="22" outline="0" showAll="0" sortType="ascending" defaultSubtotal="0">
      <items count="14">
        <item x="1"/>
        <item x="2"/>
        <item x="3"/>
        <item x="4"/>
        <item x="5"/>
        <item x="6"/>
        <item x="7"/>
        <item x="8"/>
        <item x="9"/>
        <item x="10"/>
        <item x="11"/>
        <item x="12"/>
        <item x="0"/>
        <item x="13"/>
      </items>
    </pivotField>
    <pivotField compact="0" outline="0" showAll="0" defaultSubtotal="0">
      <items count="8">
        <item h="1" x="7"/>
        <item x="6"/>
        <item x="5"/>
        <item x="3"/>
        <item x="2"/>
        <item x="1"/>
        <item x="4"/>
        <item h="1" x="0"/>
      </items>
    </pivotField>
    <pivotField compact="0" outline="0" showAll="0" defaultSubtotal="0"/>
    <pivotField compact="0" outline="0" showAll="0" defaultSubtotal="0"/>
    <pivotField compact="0" outline="0" showAll="0" defaultSubtotal="0">
      <items count="3">
        <item x="1"/>
        <item x="2"/>
        <item x="0"/>
      </items>
    </pivotField>
    <pivotField axis="axisRow" compact="0" outline="0" showAll="0" measureFilter="1" sortType="ascending" defaultSubtotal="0">
      <items count="10">
        <item x="5"/>
        <item m="1" x="9"/>
        <item x="4"/>
        <item x="0"/>
        <item x="7"/>
        <item x="8"/>
        <item x="6"/>
        <item x="3"/>
        <item x="1"/>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6"/>
  </rowFields>
  <rowItems count="9">
    <i>
      <x/>
    </i>
    <i>
      <x v="2"/>
    </i>
    <i>
      <x v="3"/>
    </i>
    <i>
      <x v="4"/>
    </i>
    <i>
      <x v="5"/>
    </i>
    <i>
      <x v="6"/>
    </i>
    <i>
      <x v="7"/>
    </i>
    <i>
      <x v="8"/>
    </i>
    <i>
      <x v="9"/>
    </i>
  </rowItems>
  <colItems count="1">
    <i/>
  </colItems>
  <dataFields count="1">
    <dataField name="Sum of Net_Revenue" fld="10" baseField="0" baseItem="0" numFmtId="165"/>
  </dataFields>
  <formats count="1">
    <format dxfId="300">
      <pivotArea outline="0" collapsedLevelsAreSubtotals="1" fieldPosition="0"/>
    </format>
  </formats>
  <chartFormats count="14">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0"/>
          </reference>
        </references>
      </pivotArea>
    </chartFormat>
    <chartFormat chart="11" format="30">
      <pivotArea type="data" outline="0" fieldPosition="0">
        <references count="2">
          <reference field="4294967294" count="1" selected="0">
            <x v="0"/>
          </reference>
          <reference field="6" count="1" selected="0">
            <x v="0"/>
          </reference>
        </references>
      </pivotArea>
    </chartFormat>
    <chartFormat chart="11" format="31">
      <pivotArea type="data" outline="0" fieldPosition="0">
        <references count="2">
          <reference field="4294967294" count="1" selected="0">
            <x v="0"/>
          </reference>
          <reference field="6" count="1" selected="0">
            <x v="2"/>
          </reference>
        </references>
      </pivotArea>
    </chartFormat>
    <chartFormat chart="11" format="32">
      <pivotArea type="data" outline="0" fieldPosition="0">
        <references count="2">
          <reference field="4294967294" count="1" selected="0">
            <x v="0"/>
          </reference>
          <reference field="6" count="1" selected="0">
            <x v="3"/>
          </reference>
        </references>
      </pivotArea>
    </chartFormat>
    <chartFormat chart="11" format="33">
      <pivotArea type="data" outline="0" fieldPosition="0">
        <references count="2">
          <reference field="4294967294" count="1" selected="0">
            <x v="0"/>
          </reference>
          <reference field="6" count="1" selected="0">
            <x v="4"/>
          </reference>
        </references>
      </pivotArea>
    </chartFormat>
    <chartFormat chart="11" format="34">
      <pivotArea type="data" outline="0" fieldPosition="0">
        <references count="2">
          <reference field="4294967294" count="1" selected="0">
            <x v="0"/>
          </reference>
          <reference field="6" count="1" selected="0">
            <x v="5"/>
          </reference>
        </references>
      </pivotArea>
    </chartFormat>
    <chartFormat chart="11" format="35">
      <pivotArea type="data" outline="0" fieldPosition="0">
        <references count="2">
          <reference field="4294967294" count="1" selected="0">
            <x v="0"/>
          </reference>
          <reference field="6" count="1" selected="0">
            <x v="6"/>
          </reference>
        </references>
      </pivotArea>
    </chartFormat>
    <chartFormat chart="11" format="36">
      <pivotArea type="data" outline="0" fieldPosition="0">
        <references count="2">
          <reference field="4294967294" count="1" selected="0">
            <x v="0"/>
          </reference>
          <reference field="6" count="1" selected="0">
            <x v="7"/>
          </reference>
        </references>
      </pivotArea>
    </chartFormat>
    <chartFormat chart="11" format="37">
      <pivotArea type="data" outline="0" fieldPosition="0">
        <references count="2">
          <reference field="4294967294" count="1" selected="0">
            <x v="0"/>
          </reference>
          <reference field="6" count="1" selected="0">
            <x v="8"/>
          </reference>
        </references>
      </pivotArea>
    </chartFormat>
    <chartFormat chart="11" format="38">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B6AF35-B00C-4AD8-87A2-11981CD4ABC4}"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6">
  <location ref="X3:AC8" firstHeaderRow="1" firstDataRow="3" firstDataCol="1"/>
  <pivotFields count="12">
    <pivotField compact="0" outline="0" showAll="0" defaultSubtotal="0"/>
    <pivotField compact="0" numFmtId="22" outline="0" showAll="0" sortType="ascending" defaultSubtotal="0">
      <items count="14">
        <item x="1"/>
        <item x="2"/>
        <item x="3"/>
        <item x="4"/>
        <item x="5"/>
        <item x="6"/>
        <item x="7"/>
        <item x="8"/>
        <item x="9"/>
        <item x="10"/>
        <item x="11"/>
        <item x="12"/>
        <item x="0"/>
        <item x="13"/>
      </items>
    </pivotField>
    <pivotField compact="0" outline="0" showAll="0" defaultSubtotal="0">
      <items count="8">
        <item h="1" x="7"/>
        <item x="6"/>
        <item x="5"/>
        <item x="3"/>
        <item x="2"/>
        <item x="1"/>
        <item x="4"/>
        <item h="1" x="0"/>
      </items>
    </pivotField>
    <pivotField axis="axisCol" compact="0" outline="0" showAll="0" defaultSubtotal="0">
      <items count="5">
        <item x="3"/>
        <item x="0"/>
        <item x="2"/>
        <item x="4"/>
        <item x="1"/>
      </items>
    </pivotField>
    <pivotField compact="0" outline="0" showAll="0" defaultSubtotal="0"/>
    <pivotField axis="axisRow" compact="0" outline="0" showAll="0" defaultSubtotal="0">
      <items count="3">
        <item x="1"/>
        <item x="2"/>
        <item x="0"/>
      </items>
    </pivotField>
    <pivotField compact="0" outline="0" showAll="0" sortType="ascending" defaultSubtotal="0">
      <items count="10">
        <item x="5"/>
        <item m="1" x="9"/>
        <item x="4"/>
        <item x="0"/>
        <item x="7"/>
        <item x="8"/>
        <item x="6"/>
        <item x="3"/>
        <item x="1"/>
        <item x="2"/>
      </items>
    </pivotField>
    <pivotField axis="axisCol" compact="0" outline="0" showAll="0" defaultSubtotal="0">
      <items count="6">
        <item x="5"/>
        <item x="1"/>
        <item h="1" x="0"/>
        <item x="2"/>
        <item x="3"/>
        <item x="4"/>
      </items>
    </pivotField>
    <pivotField dataField="1" compact="0" outline="0" showAll="0" defaultSubtotal="0"/>
    <pivotField compact="0" outline="0" showAll="0" defaultSubtotal="0"/>
    <pivotField compact="0" outline="0" showAll="0" defaultSubtotal="0"/>
    <pivotField compact="0" outline="0" showAll="0" defaultSubtotal="0"/>
  </pivotFields>
  <rowFields count="1">
    <field x="5"/>
  </rowFields>
  <rowItems count="3">
    <i>
      <x/>
    </i>
    <i>
      <x v="1"/>
    </i>
    <i>
      <x v="2"/>
    </i>
  </rowItems>
  <colFields count="2">
    <field x="7"/>
    <field x="3"/>
  </colFields>
  <colItems count="5">
    <i>
      <x/>
      <x v="3"/>
    </i>
    <i>
      <x v="1"/>
      <x v="3"/>
    </i>
    <i>
      <x v="3"/>
      <x v="3"/>
    </i>
    <i>
      <x v="4"/>
      <x v="3"/>
    </i>
    <i>
      <x v="5"/>
      <x v="3"/>
    </i>
  </colItems>
  <dataFields count="1">
    <dataField name="Sum of Service_Charge" fld="8" baseField="0" baseItem="0"/>
  </dataFields>
  <formats count="1">
    <format dxfId="301">
      <pivotArea outline="0" collapsedLevelsAreSubtotals="1" fieldPosition="0"/>
    </format>
  </formats>
  <chartFormats count="54">
    <chartFormat chart="21" format="95" series="1">
      <pivotArea type="data" outline="0" fieldPosition="0">
        <references count="2">
          <reference field="3" count="1" selected="0">
            <x v="3"/>
          </reference>
          <reference field="7" count="1" selected="0">
            <x v="0"/>
          </reference>
        </references>
      </pivotArea>
    </chartFormat>
    <chartFormat chart="21" format="96" series="1">
      <pivotArea type="data" outline="0" fieldPosition="0">
        <references count="2">
          <reference field="3" count="1" selected="0">
            <x v="3"/>
          </reference>
          <reference field="7" count="1" selected="0">
            <x v="1"/>
          </reference>
        </references>
      </pivotArea>
    </chartFormat>
    <chartFormat chart="21" format="97" series="1">
      <pivotArea type="data" outline="0" fieldPosition="0">
        <references count="2">
          <reference field="3" count="1" selected="0">
            <x v="0"/>
          </reference>
          <reference field="7" count="1" selected="0">
            <x v="2"/>
          </reference>
        </references>
      </pivotArea>
    </chartFormat>
    <chartFormat chart="21" format="98" series="1">
      <pivotArea type="data" outline="0" fieldPosition="0">
        <references count="2">
          <reference field="3" count="1" selected="0">
            <x v="1"/>
          </reference>
          <reference field="7" count="1" selected="0">
            <x v="2"/>
          </reference>
        </references>
      </pivotArea>
    </chartFormat>
    <chartFormat chart="21" format="99" series="1">
      <pivotArea type="data" outline="0" fieldPosition="0">
        <references count="2">
          <reference field="3" count="1" selected="0">
            <x v="2"/>
          </reference>
          <reference field="7" count="1" selected="0">
            <x v="2"/>
          </reference>
        </references>
      </pivotArea>
    </chartFormat>
    <chartFormat chart="21" format="100" series="1">
      <pivotArea type="data" outline="0" fieldPosition="0">
        <references count="2">
          <reference field="3" count="1" selected="0">
            <x v="4"/>
          </reference>
          <reference field="7" count="1" selected="0">
            <x v="2"/>
          </reference>
        </references>
      </pivotArea>
    </chartFormat>
    <chartFormat chart="21" format="101" series="1">
      <pivotArea type="data" outline="0" fieldPosition="0">
        <references count="2">
          <reference field="3" count="1" selected="0">
            <x v="3"/>
          </reference>
          <reference field="7" count="1" selected="0">
            <x v="3"/>
          </reference>
        </references>
      </pivotArea>
    </chartFormat>
    <chartFormat chart="21" format="102" series="1">
      <pivotArea type="data" outline="0" fieldPosition="0">
        <references count="2">
          <reference field="3" count="1" selected="0">
            <x v="3"/>
          </reference>
          <reference field="7" count="1" selected="0">
            <x v="4"/>
          </reference>
        </references>
      </pivotArea>
    </chartFormat>
    <chartFormat chart="21" format="103" series="1">
      <pivotArea type="data" outline="0" fieldPosition="0">
        <references count="1">
          <reference field="7" count="1" selected="0">
            <x v="5"/>
          </reference>
        </references>
      </pivotArea>
    </chartFormat>
    <chartFormat chart="20" format="98" series="1">
      <pivotArea type="data" outline="0" fieldPosition="0">
        <references count="2">
          <reference field="3" count="1" selected="0">
            <x v="3"/>
          </reference>
          <reference field="7" count="1" selected="0">
            <x v="0"/>
          </reference>
        </references>
      </pivotArea>
    </chartFormat>
    <chartFormat chart="20" format="99" series="1">
      <pivotArea type="data" outline="0" fieldPosition="0">
        <references count="2">
          <reference field="3" count="1" selected="0">
            <x v="3"/>
          </reference>
          <reference field="7" count="1" selected="0">
            <x v="1"/>
          </reference>
        </references>
      </pivotArea>
    </chartFormat>
    <chartFormat chart="20" format="100" series="1">
      <pivotArea type="data" outline="0" fieldPosition="0">
        <references count="2">
          <reference field="3" count="1" selected="0">
            <x v="0"/>
          </reference>
          <reference field="7" count="1" selected="0">
            <x v="2"/>
          </reference>
        </references>
      </pivotArea>
    </chartFormat>
    <chartFormat chart="20" format="101" series="1">
      <pivotArea type="data" outline="0" fieldPosition="0">
        <references count="2">
          <reference field="3" count="1" selected="0">
            <x v="1"/>
          </reference>
          <reference field="7" count="1" selected="0">
            <x v="2"/>
          </reference>
        </references>
      </pivotArea>
    </chartFormat>
    <chartFormat chart="20" format="102" series="1">
      <pivotArea type="data" outline="0" fieldPosition="0">
        <references count="2">
          <reference field="3" count="1" selected="0">
            <x v="2"/>
          </reference>
          <reference field="7" count="1" selected="0">
            <x v="2"/>
          </reference>
        </references>
      </pivotArea>
    </chartFormat>
    <chartFormat chart="20" format="103" series="1">
      <pivotArea type="data" outline="0" fieldPosition="0">
        <references count="2">
          <reference field="3" count="1" selected="0">
            <x v="4"/>
          </reference>
          <reference field="7" count="1" selected="0">
            <x v="2"/>
          </reference>
        </references>
      </pivotArea>
    </chartFormat>
    <chartFormat chart="20" format="104" series="1">
      <pivotArea type="data" outline="0" fieldPosition="0">
        <references count="2">
          <reference field="3" count="1" selected="0">
            <x v="3"/>
          </reference>
          <reference field="7" count="1" selected="0">
            <x v="3"/>
          </reference>
        </references>
      </pivotArea>
    </chartFormat>
    <chartFormat chart="20" format="105" series="1">
      <pivotArea type="data" outline="0" fieldPosition="0">
        <references count="2">
          <reference field="3" count="1" selected="0">
            <x v="3"/>
          </reference>
          <reference field="7" count="1" selected="0">
            <x v="4"/>
          </reference>
        </references>
      </pivotArea>
    </chartFormat>
    <chartFormat chart="20" format="106" series="1">
      <pivotArea type="data" outline="0" fieldPosition="0">
        <references count="1">
          <reference field="7" count="1" selected="0">
            <x v="5"/>
          </reference>
        </references>
      </pivotArea>
    </chartFormat>
    <chartFormat chart="20" format="107" series="1">
      <pivotArea type="data" outline="0" fieldPosition="0">
        <references count="3">
          <reference field="4294967294" count="1" selected="0">
            <x v="0"/>
          </reference>
          <reference field="3" count="1" selected="0">
            <x v="3"/>
          </reference>
          <reference field="7" count="1" selected="0">
            <x v="0"/>
          </reference>
        </references>
      </pivotArea>
    </chartFormat>
    <chartFormat chart="20" format="108" series="1">
      <pivotArea type="data" outline="0" fieldPosition="0">
        <references count="3">
          <reference field="4294967294" count="1" selected="0">
            <x v="0"/>
          </reference>
          <reference field="3" count="1" selected="0">
            <x v="3"/>
          </reference>
          <reference field="7" count="1" selected="0">
            <x v="1"/>
          </reference>
        </references>
      </pivotArea>
    </chartFormat>
    <chartFormat chart="20" format="109" series="1">
      <pivotArea type="data" outline="0" fieldPosition="0">
        <references count="3">
          <reference field="4294967294" count="1" selected="0">
            <x v="0"/>
          </reference>
          <reference field="3" count="1" selected="0">
            <x v="0"/>
          </reference>
          <reference field="7" count="1" selected="0">
            <x v="2"/>
          </reference>
        </references>
      </pivotArea>
    </chartFormat>
    <chartFormat chart="20" format="110" series="1">
      <pivotArea type="data" outline="0" fieldPosition="0">
        <references count="3">
          <reference field="4294967294" count="1" selected="0">
            <x v="0"/>
          </reference>
          <reference field="3" count="1" selected="0">
            <x v="1"/>
          </reference>
          <reference field="7" count="1" selected="0">
            <x v="2"/>
          </reference>
        </references>
      </pivotArea>
    </chartFormat>
    <chartFormat chart="20" format="111" series="1">
      <pivotArea type="data" outline="0" fieldPosition="0">
        <references count="3">
          <reference field="4294967294" count="1" selected="0">
            <x v="0"/>
          </reference>
          <reference field="3" count="1" selected="0">
            <x v="2"/>
          </reference>
          <reference field="7" count="1" selected="0">
            <x v="2"/>
          </reference>
        </references>
      </pivotArea>
    </chartFormat>
    <chartFormat chart="20" format="112" series="1">
      <pivotArea type="data" outline="0" fieldPosition="0">
        <references count="3">
          <reference field="4294967294" count="1" selected="0">
            <x v="0"/>
          </reference>
          <reference field="3" count="1" selected="0">
            <x v="4"/>
          </reference>
          <reference field="7" count="1" selected="0">
            <x v="2"/>
          </reference>
        </references>
      </pivotArea>
    </chartFormat>
    <chartFormat chart="20" format="113" series="1">
      <pivotArea type="data" outline="0" fieldPosition="0">
        <references count="3">
          <reference field="4294967294" count="1" selected="0">
            <x v="0"/>
          </reference>
          <reference field="3" count="1" selected="0">
            <x v="3"/>
          </reference>
          <reference field="7" count="1" selected="0">
            <x v="3"/>
          </reference>
        </references>
      </pivotArea>
    </chartFormat>
    <chartFormat chart="20" format="114" series="1">
      <pivotArea type="data" outline="0" fieldPosition="0">
        <references count="3">
          <reference field="4294967294" count="1" selected="0">
            <x v="0"/>
          </reference>
          <reference field="3" count="1" selected="0">
            <x v="3"/>
          </reference>
          <reference field="7" count="1" selected="0">
            <x v="4"/>
          </reference>
        </references>
      </pivotArea>
    </chartFormat>
    <chartFormat chart="20" format="115" series="1">
      <pivotArea type="data" outline="0" fieldPosition="0">
        <references count="2">
          <reference field="4294967294" count="1" selected="0">
            <x v="0"/>
          </reference>
          <reference field="7" count="1" selected="0">
            <x v="5"/>
          </reference>
        </references>
      </pivotArea>
    </chartFormat>
    <chartFormat chart="22" format="0" series="1">
      <pivotArea type="data" outline="0" fieldPosition="0">
        <references count="3">
          <reference field="4294967294" count="1" selected="0">
            <x v="0"/>
          </reference>
          <reference field="3" count="1" selected="0">
            <x v="3"/>
          </reference>
          <reference field="7" count="1" selected="0">
            <x v="0"/>
          </reference>
        </references>
      </pivotArea>
    </chartFormat>
    <chartFormat chart="22" format="1" series="1">
      <pivotArea type="data" outline="0" fieldPosition="0">
        <references count="3">
          <reference field="4294967294" count="1" selected="0">
            <x v="0"/>
          </reference>
          <reference field="3" count="1" selected="0">
            <x v="3"/>
          </reference>
          <reference field="7" count="1" selected="0">
            <x v="1"/>
          </reference>
        </references>
      </pivotArea>
    </chartFormat>
    <chartFormat chart="22" format="2" series="1">
      <pivotArea type="data" outline="0" fieldPosition="0">
        <references count="3">
          <reference field="4294967294" count="1" selected="0">
            <x v="0"/>
          </reference>
          <reference field="3" count="1" selected="0">
            <x v="3"/>
          </reference>
          <reference field="7" count="1" selected="0">
            <x v="3"/>
          </reference>
        </references>
      </pivotArea>
    </chartFormat>
    <chartFormat chart="22" format="3" series="1">
      <pivotArea type="data" outline="0" fieldPosition="0">
        <references count="3">
          <reference field="4294967294" count="1" selected="0">
            <x v="0"/>
          </reference>
          <reference field="3" count="1" selected="0">
            <x v="3"/>
          </reference>
          <reference field="7" count="1" selected="0">
            <x v="4"/>
          </reference>
        </references>
      </pivotArea>
    </chartFormat>
    <chartFormat chart="22" format="4" series="1">
      <pivotArea type="data" outline="0" fieldPosition="0">
        <references count="2">
          <reference field="4294967294" count="1" selected="0">
            <x v="0"/>
          </reference>
          <reference field="7" count="1" selected="0">
            <x v="5"/>
          </reference>
        </references>
      </pivotArea>
    </chartFormat>
    <chartFormat chart="21" format="104" series="1">
      <pivotArea type="data" outline="0" fieldPosition="0">
        <references count="3">
          <reference field="4294967294" count="1" selected="0">
            <x v="0"/>
          </reference>
          <reference field="3" count="1" selected="0">
            <x v="3"/>
          </reference>
          <reference field="7" count="1" selected="0">
            <x v="0"/>
          </reference>
        </references>
      </pivotArea>
    </chartFormat>
    <chartFormat chart="21" format="105" series="1">
      <pivotArea type="data" outline="0" fieldPosition="0">
        <references count="3">
          <reference field="4294967294" count="1" selected="0">
            <x v="0"/>
          </reference>
          <reference field="3" count="1" selected="0">
            <x v="3"/>
          </reference>
          <reference field="7" count="1" selected="0">
            <x v="1"/>
          </reference>
        </references>
      </pivotArea>
    </chartFormat>
    <chartFormat chart="21" format="106" series="1">
      <pivotArea type="data" outline="0" fieldPosition="0">
        <references count="3">
          <reference field="4294967294" count="1" selected="0">
            <x v="0"/>
          </reference>
          <reference field="3" count="1" selected="0">
            <x v="3"/>
          </reference>
          <reference field="7" count="1" selected="0">
            <x v="3"/>
          </reference>
        </references>
      </pivotArea>
    </chartFormat>
    <chartFormat chart="21" format="107" series="1">
      <pivotArea type="data" outline="0" fieldPosition="0">
        <references count="3">
          <reference field="4294967294" count="1" selected="0">
            <x v="0"/>
          </reference>
          <reference field="3" count="1" selected="0">
            <x v="3"/>
          </reference>
          <reference field="7" count="1" selected="0">
            <x v="4"/>
          </reference>
        </references>
      </pivotArea>
    </chartFormat>
    <chartFormat chart="21" format="108" series="1">
      <pivotArea type="data" outline="0" fieldPosition="0">
        <references count="2">
          <reference field="4294967294" count="1" selected="0">
            <x v="0"/>
          </reference>
          <reference field="7" count="1" selected="0">
            <x v="5"/>
          </reference>
        </references>
      </pivotArea>
    </chartFormat>
    <chartFormat chart="23" format="116" series="1">
      <pivotArea type="data" outline="0" fieldPosition="0">
        <references count="3">
          <reference field="4294967294" count="1" selected="0">
            <x v="0"/>
          </reference>
          <reference field="3" count="1" selected="0">
            <x v="3"/>
          </reference>
          <reference field="7" count="1" selected="0">
            <x v="0"/>
          </reference>
        </references>
      </pivotArea>
    </chartFormat>
    <chartFormat chart="23" format="117" series="1">
      <pivotArea type="data" outline="0" fieldPosition="0">
        <references count="3">
          <reference field="4294967294" count="1" selected="0">
            <x v="0"/>
          </reference>
          <reference field="3" count="1" selected="0">
            <x v="3"/>
          </reference>
          <reference field="7" count="1" selected="0">
            <x v="1"/>
          </reference>
        </references>
      </pivotArea>
    </chartFormat>
    <chartFormat chart="23" format="118" series="1">
      <pivotArea type="data" outline="0" fieldPosition="0">
        <references count="3">
          <reference field="4294967294" count="1" selected="0">
            <x v="0"/>
          </reference>
          <reference field="3" count="1" selected="0">
            <x v="3"/>
          </reference>
          <reference field="7" count="1" selected="0">
            <x v="3"/>
          </reference>
        </references>
      </pivotArea>
    </chartFormat>
    <chartFormat chart="23" format="119" series="1">
      <pivotArea type="data" outline="0" fieldPosition="0">
        <references count="3">
          <reference field="4294967294" count="1" selected="0">
            <x v="0"/>
          </reference>
          <reference field="3" count="1" selected="0">
            <x v="3"/>
          </reference>
          <reference field="7" count="1" selected="0">
            <x v="4"/>
          </reference>
        </references>
      </pivotArea>
    </chartFormat>
    <chartFormat chart="23" format="120" series="1">
      <pivotArea type="data" outline="0" fieldPosition="0">
        <references count="2">
          <reference field="4294967294" count="1" selected="0">
            <x v="0"/>
          </reference>
          <reference field="7" count="1" selected="0">
            <x v="5"/>
          </reference>
        </references>
      </pivotArea>
    </chartFormat>
    <chartFormat chart="24" format="121" series="1">
      <pivotArea type="data" outline="0" fieldPosition="0">
        <references count="3">
          <reference field="4294967294" count="1" selected="0">
            <x v="0"/>
          </reference>
          <reference field="3" count="1" selected="0">
            <x v="3"/>
          </reference>
          <reference field="7" count="1" selected="0">
            <x v="0"/>
          </reference>
        </references>
      </pivotArea>
    </chartFormat>
    <chartFormat chart="24" format="122" series="1">
      <pivotArea type="data" outline="0" fieldPosition="0">
        <references count="3">
          <reference field="4294967294" count="1" selected="0">
            <x v="0"/>
          </reference>
          <reference field="3" count="1" selected="0">
            <x v="3"/>
          </reference>
          <reference field="7" count="1" selected="0">
            <x v="1"/>
          </reference>
        </references>
      </pivotArea>
    </chartFormat>
    <chartFormat chart="24" format="123" series="1">
      <pivotArea type="data" outline="0" fieldPosition="0">
        <references count="3">
          <reference field="4294967294" count="1" selected="0">
            <x v="0"/>
          </reference>
          <reference field="3" count="1" selected="0">
            <x v="3"/>
          </reference>
          <reference field="7" count="1" selected="0">
            <x v="3"/>
          </reference>
        </references>
      </pivotArea>
    </chartFormat>
    <chartFormat chart="24" format="124" series="1">
      <pivotArea type="data" outline="0" fieldPosition="0">
        <references count="3">
          <reference field="4294967294" count="1" selected="0">
            <x v="0"/>
          </reference>
          <reference field="3" count="1" selected="0">
            <x v="3"/>
          </reference>
          <reference field="7" count="1" selected="0">
            <x v="4"/>
          </reference>
        </references>
      </pivotArea>
    </chartFormat>
    <chartFormat chart="24" format="125" series="1">
      <pivotArea type="data" outline="0" fieldPosition="0">
        <references count="2">
          <reference field="4294967294" count="1" selected="0">
            <x v="0"/>
          </reference>
          <reference field="7" count="1" selected="0">
            <x v="5"/>
          </reference>
        </references>
      </pivotArea>
    </chartFormat>
    <chartFormat chart="25" format="121" series="1">
      <pivotArea type="data" outline="0" fieldPosition="0">
        <references count="3">
          <reference field="4294967294" count="1" selected="0">
            <x v="0"/>
          </reference>
          <reference field="3" count="1" selected="0">
            <x v="3"/>
          </reference>
          <reference field="7" count="1" selected="0">
            <x v="0"/>
          </reference>
        </references>
      </pivotArea>
    </chartFormat>
    <chartFormat chart="25" format="122" series="1">
      <pivotArea type="data" outline="0" fieldPosition="0">
        <references count="3">
          <reference field="4294967294" count="1" selected="0">
            <x v="0"/>
          </reference>
          <reference field="3" count="1" selected="0">
            <x v="3"/>
          </reference>
          <reference field="7" count="1" selected="0">
            <x v="1"/>
          </reference>
        </references>
      </pivotArea>
    </chartFormat>
    <chartFormat chart="25" format="123" series="1">
      <pivotArea type="data" outline="0" fieldPosition="0">
        <references count="3">
          <reference field="4294967294" count="1" selected="0">
            <x v="0"/>
          </reference>
          <reference field="3" count="1" selected="0">
            <x v="3"/>
          </reference>
          <reference field="7" count="1" selected="0">
            <x v="3"/>
          </reference>
        </references>
      </pivotArea>
    </chartFormat>
    <chartFormat chart="25" format="124" series="1">
      <pivotArea type="data" outline="0" fieldPosition="0">
        <references count="3">
          <reference field="4294967294" count="1" selected="0">
            <x v="0"/>
          </reference>
          <reference field="3" count="1" selected="0">
            <x v="3"/>
          </reference>
          <reference field="7" count="1" selected="0">
            <x v="4"/>
          </reference>
        </references>
      </pivotArea>
    </chartFormat>
    <chartFormat chart="25" format="125" series="1">
      <pivotArea type="data" outline="0" fieldPosition="0">
        <references count="2">
          <reference field="4294967294" count="1" selected="0">
            <x v="0"/>
          </reference>
          <reference field="7" count="1" selected="0">
            <x v="5"/>
          </reference>
        </references>
      </pivotArea>
    </chartFormat>
    <chartFormat chart="25" format="126" series="1">
      <pivotArea type="data" outline="0" fieldPosition="0">
        <references count="2">
          <reference field="4294967294" count="1" selected="0">
            <x v="0"/>
          </reference>
          <reference field="7" count="1" selected="0">
            <x v="4"/>
          </reference>
        </references>
      </pivotArea>
    </chartFormat>
    <chartFormat chart="25" format="12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7BDD42E-0A09-47DE-A594-EDA4856E7AF1}" sourceName="Location">
  <pivotTables>
    <pivotTable tabId="2" name="PivotTable4"/>
    <pivotTable tabId="2" name="PivotTable1"/>
    <pivotTable tabId="2" name="PivotTable11"/>
    <pivotTable tabId="2" name="PivotTable3"/>
    <pivotTable tabId="2" name="PivotTable5"/>
    <pivotTable tabId="2" name="PivotTable6"/>
    <pivotTable tabId="2" name="PivotTable7"/>
  </pivotTables>
  <data>
    <tabular pivotCacheId="1645861371">
      <items count="8">
        <i x="7"/>
        <i x="6" s="1"/>
        <i x="5" s="1"/>
        <i x="3" s="1"/>
        <i x="2" s="1"/>
        <i x="1" s="1"/>
        <i x="4"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Time" xr10:uid="{8BF79B45-86BD-4270-AE0D-F24C68D311B1}" sourceName="Date_Time">
  <pivotTables>
    <pivotTable tabId="2" name="PivotTable7"/>
    <pivotTable tabId="2" name="PivotTable1"/>
    <pivotTable tabId="2" name="PivotTable11"/>
    <pivotTable tabId="2" name="PivotTable3"/>
    <pivotTable tabId="2" name="PivotTable4"/>
    <pivotTable tabId="2" name="PivotTable5"/>
    <pivotTable tabId="2" name="PivotTable6"/>
  </pivotTables>
  <data>
    <tabular pivotCacheId="164586137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der_Type" xr10:uid="{0F73D9C0-EE15-4052-B8F2-6CA608A05F6D}" sourceName="Sender_Type">
  <pivotTables>
    <pivotTable tabId="2" name="PivotTable1"/>
    <pivotTable tabId="2" name="PivotTable11"/>
    <pivotTable tabId="2" name="PivotTable3"/>
    <pivotTable tabId="2" name="PivotTable4"/>
    <pivotTable tabId="2" name="PivotTable5"/>
    <pivotTable tabId="2" name="PivotTable6"/>
    <pivotTable tabId="2" name="PivotTable7"/>
  </pivotTables>
  <data>
    <tabular pivotCacheId="164586137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41EFB6F-C6D3-4057-AC77-F2380D54D251}" cache="Slicer_Location" caption="Location" style="SlicerStyleLight1 2" rowHeight="241300"/>
  <slicer name="Date_Time" xr10:uid="{CEBFE3D1-15E4-441F-934A-141D61A00D57}" cache="Slicer_Date_Time" caption="Date_Time" style="SlicerStyleLight1 2" rowHeight="241300"/>
  <slicer name="Sender_Type" xr10:uid="{8D21CDE9-6FD2-4A7D-9118-C4BB8694AFB2}" cache="Slicer_Sender_Type" caption="Sender_Type"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kash_data" displayName="Bkash_data" ref="A1:K5001" totalsRowShown="0">
  <autoFilter ref="A1:K5001" xr:uid="{00000000-0009-0000-0100-000001000000}"/>
  <tableColumns count="11">
    <tableColumn id="1" xr3:uid="{00000000-0010-0000-0000-000001000000}" name="Transaction_ID"/>
    <tableColumn id="2" xr3:uid="{00000000-0010-0000-0000-000002000000}" name="Date_Time" dataDxfId="295"/>
    <tableColumn id="3" xr3:uid="{00000000-0010-0000-0000-000003000000}" name="Location" dataDxfId="294"/>
    <tableColumn id="4" xr3:uid="{00000000-0010-0000-0000-000004000000}" name="Type"/>
    <tableColumn id="5" xr3:uid="{00000000-0010-0000-0000-000005000000}" name="Amount"/>
    <tableColumn id="6" xr3:uid="{00000000-0010-0000-0000-000006000000}" name="Sender_Type"/>
    <tableColumn id="7" xr3:uid="{00000000-0010-0000-0000-000007000000}" name="Customer_Tenure"/>
    <tableColumn id="8" xr3:uid="{00000000-0010-0000-0000-000008000000}" name="Merchant_Category"/>
    <tableColumn id="9" xr3:uid="{00000000-0010-0000-0000-000009000000}" name="Service_Charge"/>
    <tableColumn id="10" xr3:uid="{00000000-0010-0000-0000-00000A000000}" name="Commission_Earned"/>
    <tableColumn id="11" xr3:uid="{00000000-0010-0000-0000-00000B000000}" name="Net_Revenu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C15"/>
  <sheetViews>
    <sheetView tabSelected="1" topLeftCell="S1" workbookViewId="0">
      <selection activeCell="Z24" sqref="Z24"/>
    </sheetView>
  </sheetViews>
  <sheetFormatPr defaultRowHeight="15" x14ac:dyDescent="0.25"/>
  <cols>
    <col min="1" max="1" width="22.42578125" bestFit="1" customWidth="1"/>
    <col min="2" max="2" width="14.85546875" bestFit="1" customWidth="1"/>
    <col min="3" max="3" width="21.5703125" bestFit="1" customWidth="1"/>
    <col min="4" max="4" width="26.140625" bestFit="1" customWidth="1"/>
    <col min="5" max="5" width="20" bestFit="1" customWidth="1"/>
    <col min="7" max="7" width="16" bestFit="1" customWidth="1"/>
    <col min="8" max="8" width="20" bestFit="1" customWidth="1"/>
    <col min="10" max="10" width="10.7109375" bestFit="1" customWidth="1"/>
    <col min="11" max="12" width="20" bestFit="1" customWidth="1"/>
    <col min="13" max="13" width="20" customWidth="1"/>
    <col min="14" max="14" width="14.85546875" bestFit="1" customWidth="1"/>
    <col min="15" max="15" width="20" bestFit="1" customWidth="1"/>
    <col min="17" max="17" width="19.28515625" bestFit="1" customWidth="1"/>
    <col min="18" max="18" width="20" bestFit="1" customWidth="1"/>
    <col min="20" max="20" width="12.85546875" bestFit="1" customWidth="1"/>
    <col min="21" max="21" width="14.85546875" bestFit="1" customWidth="1"/>
    <col min="22" max="22" width="20" bestFit="1" customWidth="1"/>
    <col min="23" max="23" width="9.7109375" bestFit="1" customWidth="1"/>
    <col min="24" max="24" width="21.5703125" bestFit="1" customWidth="1"/>
    <col min="25" max="33" width="21" bestFit="1" customWidth="1"/>
    <col min="34" max="42" width="21.5703125" bestFit="1" customWidth="1"/>
    <col min="43" max="96" width="26.140625" bestFit="1" customWidth="1"/>
  </cols>
  <sheetData>
    <row r="3" spans="1:29" x14ac:dyDescent="0.25">
      <c r="A3" t="s">
        <v>5042</v>
      </c>
      <c r="B3" t="s">
        <v>5046</v>
      </c>
      <c r="C3" t="s">
        <v>5043</v>
      </c>
      <c r="D3" t="s">
        <v>5044</v>
      </c>
      <c r="E3" t="s">
        <v>5045</v>
      </c>
      <c r="G3" s="4" t="s">
        <v>3</v>
      </c>
      <c r="H3" t="s">
        <v>5045</v>
      </c>
      <c r="J3" s="4" t="s">
        <v>2</v>
      </c>
      <c r="K3" t="s">
        <v>5045</v>
      </c>
      <c r="N3" s="4" t="s">
        <v>5</v>
      </c>
      <c r="O3" t="s">
        <v>5045</v>
      </c>
      <c r="Q3" s="4" t="s">
        <v>6</v>
      </c>
      <c r="R3" t="s">
        <v>5045</v>
      </c>
      <c r="T3" s="4" t="s">
        <v>1</v>
      </c>
      <c r="U3" t="s">
        <v>5046</v>
      </c>
      <c r="V3" t="s">
        <v>5045</v>
      </c>
      <c r="X3" s="4" t="s">
        <v>5043</v>
      </c>
      <c r="Y3" s="4" t="s">
        <v>7</v>
      </c>
      <c r="Z3" s="4" t="s">
        <v>3</v>
      </c>
    </row>
    <row r="4" spans="1:29" x14ac:dyDescent="0.25">
      <c r="A4" s="2">
        <v>3781</v>
      </c>
      <c r="B4" s="2">
        <v>267748781</v>
      </c>
      <c r="C4" s="2">
        <v>2277932.6500000008</v>
      </c>
      <c r="D4" s="2">
        <v>680444.80000000051</v>
      </c>
      <c r="E4" s="2">
        <v>1597487.8499999999</v>
      </c>
      <c r="G4" t="s">
        <v>23</v>
      </c>
      <c r="H4" s="5">
        <v>0</v>
      </c>
      <c r="J4" t="s">
        <v>26</v>
      </c>
      <c r="K4" s="5">
        <v>309400.8000000001</v>
      </c>
      <c r="L4" s="5">
        <f>IFERROR(GETPIVOTDATA("Net_Revenue",$J$3,"Location",J4),"")</f>
        <v>309400.8000000001</v>
      </c>
      <c r="M4" s="5"/>
      <c r="N4" t="s">
        <v>50</v>
      </c>
      <c r="O4" s="5">
        <v>254259.53000000003</v>
      </c>
      <c r="Q4" t="s">
        <v>34</v>
      </c>
      <c r="R4" s="5">
        <v>324416.04000000004</v>
      </c>
      <c r="T4" s="1" t="s">
        <v>5050</v>
      </c>
      <c r="U4" s="5">
        <v>22312838</v>
      </c>
      <c r="V4" s="5">
        <v>129404.54000000005</v>
      </c>
      <c r="Y4" t="s">
        <v>178</v>
      </c>
      <c r="Z4" t="s">
        <v>46</v>
      </c>
      <c r="AA4" t="s">
        <v>56</v>
      </c>
      <c r="AB4" t="s">
        <v>59</v>
      </c>
      <c r="AC4" t="s">
        <v>71</v>
      </c>
    </row>
    <row r="5" spans="1:29" x14ac:dyDescent="0.25">
      <c r="G5" t="s">
        <v>33</v>
      </c>
      <c r="H5" s="5">
        <v>0</v>
      </c>
      <c r="J5" t="s">
        <v>22</v>
      </c>
      <c r="K5" s="5">
        <v>268616.79000000004</v>
      </c>
      <c r="L5" s="5">
        <f t="shared" ref="L5:L11" si="0">IFERROR(GETPIVOTDATA("Net_Revenue",$J$3,"Location",J5),"")</f>
        <v>268616.79000000004</v>
      </c>
      <c r="M5" s="5"/>
      <c r="N5" t="s">
        <v>99</v>
      </c>
      <c r="O5" s="5">
        <v>76261.26999999999</v>
      </c>
      <c r="Q5" t="s">
        <v>30</v>
      </c>
      <c r="R5" s="5">
        <v>153409.89000000001</v>
      </c>
      <c r="T5" s="1" t="s">
        <v>5051</v>
      </c>
      <c r="U5" s="5">
        <v>20462893</v>
      </c>
      <c r="V5" s="5">
        <v>115459.90999999996</v>
      </c>
      <c r="X5" s="4" t="s">
        <v>5</v>
      </c>
      <c r="Y5" t="s">
        <v>45</v>
      </c>
      <c r="Z5" t="s">
        <v>45</v>
      </c>
      <c r="AA5" t="s">
        <v>45</v>
      </c>
      <c r="AB5" t="s">
        <v>45</v>
      </c>
      <c r="AC5" t="s">
        <v>45</v>
      </c>
    </row>
    <row r="6" spans="1:29" x14ac:dyDescent="0.25">
      <c r="A6">
        <f>GETPIVOTDATA("Count of Transaction_ID",$A$3)</f>
        <v>3781</v>
      </c>
      <c r="B6" s="3">
        <f>GETPIVOTDATA("Sum of Amount",$A$3)</f>
        <v>267748781</v>
      </c>
      <c r="C6" s="3">
        <f>GETPIVOTDATA("Sum of Service_Charge",$A$3)</f>
        <v>2277932.6500000008</v>
      </c>
      <c r="D6" s="3">
        <f>GETPIVOTDATA("Sum of Commission_Earned",$A$3)</f>
        <v>680444.80000000051</v>
      </c>
      <c r="E6" s="3">
        <f>GETPIVOTDATA("Sum of Net_Revenue",$A$3)</f>
        <v>1597487.8499999999</v>
      </c>
      <c r="G6" t="s">
        <v>19</v>
      </c>
      <c r="H6" s="5">
        <v>3955</v>
      </c>
      <c r="J6" t="s">
        <v>18</v>
      </c>
      <c r="K6" s="5">
        <v>264229.94999999995</v>
      </c>
      <c r="L6" s="5">
        <f t="shared" si="0"/>
        <v>264229.94999999995</v>
      </c>
      <c r="M6" s="5"/>
      <c r="N6" t="s">
        <v>14</v>
      </c>
      <c r="O6" s="5">
        <v>1266967.0500000017</v>
      </c>
      <c r="Q6" t="s">
        <v>15</v>
      </c>
      <c r="R6" s="5">
        <v>180882.14999999988</v>
      </c>
      <c r="T6" s="1" t="s">
        <v>5052</v>
      </c>
      <c r="U6" s="5">
        <v>24441928</v>
      </c>
      <c r="V6" s="5">
        <v>138368.52000000002</v>
      </c>
      <c r="X6" t="s">
        <v>50</v>
      </c>
      <c r="Y6" s="5">
        <v>13604.52</v>
      </c>
      <c r="Z6" s="5">
        <v>14205.64</v>
      </c>
      <c r="AA6" s="5">
        <v>17932.240000000002</v>
      </c>
      <c r="AB6" s="5">
        <v>7878.99</v>
      </c>
      <c r="AC6" s="5">
        <v>16730.039999999997</v>
      </c>
    </row>
    <row r="7" spans="1:29" x14ac:dyDescent="0.25">
      <c r="G7" t="s">
        <v>45</v>
      </c>
      <c r="H7" s="5">
        <v>572865.64999999944</v>
      </c>
      <c r="J7" t="s">
        <v>39</v>
      </c>
      <c r="K7" s="5">
        <v>261914.88999999998</v>
      </c>
      <c r="L7" s="5">
        <f t="shared" si="0"/>
        <v>261914.88999999998</v>
      </c>
      <c r="M7" s="5"/>
      <c r="Q7" t="s">
        <v>58</v>
      </c>
      <c r="R7" s="5">
        <v>129559.03999999996</v>
      </c>
      <c r="T7" s="1" t="s">
        <v>5047</v>
      </c>
      <c r="U7" s="5">
        <v>24314276</v>
      </c>
      <c r="V7" s="5">
        <v>143141.20000000004</v>
      </c>
      <c r="X7" t="s">
        <v>99</v>
      </c>
      <c r="Y7" s="5">
        <v>7815.2199999999993</v>
      </c>
      <c r="Z7" s="5">
        <v>6469.7199999999993</v>
      </c>
      <c r="AA7" s="5">
        <v>5810.9800000000014</v>
      </c>
      <c r="AB7" s="5">
        <v>2011.82</v>
      </c>
      <c r="AC7" s="5">
        <v>2153.1800000000003</v>
      </c>
    </row>
    <row r="8" spans="1:29" x14ac:dyDescent="0.25">
      <c r="G8" t="s">
        <v>13</v>
      </c>
      <c r="H8" s="5">
        <v>1020667.1999999997</v>
      </c>
      <c r="J8" t="s">
        <v>29</v>
      </c>
      <c r="K8" s="5">
        <v>252670.56999999992</v>
      </c>
      <c r="L8" s="5">
        <f t="shared" si="0"/>
        <v>252670.56999999992</v>
      </c>
      <c r="M8" s="5"/>
      <c r="Q8" t="s">
        <v>84</v>
      </c>
      <c r="R8" s="5">
        <v>142658.50999999998</v>
      </c>
      <c r="T8" s="1" t="s">
        <v>5048</v>
      </c>
      <c r="U8" s="5">
        <v>22382404</v>
      </c>
      <c r="V8" s="5">
        <v>145626.70000000004</v>
      </c>
      <c r="X8" t="s">
        <v>14</v>
      </c>
      <c r="Y8" s="5">
        <v>99124.329999999987</v>
      </c>
      <c r="Z8" s="5">
        <v>89260.489999999976</v>
      </c>
      <c r="AA8" s="5">
        <v>110085.78999999996</v>
      </c>
      <c r="AB8" s="5">
        <v>92176.07</v>
      </c>
      <c r="AC8" s="5">
        <v>87606.620000000024</v>
      </c>
    </row>
    <row r="9" spans="1:29" x14ac:dyDescent="0.25">
      <c r="J9" t="s">
        <v>32</v>
      </c>
      <c r="K9" s="5">
        <v>240654.85</v>
      </c>
      <c r="L9" s="5">
        <f t="shared" si="0"/>
        <v>240654.85</v>
      </c>
      <c r="M9" s="5"/>
      <c r="Q9" t="s">
        <v>51</v>
      </c>
      <c r="R9" s="5">
        <v>150548.89000000004</v>
      </c>
      <c r="T9" s="1" t="s">
        <v>5049</v>
      </c>
      <c r="U9" s="5">
        <v>21735629</v>
      </c>
      <c r="V9" s="5">
        <v>139225.69</v>
      </c>
    </row>
    <row r="10" spans="1:29" x14ac:dyDescent="0.25">
      <c r="L10" s="5" t="str">
        <f t="shared" si="0"/>
        <v/>
      </c>
      <c r="M10" s="5"/>
      <c r="Q10" t="s">
        <v>27</v>
      </c>
      <c r="R10" s="5">
        <v>177903.78000000009</v>
      </c>
      <c r="T10" s="1" t="s">
        <v>5053</v>
      </c>
      <c r="U10" s="5">
        <v>20863329</v>
      </c>
      <c r="V10" s="5">
        <v>126700.58999999994</v>
      </c>
    </row>
    <row r="11" spans="1:29" x14ac:dyDescent="0.25">
      <c r="L11" s="5" t="str">
        <f t="shared" si="0"/>
        <v/>
      </c>
      <c r="M11" s="5"/>
      <c r="Q11" t="s">
        <v>20</v>
      </c>
      <c r="R11" s="5">
        <v>166820.19000000003</v>
      </c>
      <c r="T11" s="1" t="s">
        <v>5054</v>
      </c>
      <c r="U11" s="5">
        <v>23504548</v>
      </c>
      <c r="V11" s="5">
        <v>143284.80000000002</v>
      </c>
    </row>
    <row r="12" spans="1:29" x14ac:dyDescent="0.25">
      <c r="Q12" t="s">
        <v>24</v>
      </c>
      <c r="R12" s="5">
        <v>171289.36</v>
      </c>
      <c r="T12" s="1" t="s">
        <v>5055</v>
      </c>
      <c r="U12" s="5">
        <v>21764621</v>
      </c>
      <c r="V12" s="5">
        <v>114819.07999999999</v>
      </c>
    </row>
    <row r="13" spans="1:29" x14ac:dyDescent="0.25">
      <c r="T13" s="1" t="s">
        <v>5056</v>
      </c>
      <c r="U13" s="5">
        <v>22480377</v>
      </c>
      <c r="V13" s="5">
        <v>131772.79999999999</v>
      </c>
    </row>
    <row r="14" spans="1:29" x14ac:dyDescent="0.25">
      <c r="R14" s="5"/>
      <c r="T14" s="1" t="s">
        <v>5057</v>
      </c>
      <c r="U14" s="5">
        <v>23326144</v>
      </c>
      <c r="V14" s="5">
        <v>139920.76</v>
      </c>
    </row>
    <row r="15" spans="1:29" x14ac:dyDescent="0.25">
      <c r="T15" s="1" t="s">
        <v>5058</v>
      </c>
      <c r="U15" s="5">
        <v>20159794</v>
      </c>
      <c r="V15" s="5">
        <v>129763.26000000004</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86" zoomScaleNormal="86" workbookViewId="0">
      <selection activeCell="Z12" sqref="Z1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01"/>
  <sheetViews>
    <sheetView workbookViewId="0">
      <selection activeCell="H32" sqref="H32"/>
    </sheetView>
  </sheetViews>
  <sheetFormatPr defaultRowHeight="15" x14ac:dyDescent="0.25"/>
  <cols>
    <col min="1" max="1" width="16.140625" customWidth="1"/>
    <col min="2" max="2" width="15.85546875" bestFit="1" customWidth="1"/>
    <col min="3" max="3" width="10.5703125" style="2" bestFit="1" customWidth="1"/>
    <col min="4" max="4" width="16" bestFit="1" customWidth="1"/>
    <col min="5" max="5" width="10.28515625" customWidth="1"/>
    <col min="6" max="6" width="14.7109375" customWidth="1"/>
    <col min="7" max="7" width="19" customWidth="1"/>
    <col min="8" max="8" width="20.5703125" customWidth="1"/>
    <col min="9" max="9" width="16.7109375" customWidth="1"/>
    <col min="10" max="10" width="21.140625" customWidth="1"/>
    <col min="11" max="11" width="15.28515625" customWidth="1"/>
  </cols>
  <sheetData>
    <row r="1" spans="1:11" x14ac:dyDescent="0.25">
      <c r="A1" t="s">
        <v>0</v>
      </c>
      <c r="B1" t="s">
        <v>1</v>
      </c>
      <c r="C1" s="2" t="s">
        <v>2</v>
      </c>
      <c r="D1" t="s">
        <v>3</v>
      </c>
      <c r="E1" t="s">
        <v>4</v>
      </c>
      <c r="F1" t="s">
        <v>5</v>
      </c>
      <c r="G1" t="s">
        <v>6</v>
      </c>
      <c r="H1" t="s">
        <v>7</v>
      </c>
      <c r="I1" t="s">
        <v>8</v>
      </c>
      <c r="J1" t="s">
        <v>9</v>
      </c>
      <c r="K1" t="s">
        <v>10</v>
      </c>
    </row>
    <row r="2" spans="1:11" x14ac:dyDescent="0.25">
      <c r="A2" t="s">
        <v>11</v>
      </c>
      <c r="B2" s="1">
        <v>45918.450289351851</v>
      </c>
      <c r="C2" s="2" t="s">
        <v>12</v>
      </c>
      <c r="D2" t="s">
        <v>13</v>
      </c>
      <c r="E2">
        <v>127500</v>
      </c>
      <c r="F2" t="s">
        <v>14</v>
      </c>
      <c r="G2" t="s">
        <v>15</v>
      </c>
      <c r="H2" t="s">
        <v>16</v>
      </c>
      <c r="I2">
        <v>2358.75</v>
      </c>
      <c r="J2">
        <v>943.5</v>
      </c>
      <c r="K2">
        <v>1415.25</v>
      </c>
    </row>
    <row r="3" spans="1:11" x14ac:dyDescent="0.25">
      <c r="A3" t="s">
        <v>17</v>
      </c>
      <c r="B3" s="1">
        <v>45968.747581018521</v>
      </c>
      <c r="C3" s="2" t="s">
        <v>18</v>
      </c>
      <c r="D3" t="s">
        <v>19</v>
      </c>
      <c r="E3">
        <v>84557</v>
      </c>
      <c r="F3" t="s">
        <v>14</v>
      </c>
      <c r="G3" t="s">
        <v>20</v>
      </c>
      <c r="H3" t="s">
        <v>16</v>
      </c>
      <c r="I3">
        <v>5</v>
      </c>
      <c r="J3">
        <v>0</v>
      </c>
      <c r="K3">
        <v>5</v>
      </c>
    </row>
    <row r="4" spans="1:11" x14ac:dyDescent="0.25">
      <c r="A4" t="s">
        <v>21</v>
      </c>
      <c r="B4" s="1">
        <v>45969.578055555554</v>
      </c>
      <c r="C4" s="2" t="s">
        <v>22</v>
      </c>
      <c r="D4" t="s">
        <v>23</v>
      </c>
      <c r="E4">
        <v>2864</v>
      </c>
      <c r="F4" t="s">
        <v>14</v>
      </c>
      <c r="G4" t="s">
        <v>24</v>
      </c>
      <c r="H4" t="s">
        <v>16</v>
      </c>
      <c r="I4">
        <v>0</v>
      </c>
      <c r="J4">
        <v>0</v>
      </c>
      <c r="K4">
        <v>0</v>
      </c>
    </row>
    <row r="5" spans="1:11" x14ac:dyDescent="0.25">
      <c r="A5" t="s">
        <v>25</v>
      </c>
      <c r="B5" s="1">
        <v>45981.590011574073</v>
      </c>
      <c r="C5" s="2" t="s">
        <v>26</v>
      </c>
      <c r="D5" t="s">
        <v>13</v>
      </c>
      <c r="E5">
        <v>153000</v>
      </c>
      <c r="F5" t="s">
        <v>14</v>
      </c>
      <c r="G5" t="s">
        <v>27</v>
      </c>
      <c r="H5" t="s">
        <v>16</v>
      </c>
      <c r="I5">
        <v>2830.5</v>
      </c>
      <c r="J5">
        <v>1132.2</v>
      </c>
      <c r="K5">
        <v>1698.3</v>
      </c>
    </row>
    <row r="6" spans="1:11" x14ac:dyDescent="0.25">
      <c r="A6" t="s">
        <v>28</v>
      </c>
      <c r="B6" s="1">
        <v>45921.983773148146</v>
      </c>
      <c r="C6" s="2" t="s">
        <v>29</v>
      </c>
      <c r="D6" t="s">
        <v>19</v>
      </c>
      <c r="E6">
        <v>20881</v>
      </c>
      <c r="F6" t="s">
        <v>14</v>
      </c>
      <c r="G6" t="s">
        <v>30</v>
      </c>
      <c r="H6" t="s">
        <v>16</v>
      </c>
      <c r="I6">
        <v>5</v>
      </c>
      <c r="J6">
        <v>0</v>
      </c>
      <c r="K6">
        <v>5</v>
      </c>
    </row>
    <row r="7" spans="1:11" x14ac:dyDescent="0.25">
      <c r="A7" t="s">
        <v>31</v>
      </c>
      <c r="B7" s="1">
        <v>46028.526365740741</v>
      </c>
      <c r="C7" s="2" t="s">
        <v>32</v>
      </c>
      <c r="D7" t="s">
        <v>33</v>
      </c>
      <c r="E7">
        <v>32978</v>
      </c>
      <c r="F7" t="s">
        <v>14</v>
      </c>
      <c r="G7" t="s">
        <v>34</v>
      </c>
      <c r="H7" t="s">
        <v>16</v>
      </c>
      <c r="I7">
        <v>0</v>
      </c>
      <c r="J7">
        <v>0</v>
      </c>
      <c r="K7">
        <v>0</v>
      </c>
    </row>
    <row r="8" spans="1:11" x14ac:dyDescent="0.25">
      <c r="A8" t="s">
        <v>35</v>
      </c>
      <c r="B8" s="1">
        <v>46136.393379629626</v>
      </c>
      <c r="C8" s="2" t="s">
        <v>22</v>
      </c>
      <c r="D8" t="s">
        <v>33</v>
      </c>
      <c r="E8">
        <v>77015</v>
      </c>
      <c r="F8" t="s">
        <v>14</v>
      </c>
      <c r="G8" t="s">
        <v>27</v>
      </c>
      <c r="H8" t="s">
        <v>16</v>
      </c>
      <c r="I8">
        <v>0</v>
      </c>
      <c r="J8">
        <v>0</v>
      </c>
      <c r="K8">
        <v>0</v>
      </c>
    </row>
    <row r="9" spans="1:11" x14ac:dyDescent="0.25">
      <c r="A9" t="s">
        <v>36</v>
      </c>
      <c r="B9" s="1">
        <v>45793.272696759261</v>
      </c>
      <c r="C9" s="2" t="s">
        <v>22</v>
      </c>
      <c r="D9" t="s">
        <v>13</v>
      </c>
      <c r="E9">
        <v>134500</v>
      </c>
      <c r="F9" t="s">
        <v>14</v>
      </c>
      <c r="G9" t="s">
        <v>34</v>
      </c>
      <c r="H9" t="s">
        <v>16</v>
      </c>
      <c r="I9">
        <v>2488.25</v>
      </c>
      <c r="J9">
        <v>995.3</v>
      </c>
      <c r="K9">
        <v>1492.95</v>
      </c>
    </row>
    <row r="10" spans="1:11" x14ac:dyDescent="0.25">
      <c r="A10" t="s">
        <v>37</v>
      </c>
      <c r="B10" s="1">
        <v>45836.244710648149</v>
      </c>
      <c r="C10" s="2" t="s">
        <v>22</v>
      </c>
      <c r="D10" t="s">
        <v>13</v>
      </c>
      <c r="E10">
        <v>220500</v>
      </c>
      <c r="F10" t="s">
        <v>14</v>
      </c>
      <c r="G10" t="s">
        <v>15</v>
      </c>
      <c r="H10" t="s">
        <v>16</v>
      </c>
      <c r="I10">
        <v>4079.25</v>
      </c>
      <c r="J10">
        <v>1631.7</v>
      </c>
      <c r="K10">
        <v>2447.5500000000002</v>
      </c>
    </row>
    <row r="11" spans="1:11" x14ac:dyDescent="0.25">
      <c r="A11" t="s">
        <v>38</v>
      </c>
      <c r="B11" s="1">
        <v>45905.369930555556</v>
      </c>
      <c r="C11" s="2" t="s">
        <v>39</v>
      </c>
      <c r="D11" t="s">
        <v>33</v>
      </c>
      <c r="E11">
        <v>135485</v>
      </c>
      <c r="F11" t="s">
        <v>14</v>
      </c>
      <c r="G11" t="s">
        <v>30</v>
      </c>
      <c r="H11" t="s">
        <v>16</v>
      </c>
      <c r="I11">
        <v>0</v>
      </c>
      <c r="J11">
        <v>0</v>
      </c>
      <c r="K11">
        <v>0</v>
      </c>
    </row>
    <row r="12" spans="1:11" x14ac:dyDescent="0.25">
      <c r="A12" t="s">
        <v>40</v>
      </c>
      <c r="B12" s="1">
        <v>46008.867326388892</v>
      </c>
      <c r="C12" s="2" t="s">
        <v>41</v>
      </c>
      <c r="D12" t="s">
        <v>33</v>
      </c>
      <c r="E12">
        <v>124337</v>
      </c>
      <c r="F12" t="s">
        <v>14</v>
      </c>
      <c r="G12" t="s">
        <v>34</v>
      </c>
      <c r="H12" t="s">
        <v>16</v>
      </c>
      <c r="I12">
        <v>0</v>
      </c>
      <c r="J12">
        <v>0</v>
      </c>
      <c r="K12">
        <v>0</v>
      </c>
    </row>
    <row r="13" spans="1:11" x14ac:dyDescent="0.25">
      <c r="A13" t="s">
        <v>42</v>
      </c>
      <c r="B13" s="1">
        <v>46032.988125000003</v>
      </c>
      <c r="C13" s="2" t="s">
        <v>22</v>
      </c>
      <c r="D13" t="s">
        <v>23</v>
      </c>
      <c r="E13">
        <v>4436</v>
      </c>
      <c r="F13" t="s">
        <v>14</v>
      </c>
      <c r="G13" t="s">
        <v>27</v>
      </c>
      <c r="H13" t="s">
        <v>16</v>
      </c>
      <c r="I13">
        <v>0</v>
      </c>
      <c r="J13">
        <v>0</v>
      </c>
      <c r="K13">
        <v>0</v>
      </c>
    </row>
    <row r="14" spans="1:11" x14ac:dyDescent="0.25">
      <c r="A14" t="s">
        <v>43</v>
      </c>
      <c r="B14" s="1">
        <v>46105.310254629629</v>
      </c>
      <c r="C14" s="2" t="s">
        <v>41</v>
      </c>
      <c r="D14" t="s">
        <v>23</v>
      </c>
      <c r="E14">
        <v>272</v>
      </c>
      <c r="F14" t="s">
        <v>14</v>
      </c>
      <c r="G14" t="s">
        <v>20</v>
      </c>
      <c r="H14" t="s">
        <v>16</v>
      </c>
      <c r="I14">
        <v>0</v>
      </c>
      <c r="J14">
        <v>0</v>
      </c>
      <c r="K14">
        <v>0</v>
      </c>
    </row>
    <row r="15" spans="1:11" x14ac:dyDescent="0.25">
      <c r="A15" t="s">
        <v>44</v>
      </c>
      <c r="B15" s="1">
        <v>45814.732164351852</v>
      </c>
      <c r="C15" s="2" t="s">
        <v>39</v>
      </c>
      <c r="D15" t="s">
        <v>45</v>
      </c>
      <c r="E15">
        <v>21273</v>
      </c>
      <c r="F15" t="s">
        <v>14</v>
      </c>
      <c r="G15" t="s">
        <v>15</v>
      </c>
      <c r="H15" t="s">
        <v>46</v>
      </c>
      <c r="I15">
        <v>212.73</v>
      </c>
      <c r="J15">
        <v>0</v>
      </c>
      <c r="K15">
        <v>212.73</v>
      </c>
    </row>
    <row r="16" spans="1:11" x14ac:dyDescent="0.25">
      <c r="A16" t="s">
        <v>47</v>
      </c>
      <c r="B16" s="1">
        <v>45941.389432870368</v>
      </c>
      <c r="C16" s="2" t="s">
        <v>18</v>
      </c>
      <c r="D16" t="s">
        <v>33</v>
      </c>
      <c r="E16">
        <v>51837</v>
      </c>
      <c r="F16" t="s">
        <v>14</v>
      </c>
      <c r="G16" t="s">
        <v>30</v>
      </c>
      <c r="H16" t="s">
        <v>16</v>
      </c>
      <c r="I16">
        <v>0</v>
      </c>
      <c r="J16">
        <v>0</v>
      </c>
      <c r="K16">
        <v>0</v>
      </c>
    </row>
    <row r="17" spans="1:11" x14ac:dyDescent="0.25">
      <c r="A17" t="s">
        <v>48</v>
      </c>
      <c r="B17" s="1">
        <v>45991.048611111109</v>
      </c>
      <c r="C17" s="2" t="s">
        <v>32</v>
      </c>
      <c r="D17" t="s">
        <v>19</v>
      </c>
      <c r="E17">
        <v>37773</v>
      </c>
      <c r="F17" t="s">
        <v>14</v>
      </c>
      <c r="G17" t="s">
        <v>34</v>
      </c>
      <c r="H17" t="s">
        <v>16</v>
      </c>
      <c r="I17">
        <v>5</v>
      </c>
      <c r="J17">
        <v>0</v>
      </c>
      <c r="K17">
        <v>5</v>
      </c>
    </row>
    <row r="18" spans="1:11" x14ac:dyDescent="0.25">
      <c r="A18" t="s">
        <v>49</v>
      </c>
      <c r="B18" s="1">
        <v>46068.610381944447</v>
      </c>
      <c r="C18" s="2" t="s">
        <v>18</v>
      </c>
      <c r="D18" t="s">
        <v>13</v>
      </c>
      <c r="E18">
        <v>245000</v>
      </c>
      <c r="F18" t="s">
        <v>50</v>
      </c>
      <c r="G18" t="s">
        <v>51</v>
      </c>
      <c r="H18" t="s">
        <v>16</v>
      </c>
      <c r="I18">
        <v>4532.5</v>
      </c>
      <c r="J18">
        <v>1813</v>
      </c>
      <c r="K18">
        <v>2719.5</v>
      </c>
    </row>
    <row r="19" spans="1:11" x14ac:dyDescent="0.25">
      <c r="A19" t="s">
        <v>52</v>
      </c>
      <c r="B19" s="1">
        <v>45814.889594907407</v>
      </c>
      <c r="C19" s="2" t="s">
        <v>41</v>
      </c>
      <c r="D19" t="s">
        <v>23</v>
      </c>
      <c r="E19">
        <v>2802</v>
      </c>
      <c r="F19" t="s">
        <v>14</v>
      </c>
      <c r="G19" t="s">
        <v>51</v>
      </c>
      <c r="H19" t="s">
        <v>16</v>
      </c>
      <c r="I19">
        <v>0</v>
      </c>
      <c r="J19">
        <v>0</v>
      </c>
      <c r="K19">
        <v>0</v>
      </c>
    </row>
    <row r="20" spans="1:11" x14ac:dyDescent="0.25">
      <c r="A20" t="s">
        <v>53</v>
      </c>
      <c r="B20" s="1">
        <v>46112.021851851852</v>
      </c>
      <c r="C20" s="2" t="s">
        <v>29</v>
      </c>
      <c r="D20" t="s">
        <v>23</v>
      </c>
      <c r="E20">
        <v>4218</v>
      </c>
      <c r="F20" t="s">
        <v>14</v>
      </c>
      <c r="G20" t="s">
        <v>34</v>
      </c>
      <c r="H20" t="s">
        <v>16</v>
      </c>
      <c r="I20">
        <v>0</v>
      </c>
      <c r="J20">
        <v>0</v>
      </c>
      <c r="K20">
        <v>0</v>
      </c>
    </row>
    <row r="21" spans="1:11" x14ac:dyDescent="0.25">
      <c r="A21" t="s">
        <v>54</v>
      </c>
      <c r="B21" s="1">
        <v>46036.12090277778</v>
      </c>
      <c r="C21" s="2" t="s">
        <v>18</v>
      </c>
      <c r="D21" t="s">
        <v>13</v>
      </c>
      <c r="E21">
        <v>192500</v>
      </c>
      <c r="F21" t="s">
        <v>50</v>
      </c>
      <c r="G21" t="s">
        <v>34</v>
      </c>
      <c r="H21" t="s">
        <v>16</v>
      </c>
      <c r="I21">
        <v>3561.25</v>
      </c>
      <c r="J21">
        <v>1424.5</v>
      </c>
      <c r="K21">
        <v>2136.75</v>
      </c>
    </row>
    <row r="22" spans="1:11" x14ac:dyDescent="0.25">
      <c r="A22" t="s">
        <v>55</v>
      </c>
      <c r="B22" s="1">
        <v>45975.708460648151</v>
      </c>
      <c r="C22" s="2" t="s">
        <v>29</v>
      </c>
      <c r="D22" t="s">
        <v>45</v>
      </c>
      <c r="E22">
        <v>63265</v>
      </c>
      <c r="F22" t="s">
        <v>14</v>
      </c>
      <c r="G22" t="s">
        <v>30</v>
      </c>
      <c r="H22" t="s">
        <v>56</v>
      </c>
      <c r="I22">
        <v>632.65</v>
      </c>
      <c r="J22">
        <v>0</v>
      </c>
      <c r="K22">
        <v>632.65</v>
      </c>
    </row>
    <row r="23" spans="1:11" x14ac:dyDescent="0.25">
      <c r="A23" t="s">
        <v>57</v>
      </c>
      <c r="B23" s="1">
        <v>46095.45648148148</v>
      </c>
      <c r="C23" s="2" t="s">
        <v>18</v>
      </c>
      <c r="D23" t="s">
        <v>45</v>
      </c>
      <c r="E23">
        <v>26099</v>
      </c>
      <c r="F23" t="s">
        <v>14</v>
      </c>
      <c r="G23" t="s">
        <v>58</v>
      </c>
      <c r="H23" t="s">
        <v>59</v>
      </c>
      <c r="I23">
        <v>260.99</v>
      </c>
      <c r="J23">
        <v>0</v>
      </c>
      <c r="K23">
        <v>260.99</v>
      </c>
    </row>
    <row r="24" spans="1:11" x14ac:dyDescent="0.25">
      <c r="A24" t="s">
        <v>60</v>
      </c>
      <c r="B24" s="1">
        <v>45845.730821759258</v>
      </c>
      <c r="C24" s="2" t="s">
        <v>12</v>
      </c>
      <c r="D24" t="s">
        <v>13</v>
      </c>
      <c r="E24">
        <v>57500</v>
      </c>
      <c r="F24" t="s">
        <v>14</v>
      </c>
      <c r="G24" t="s">
        <v>24</v>
      </c>
      <c r="H24" t="s">
        <v>16</v>
      </c>
      <c r="I24">
        <v>1063.75</v>
      </c>
      <c r="J24">
        <v>425.5</v>
      </c>
      <c r="K24">
        <v>638.25</v>
      </c>
    </row>
    <row r="25" spans="1:11" x14ac:dyDescent="0.25">
      <c r="A25" t="s">
        <v>61</v>
      </c>
      <c r="B25" s="1">
        <v>45869.145057870373</v>
      </c>
      <c r="C25" s="2" t="s">
        <v>29</v>
      </c>
      <c r="D25" t="s">
        <v>23</v>
      </c>
      <c r="E25">
        <v>2770</v>
      </c>
      <c r="F25" t="s">
        <v>50</v>
      </c>
      <c r="G25" t="s">
        <v>34</v>
      </c>
      <c r="H25" t="s">
        <v>16</v>
      </c>
      <c r="I25">
        <v>0</v>
      </c>
      <c r="J25">
        <v>0</v>
      </c>
      <c r="K25">
        <v>0</v>
      </c>
    </row>
    <row r="26" spans="1:11" x14ac:dyDescent="0.25">
      <c r="A26" t="s">
        <v>62</v>
      </c>
      <c r="B26" s="1">
        <v>45818.42046296296</v>
      </c>
      <c r="C26" s="2" t="s">
        <v>12</v>
      </c>
      <c r="D26" t="s">
        <v>33</v>
      </c>
      <c r="E26">
        <v>58174</v>
      </c>
      <c r="F26" t="s">
        <v>14</v>
      </c>
      <c r="G26" t="s">
        <v>34</v>
      </c>
      <c r="H26" t="s">
        <v>16</v>
      </c>
      <c r="I26">
        <v>0</v>
      </c>
      <c r="J26">
        <v>0</v>
      </c>
      <c r="K26">
        <v>0</v>
      </c>
    </row>
    <row r="27" spans="1:11" x14ac:dyDescent="0.25">
      <c r="A27" t="s">
        <v>63</v>
      </c>
      <c r="B27" s="1">
        <v>45973.998333333337</v>
      </c>
      <c r="C27" s="2" t="s">
        <v>26</v>
      </c>
      <c r="D27" t="s">
        <v>23</v>
      </c>
      <c r="E27">
        <v>1991</v>
      </c>
      <c r="F27" t="s">
        <v>14</v>
      </c>
      <c r="G27" t="s">
        <v>30</v>
      </c>
      <c r="H27" t="s">
        <v>16</v>
      </c>
      <c r="I27">
        <v>0</v>
      </c>
      <c r="J27">
        <v>0</v>
      </c>
      <c r="K27">
        <v>0</v>
      </c>
    </row>
    <row r="28" spans="1:11" x14ac:dyDescent="0.25">
      <c r="A28" t="s">
        <v>64</v>
      </c>
      <c r="B28" s="1">
        <v>45888.829629629632</v>
      </c>
      <c r="C28" s="2" t="s">
        <v>18</v>
      </c>
      <c r="D28" t="s">
        <v>33</v>
      </c>
      <c r="E28">
        <v>73602</v>
      </c>
      <c r="F28" t="s">
        <v>14</v>
      </c>
      <c r="G28" t="s">
        <v>27</v>
      </c>
      <c r="H28" t="s">
        <v>16</v>
      </c>
      <c r="I28">
        <v>0</v>
      </c>
      <c r="J28">
        <v>0</v>
      </c>
      <c r="K28">
        <v>0</v>
      </c>
    </row>
    <row r="29" spans="1:11" x14ac:dyDescent="0.25">
      <c r="A29" t="s">
        <v>65</v>
      </c>
      <c r="B29" s="1">
        <v>45993.2034375</v>
      </c>
      <c r="C29" s="2" t="s">
        <v>29</v>
      </c>
      <c r="D29" t="s">
        <v>19</v>
      </c>
      <c r="E29">
        <v>78449</v>
      </c>
      <c r="F29" t="s">
        <v>14</v>
      </c>
      <c r="G29" t="s">
        <v>34</v>
      </c>
      <c r="H29" t="s">
        <v>16</v>
      </c>
      <c r="I29">
        <v>5</v>
      </c>
      <c r="J29">
        <v>0</v>
      </c>
      <c r="K29">
        <v>5</v>
      </c>
    </row>
    <row r="30" spans="1:11" x14ac:dyDescent="0.25">
      <c r="A30" t="s">
        <v>66</v>
      </c>
      <c r="B30" s="1">
        <v>45962.883587962962</v>
      </c>
      <c r="C30" s="2" t="s">
        <v>39</v>
      </c>
      <c r="D30" t="s">
        <v>23</v>
      </c>
      <c r="E30">
        <v>3372</v>
      </c>
      <c r="F30" t="s">
        <v>14</v>
      </c>
      <c r="G30" t="s">
        <v>34</v>
      </c>
      <c r="H30" t="s">
        <v>16</v>
      </c>
      <c r="I30">
        <v>0</v>
      </c>
      <c r="J30">
        <v>0</v>
      </c>
      <c r="K30">
        <v>0</v>
      </c>
    </row>
    <row r="31" spans="1:11" x14ac:dyDescent="0.25">
      <c r="A31" t="s">
        <v>67</v>
      </c>
      <c r="B31" s="1">
        <v>46115.546886574077</v>
      </c>
      <c r="C31" s="2" t="s">
        <v>22</v>
      </c>
      <c r="D31" t="s">
        <v>33</v>
      </c>
      <c r="E31">
        <v>75778</v>
      </c>
      <c r="F31" t="s">
        <v>14</v>
      </c>
      <c r="G31" t="s">
        <v>30</v>
      </c>
      <c r="H31" t="s">
        <v>16</v>
      </c>
      <c r="I31">
        <v>0</v>
      </c>
      <c r="J31">
        <v>0</v>
      </c>
      <c r="K31">
        <v>0</v>
      </c>
    </row>
    <row r="32" spans="1:11" x14ac:dyDescent="0.25">
      <c r="A32" t="s">
        <v>68</v>
      </c>
      <c r="B32" s="1">
        <v>45945.259895833333</v>
      </c>
      <c r="C32" s="2" t="s">
        <v>12</v>
      </c>
      <c r="D32" t="s">
        <v>23</v>
      </c>
      <c r="E32">
        <v>2988</v>
      </c>
      <c r="F32" t="s">
        <v>50</v>
      </c>
      <c r="G32" t="s">
        <v>34</v>
      </c>
      <c r="H32" t="s">
        <v>16</v>
      </c>
      <c r="I32">
        <v>0</v>
      </c>
      <c r="J32">
        <v>0</v>
      </c>
      <c r="K32">
        <v>0</v>
      </c>
    </row>
    <row r="33" spans="1:11" x14ac:dyDescent="0.25">
      <c r="A33" t="s">
        <v>69</v>
      </c>
      <c r="B33" s="1">
        <v>46130.755150462966</v>
      </c>
      <c r="C33" s="2" t="s">
        <v>29</v>
      </c>
      <c r="D33" t="s">
        <v>19</v>
      </c>
      <c r="E33">
        <v>112481</v>
      </c>
      <c r="F33" t="s">
        <v>14</v>
      </c>
      <c r="G33" t="s">
        <v>24</v>
      </c>
      <c r="H33" t="s">
        <v>16</v>
      </c>
      <c r="I33">
        <v>5</v>
      </c>
      <c r="J33">
        <v>0</v>
      </c>
      <c r="K33">
        <v>5</v>
      </c>
    </row>
    <row r="34" spans="1:11" x14ac:dyDescent="0.25">
      <c r="A34" t="s">
        <v>70</v>
      </c>
      <c r="B34" s="1">
        <v>46103.818715277775</v>
      </c>
      <c r="C34" s="2" t="s">
        <v>18</v>
      </c>
      <c r="D34" t="s">
        <v>45</v>
      </c>
      <c r="E34">
        <v>47276</v>
      </c>
      <c r="F34" t="s">
        <v>14</v>
      </c>
      <c r="G34" t="s">
        <v>34</v>
      </c>
      <c r="H34" t="s">
        <v>71</v>
      </c>
      <c r="I34">
        <v>472.76</v>
      </c>
      <c r="J34">
        <v>0</v>
      </c>
      <c r="K34">
        <v>472.76</v>
      </c>
    </row>
    <row r="35" spans="1:11" x14ac:dyDescent="0.25">
      <c r="A35" t="s">
        <v>72</v>
      </c>
      <c r="B35" s="1">
        <v>46094.578993055555</v>
      </c>
      <c r="C35" s="2" t="s">
        <v>22</v>
      </c>
      <c r="D35" t="s">
        <v>33</v>
      </c>
      <c r="E35">
        <v>19909</v>
      </c>
      <c r="F35" t="s">
        <v>14</v>
      </c>
      <c r="G35" t="s">
        <v>24</v>
      </c>
      <c r="H35" t="s">
        <v>16</v>
      </c>
      <c r="I35">
        <v>0</v>
      </c>
      <c r="J35">
        <v>0</v>
      </c>
      <c r="K35">
        <v>0</v>
      </c>
    </row>
    <row r="36" spans="1:11" x14ac:dyDescent="0.25">
      <c r="A36" t="s">
        <v>73</v>
      </c>
      <c r="B36" s="1">
        <v>45817.91133101852</v>
      </c>
      <c r="C36" s="2" t="s">
        <v>32</v>
      </c>
      <c r="D36" t="s">
        <v>23</v>
      </c>
      <c r="E36">
        <v>2270</v>
      </c>
      <c r="F36" t="s">
        <v>14</v>
      </c>
      <c r="G36" t="s">
        <v>34</v>
      </c>
      <c r="H36" t="s">
        <v>16</v>
      </c>
      <c r="I36">
        <v>0</v>
      </c>
      <c r="J36">
        <v>0</v>
      </c>
      <c r="K36">
        <v>0</v>
      </c>
    </row>
    <row r="37" spans="1:11" x14ac:dyDescent="0.25">
      <c r="A37" t="s">
        <v>74</v>
      </c>
      <c r="B37" s="1">
        <v>46019.794733796298</v>
      </c>
      <c r="C37" s="2" t="s">
        <v>29</v>
      </c>
      <c r="D37" t="s">
        <v>33</v>
      </c>
      <c r="E37">
        <v>102408</v>
      </c>
      <c r="F37" t="s">
        <v>14</v>
      </c>
      <c r="G37" t="s">
        <v>34</v>
      </c>
      <c r="H37" t="s">
        <v>16</v>
      </c>
      <c r="I37">
        <v>0</v>
      </c>
      <c r="J37">
        <v>0</v>
      </c>
      <c r="K37">
        <v>0</v>
      </c>
    </row>
    <row r="38" spans="1:11" x14ac:dyDescent="0.25">
      <c r="A38" t="s">
        <v>75</v>
      </c>
      <c r="B38" s="1">
        <v>46034.831724537034</v>
      </c>
      <c r="C38" s="2" t="s">
        <v>41</v>
      </c>
      <c r="D38" t="s">
        <v>23</v>
      </c>
      <c r="E38">
        <v>2461</v>
      </c>
      <c r="F38" t="s">
        <v>50</v>
      </c>
      <c r="G38" t="s">
        <v>30</v>
      </c>
      <c r="H38" t="s">
        <v>16</v>
      </c>
      <c r="I38">
        <v>0</v>
      </c>
      <c r="J38">
        <v>0</v>
      </c>
      <c r="K38">
        <v>0</v>
      </c>
    </row>
    <row r="39" spans="1:11" x14ac:dyDescent="0.25">
      <c r="A39" t="s">
        <v>76</v>
      </c>
      <c r="B39" s="1">
        <v>45969.071921296294</v>
      </c>
      <c r="C39" s="2" t="s">
        <v>22</v>
      </c>
      <c r="D39" t="s">
        <v>23</v>
      </c>
      <c r="E39">
        <v>3423</v>
      </c>
      <c r="F39" t="s">
        <v>14</v>
      </c>
      <c r="G39" t="s">
        <v>27</v>
      </c>
      <c r="H39" t="s">
        <v>16</v>
      </c>
      <c r="I39">
        <v>0</v>
      </c>
      <c r="J39">
        <v>0</v>
      </c>
      <c r="K39">
        <v>0</v>
      </c>
    </row>
    <row r="40" spans="1:11" x14ac:dyDescent="0.25">
      <c r="A40" t="s">
        <v>77</v>
      </c>
      <c r="B40" s="1">
        <v>45879.360034722224</v>
      </c>
      <c r="C40" s="2" t="s">
        <v>26</v>
      </c>
      <c r="D40" t="s">
        <v>23</v>
      </c>
      <c r="E40">
        <v>1511</v>
      </c>
      <c r="F40" t="s">
        <v>14</v>
      </c>
      <c r="G40" t="s">
        <v>24</v>
      </c>
      <c r="H40" t="s">
        <v>16</v>
      </c>
      <c r="I40">
        <v>0</v>
      </c>
      <c r="J40">
        <v>0</v>
      </c>
      <c r="K40">
        <v>0</v>
      </c>
    </row>
    <row r="41" spans="1:11" x14ac:dyDescent="0.25">
      <c r="A41" t="s">
        <v>78</v>
      </c>
      <c r="B41" s="1">
        <v>45886.255949074075</v>
      </c>
      <c r="C41" s="2" t="s">
        <v>41</v>
      </c>
      <c r="D41" t="s">
        <v>13</v>
      </c>
      <c r="E41">
        <v>199500</v>
      </c>
      <c r="F41" t="s">
        <v>14</v>
      </c>
      <c r="G41" t="s">
        <v>20</v>
      </c>
      <c r="H41" t="s">
        <v>16</v>
      </c>
      <c r="I41">
        <v>3690.75</v>
      </c>
      <c r="J41">
        <v>1476.3</v>
      </c>
      <c r="K41">
        <v>2214.4499999999998</v>
      </c>
    </row>
    <row r="42" spans="1:11" x14ac:dyDescent="0.25">
      <c r="A42" t="s">
        <v>79</v>
      </c>
      <c r="B42" s="1">
        <v>45959.597500000003</v>
      </c>
      <c r="C42" s="2" t="s">
        <v>18</v>
      </c>
      <c r="D42" t="s">
        <v>45</v>
      </c>
      <c r="E42">
        <v>101403</v>
      </c>
      <c r="F42" t="s">
        <v>14</v>
      </c>
      <c r="G42" t="s">
        <v>51</v>
      </c>
      <c r="H42" t="s">
        <v>59</v>
      </c>
      <c r="I42">
        <v>1014.03</v>
      </c>
      <c r="J42">
        <v>0</v>
      </c>
      <c r="K42">
        <v>1014.03</v>
      </c>
    </row>
    <row r="43" spans="1:11" x14ac:dyDescent="0.25">
      <c r="A43" t="s">
        <v>80</v>
      </c>
      <c r="B43" s="1">
        <v>45891.046319444446</v>
      </c>
      <c r="C43" s="2" t="s">
        <v>22</v>
      </c>
      <c r="D43" t="s">
        <v>33</v>
      </c>
      <c r="E43">
        <v>74578</v>
      </c>
      <c r="F43" t="s">
        <v>14</v>
      </c>
      <c r="G43" t="s">
        <v>51</v>
      </c>
      <c r="H43" t="s">
        <v>16</v>
      </c>
      <c r="I43">
        <v>0</v>
      </c>
      <c r="J43">
        <v>0</v>
      </c>
      <c r="K43">
        <v>0</v>
      </c>
    </row>
    <row r="44" spans="1:11" x14ac:dyDescent="0.25">
      <c r="A44" t="s">
        <v>81</v>
      </c>
      <c r="B44" s="1">
        <v>45786.648657407408</v>
      </c>
      <c r="C44" s="2" t="s">
        <v>29</v>
      </c>
      <c r="D44" t="s">
        <v>23</v>
      </c>
      <c r="E44">
        <v>4018</v>
      </c>
      <c r="F44" t="s">
        <v>14</v>
      </c>
      <c r="G44" t="s">
        <v>20</v>
      </c>
      <c r="H44" t="s">
        <v>16</v>
      </c>
      <c r="I44">
        <v>0</v>
      </c>
      <c r="J44">
        <v>0</v>
      </c>
      <c r="K44">
        <v>0</v>
      </c>
    </row>
    <row r="45" spans="1:11" x14ac:dyDescent="0.25">
      <c r="A45" t="s">
        <v>82</v>
      </c>
      <c r="B45" s="1">
        <v>45930.370520833334</v>
      </c>
      <c r="C45" s="2" t="s">
        <v>12</v>
      </c>
      <c r="D45" t="s">
        <v>19</v>
      </c>
      <c r="E45">
        <v>77146</v>
      </c>
      <c r="F45" t="s">
        <v>14</v>
      </c>
      <c r="G45" t="s">
        <v>30</v>
      </c>
      <c r="H45" t="s">
        <v>16</v>
      </c>
      <c r="I45">
        <v>5</v>
      </c>
      <c r="J45">
        <v>0</v>
      </c>
      <c r="K45">
        <v>5</v>
      </c>
    </row>
    <row r="46" spans="1:11" x14ac:dyDescent="0.25">
      <c r="A46" t="s">
        <v>83</v>
      </c>
      <c r="B46" s="1">
        <v>46098.777812499997</v>
      </c>
      <c r="C46" s="2" t="s">
        <v>29</v>
      </c>
      <c r="D46" t="s">
        <v>23</v>
      </c>
      <c r="E46">
        <v>3269</v>
      </c>
      <c r="F46" t="s">
        <v>50</v>
      </c>
      <c r="G46" t="s">
        <v>84</v>
      </c>
      <c r="H46" t="s">
        <v>16</v>
      </c>
      <c r="I46">
        <v>0</v>
      </c>
      <c r="J46">
        <v>0</v>
      </c>
      <c r="K46">
        <v>0</v>
      </c>
    </row>
    <row r="47" spans="1:11" x14ac:dyDescent="0.25">
      <c r="A47" t="s">
        <v>85</v>
      </c>
      <c r="B47" s="1">
        <v>45844.744421296295</v>
      </c>
      <c r="C47" s="2" t="s">
        <v>29</v>
      </c>
      <c r="D47" t="s">
        <v>33</v>
      </c>
      <c r="E47">
        <v>42177</v>
      </c>
      <c r="F47" t="s">
        <v>14</v>
      </c>
      <c r="G47" t="s">
        <v>34</v>
      </c>
      <c r="H47" t="s">
        <v>16</v>
      </c>
      <c r="I47">
        <v>0</v>
      </c>
      <c r="J47">
        <v>0</v>
      </c>
      <c r="K47">
        <v>0</v>
      </c>
    </row>
    <row r="48" spans="1:11" x14ac:dyDescent="0.25">
      <c r="A48" t="s">
        <v>86</v>
      </c>
      <c r="B48" s="1">
        <v>45816.359803240739</v>
      </c>
      <c r="C48" s="2" t="s">
        <v>18</v>
      </c>
      <c r="D48" t="s">
        <v>19</v>
      </c>
      <c r="E48">
        <v>57583</v>
      </c>
      <c r="F48" t="s">
        <v>14</v>
      </c>
      <c r="G48" t="s">
        <v>58</v>
      </c>
      <c r="H48" t="s">
        <v>16</v>
      </c>
      <c r="I48">
        <v>5</v>
      </c>
      <c r="J48">
        <v>0</v>
      </c>
      <c r="K48">
        <v>5</v>
      </c>
    </row>
    <row r="49" spans="1:11" x14ac:dyDescent="0.25">
      <c r="A49" t="s">
        <v>87</v>
      </c>
      <c r="B49" s="1">
        <v>46139.001250000001</v>
      </c>
      <c r="C49" s="2" t="s">
        <v>18</v>
      </c>
      <c r="D49" t="s">
        <v>33</v>
      </c>
      <c r="E49">
        <v>6644</v>
      </c>
      <c r="F49" t="s">
        <v>14</v>
      </c>
      <c r="G49" t="s">
        <v>27</v>
      </c>
      <c r="H49" t="s">
        <v>16</v>
      </c>
      <c r="I49">
        <v>0</v>
      </c>
      <c r="J49">
        <v>0</v>
      </c>
      <c r="K49">
        <v>0</v>
      </c>
    </row>
    <row r="50" spans="1:11" x14ac:dyDescent="0.25">
      <c r="A50" t="s">
        <v>88</v>
      </c>
      <c r="B50" s="1">
        <v>45831.422291666669</v>
      </c>
      <c r="C50" s="2" t="s">
        <v>22</v>
      </c>
      <c r="D50" t="s">
        <v>13</v>
      </c>
      <c r="E50">
        <v>86500</v>
      </c>
      <c r="F50" t="s">
        <v>50</v>
      </c>
      <c r="G50" t="s">
        <v>34</v>
      </c>
      <c r="H50" t="s">
        <v>16</v>
      </c>
      <c r="I50">
        <v>1600.25</v>
      </c>
      <c r="J50">
        <v>640.1</v>
      </c>
      <c r="K50">
        <v>960.15</v>
      </c>
    </row>
    <row r="51" spans="1:11" x14ac:dyDescent="0.25">
      <c r="A51" t="s">
        <v>89</v>
      </c>
      <c r="B51" s="1">
        <v>45989.541944444441</v>
      </c>
      <c r="C51" s="2" t="s">
        <v>29</v>
      </c>
      <c r="D51" t="s">
        <v>45</v>
      </c>
      <c r="E51">
        <v>1133</v>
      </c>
      <c r="F51" t="s">
        <v>14</v>
      </c>
      <c r="G51" t="s">
        <v>84</v>
      </c>
      <c r="H51" t="s">
        <v>46</v>
      </c>
      <c r="I51">
        <v>11.33</v>
      </c>
      <c r="J51">
        <v>0</v>
      </c>
      <c r="K51">
        <v>11.33</v>
      </c>
    </row>
    <row r="52" spans="1:11" x14ac:dyDescent="0.25">
      <c r="A52" t="s">
        <v>90</v>
      </c>
      <c r="B52" s="1">
        <v>46066.685717592591</v>
      </c>
      <c r="C52" s="2" t="s">
        <v>26</v>
      </c>
      <c r="D52" t="s">
        <v>19</v>
      </c>
      <c r="E52">
        <v>147663</v>
      </c>
      <c r="F52" t="s">
        <v>14</v>
      </c>
      <c r="G52" t="s">
        <v>24</v>
      </c>
      <c r="H52" t="s">
        <v>16</v>
      </c>
      <c r="I52">
        <v>5</v>
      </c>
      <c r="J52">
        <v>0</v>
      </c>
      <c r="K52">
        <v>5</v>
      </c>
    </row>
    <row r="53" spans="1:11" x14ac:dyDescent="0.25">
      <c r="A53" t="s">
        <v>91</v>
      </c>
      <c r="B53" s="1">
        <v>45919.009027777778</v>
      </c>
      <c r="C53" s="2" t="s">
        <v>22</v>
      </c>
      <c r="D53" t="s">
        <v>45</v>
      </c>
      <c r="E53">
        <v>66137</v>
      </c>
      <c r="F53" t="s">
        <v>14</v>
      </c>
      <c r="G53" t="s">
        <v>58</v>
      </c>
      <c r="H53" t="s">
        <v>71</v>
      </c>
      <c r="I53">
        <v>661.37</v>
      </c>
      <c r="J53">
        <v>0</v>
      </c>
      <c r="K53">
        <v>661.37</v>
      </c>
    </row>
    <row r="54" spans="1:11" x14ac:dyDescent="0.25">
      <c r="A54" t="s">
        <v>92</v>
      </c>
      <c r="B54" s="1">
        <v>45829.277037037034</v>
      </c>
      <c r="C54" s="2" t="s">
        <v>29</v>
      </c>
      <c r="D54" t="s">
        <v>33</v>
      </c>
      <c r="E54">
        <v>111141</v>
      </c>
      <c r="F54" t="s">
        <v>14</v>
      </c>
      <c r="G54" t="s">
        <v>84</v>
      </c>
      <c r="H54" t="s">
        <v>16</v>
      </c>
      <c r="I54">
        <v>0</v>
      </c>
      <c r="J54">
        <v>0</v>
      </c>
      <c r="K54">
        <v>0</v>
      </c>
    </row>
    <row r="55" spans="1:11" x14ac:dyDescent="0.25">
      <c r="A55" t="s">
        <v>93</v>
      </c>
      <c r="B55" s="1">
        <v>45925.022314814814</v>
      </c>
      <c r="C55" s="2" t="s">
        <v>39</v>
      </c>
      <c r="D55" t="s">
        <v>19</v>
      </c>
      <c r="E55">
        <v>79264</v>
      </c>
      <c r="F55" t="s">
        <v>14</v>
      </c>
      <c r="G55" t="s">
        <v>58</v>
      </c>
      <c r="H55" t="s">
        <v>16</v>
      </c>
      <c r="I55">
        <v>5</v>
      </c>
      <c r="J55">
        <v>0</v>
      </c>
      <c r="K55">
        <v>5</v>
      </c>
    </row>
    <row r="56" spans="1:11" x14ac:dyDescent="0.25">
      <c r="A56" t="s">
        <v>94</v>
      </c>
      <c r="B56" s="1">
        <v>45945.048414351855</v>
      </c>
      <c r="C56" s="2" t="s">
        <v>26</v>
      </c>
      <c r="D56" t="s">
        <v>19</v>
      </c>
      <c r="E56">
        <v>20188</v>
      </c>
      <c r="F56" t="s">
        <v>50</v>
      </c>
      <c r="G56" t="s">
        <v>51</v>
      </c>
      <c r="H56" t="s">
        <v>16</v>
      </c>
      <c r="I56">
        <v>5</v>
      </c>
      <c r="J56">
        <v>0</v>
      </c>
      <c r="K56">
        <v>5</v>
      </c>
    </row>
    <row r="57" spans="1:11" x14ac:dyDescent="0.25">
      <c r="A57" t="s">
        <v>95</v>
      </c>
      <c r="B57" s="1">
        <v>45854.279224537036</v>
      </c>
      <c r="C57" s="2" t="s">
        <v>29</v>
      </c>
      <c r="D57" t="s">
        <v>13</v>
      </c>
      <c r="E57">
        <v>188000</v>
      </c>
      <c r="F57" t="s">
        <v>14</v>
      </c>
      <c r="G57" t="s">
        <v>15</v>
      </c>
      <c r="H57" t="s">
        <v>16</v>
      </c>
      <c r="I57">
        <v>3478</v>
      </c>
      <c r="J57">
        <v>1391.2</v>
      </c>
      <c r="K57">
        <v>2086.8000000000002</v>
      </c>
    </row>
    <row r="58" spans="1:11" x14ac:dyDescent="0.25">
      <c r="A58" t="s">
        <v>96</v>
      </c>
      <c r="B58" s="1">
        <v>45849.210798611108</v>
      </c>
      <c r="C58" s="2" t="s">
        <v>12</v>
      </c>
      <c r="D58" t="s">
        <v>19</v>
      </c>
      <c r="E58">
        <v>72143</v>
      </c>
      <c r="F58" t="s">
        <v>14</v>
      </c>
      <c r="G58" t="s">
        <v>34</v>
      </c>
      <c r="H58" t="s">
        <v>16</v>
      </c>
      <c r="I58">
        <v>5</v>
      </c>
      <c r="J58">
        <v>0</v>
      </c>
      <c r="K58">
        <v>5</v>
      </c>
    </row>
    <row r="59" spans="1:11" x14ac:dyDescent="0.25">
      <c r="A59" t="s">
        <v>97</v>
      </c>
      <c r="B59" s="1">
        <v>45887.174687500003</v>
      </c>
      <c r="C59" s="2" t="s">
        <v>26</v>
      </c>
      <c r="D59" t="s">
        <v>23</v>
      </c>
      <c r="E59">
        <v>4146</v>
      </c>
      <c r="F59" t="s">
        <v>14</v>
      </c>
      <c r="G59" t="s">
        <v>34</v>
      </c>
      <c r="H59" t="s">
        <v>16</v>
      </c>
      <c r="I59">
        <v>0</v>
      </c>
      <c r="J59">
        <v>0</v>
      </c>
      <c r="K59">
        <v>0</v>
      </c>
    </row>
    <row r="60" spans="1:11" x14ac:dyDescent="0.25">
      <c r="A60" t="s">
        <v>98</v>
      </c>
      <c r="B60" s="1">
        <v>45913.1640162037</v>
      </c>
      <c r="C60" s="2" t="s">
        <v>18</v>
      </c>
      <c r="D60" t="s">
        <v>23</v>
      </c>
      <c r="E60">
        <v>853</v>
      </c>
      <c r="F60" t="s">
        <v>99</v>
      </c>
      <c r="G60" t="s">
        <v>51</v>
      </c>
      <c r="H60" t="s">
        <v>16</v>
      </c>
      <c r="I60">
        <v>0</v>
      </c>
      <c r="J60">
        <v>0</v>
      </c>
      <c r="K60">
        <v>0</v>
      </c>
    </row>
    <row r="61" spans="1:11" x14ac:dyDescent="0.25">
      <c r="A61" t="s">
        <v>100</v>
      </c>
      <c r="B61" s="1">
        <v>46077.936018518521</v>
      </c>
      <c r="C61" s="2" t="s">
        <v>29</v>
      </c>
      <c r="D61" t="s">
        <v>23</v>
      </c>
      <c r="E61">
        <v>2098</v>
      </c>
      <c r="F61" t="s">
        <v>14</v>
      </c>
      <c r="G61" t="s">
        <v>58</v>
      </c>
      <c r="H61" t="s">
        <v>16</v>
      </c>
      <c r="I61">
        <v>0</v>
      </c>
      <c r="J61">
        <v>0</v>
      </c>
      <c r="K61">
        <v>0</v>
      </c>
    </row>
    <row r="62" spans="1:11" x14ac:dyDescent="0.25">
      <c r="A62" t="s">
        <v>101</v>
      </c>
      <c r="B62" s="1">
        <v>45789.319664351853</v>
      </c>
      <c r="C62" s="2" t="s">
        <v>41</v>
      </c>
      <c r="D62" t="s">
        <v>45</v>
      </c>
      <c r="E62">
        <v>135757</v>
      </c>
      <c r="F62" t="s">
        <v>14</v>
      </c>
      <c r="G62" t="s">
        <v>34</v>
      </c>
      <c r="H62" t="s">
        <v>46</v>
      </c>
      <c r="I62">
        <v>1357.57</v>
      </c>
      <c r="J62">
        <v>0</v>
      </c>
      <c r="K62">
        <v>1357.57</v>
      </c>
    </row>
    <row r="63" spans="1:11" x14ac:dyDescent="0.25">
      <c r="A63" t="s">
        <v>102</v>
      </c>
      <c r="B63" s="1">
        <v>46117.394386574073</v>
      </c>
      <c r="C63" s="2" t="s">
        <v>12</v>
      </c>
      <c r="D63" t="s">
        <v>45</v>
      </c>
      <c r="E63">
        <v>137616</v>
      </c>
      <c r="F63" t="s">
        <v>14</v>
      </c>
      <c r="G63" t="s">
        <v>27</v>
      </c>
      <c r="H63" t="s">
        <v>71</v>
      </c>
      <c r="I63">
        <v>1376.16</v>
      </c>
      <c r="J63">
        <v>0</v>
      </c>
      <c r="K63">
        <v>1376.16</v>
      </c>
    </row>
    <row r="64" spans="1:11" x14ac:dyDescent="0.25">
      <c r="A64" t="s">
        <v>103</v>
      </c>
      <c r="B64" s="1">
        <v>45849.601076388892</v>
      </c>
      <c r="C64" s="2" t="s">
        <v>29</v>
      </c>
      <c r="D64" t="s">
        <v>23</v>
      </c>
      <c r="E64">
        <v>4804</v>
      </c>
      <c r="F64" t="s">
        <v>14</v>
      </c>
      <c r="G64" t="s">
        <v>51</v>
      </c>
      <c r="H64" t="s">
        <v>16</v>
      </c>
      <c r="I64">
        <v>0</v>
      </c>
      <c r="J64">
        <v>0</v>
      </c>
      <c r="K64">
        <v>0</v>
      </c>
    </row>
    <row r="65" spans="1:11" x14ac:dyDescent="0.25">
      <c r="A65" t="s">
        <v>104</v>
      </c>
      <c r="B65" s="1">
        <v>45913.993333333332</v>
      </c>
      <c r="C65" s="2" t="s">
        <v>39</v>
      </c>
      <c r="D65" t="s">
        <v>23</v>
      </c>
      <c r="E65">
        <v>1039</v>
      </c>
      <c r="F65" t="s">
        <v>14</v>
      </c>
      <c r="G65" t="s">
        <v>30</v>
      </c>
      <c r="H65" t="s">
        <v>16</v>
      </c>
      <c r="I65">
        <v>0</v>
      </c>
      <c r="J65">
        <v>0</v>
      </c>
      <c r="K65">
        <v>0</v>
      </c>
    </row>
    <row r="66" spans="1:11" x14ac:dyDescent="0.25">
      <c r="A66" t="s">
        <v>105</v>
      </c>
      <c r="B66" s="1">
        <v>45955.210740740738</v>
      </c>
      <c r="C66" s="2" t="s">
        <v>29</v>
      </c>
      <c r="D66" t="s">
        <v>19</v>
      </c>
      <c r="E66">
        <v>99667</v>
      </c>
      <c r="F66" t="s">
        <v>50</v>
      </c>
      <c r="G66" t="s">
        <v>58</v>
      </c>
      <c r="H66" t="s">
        <v>16</v>
      </c>
      <c r="I66">
        <v>5</v>
      </c>
      <c r="J66">
        <v>0</v>
      </c>
      <c r="K66">
        <v>5</v>
      </c>
    </row>
    <row r="67" spans="1:11" x14ac:dyDescent="0.25">
      <c r="A67" t="s">
        <v>106</v>
      </c>
      <c r="B67" s="1">
        <v>45947.446956018517</v>
      </c>
      <c r="C67" s="2" t="s">
        <v>41</v>
      </c>
      <c r="D67" t="s">
        <v>23</v>
      </c>
      <c r="E67">
        <v>3564</v>
      </c>
      <c r="F67" t="s">
        <v>14</v>
      </c>
      <c r="G67" t="s">
        <v>58</v>
      </c>
      <c r="H67" t="s">
        <v>16</v>
      </c>
      <c r="I67">
        <v>0</v>
      </c>
      <c r="J67">
        <v>0</v>
      </c>
      <c r="K67">
        <v>0</v>
      </c>
    </row>
    <row r="68" spans="1:11" x14ac:dyDescent="0.25">
      <c r="A68" t="s">
        <v>107</v>
      </c>
      <c r="B68" s="1">
        <v>46005.062754629631</v>
      </c>
      <c r="C68" s="2" t="s">
        <v>32</v>
      </c>
      <c r="D68" t="s">
        <v>13</v>
      </c>
      <c r="E68">
        <v>66500</v>
      </c>
      <c r="F68" t="s">
        <v>14</v>
      </c>
      <c r="G68" t="s">
        <v>20</v>
      </c>
      <c r="H68" t="s">
        <v>16</v>
      </c>
      <c r="I68">
        <v>1230.25</v>
      </c>
      <c r="J68">
        <v>492.1</v>
      </c>
      <c r="K68">
        <v>738.15</v>
      </c>
    </row>
    <row r="69" spans="1:11" x14ac:dyDescent="0.25">
      <c r="A69" t="s">
        <v>108</v>
      </c>
      <c r="B69" s="1">
        <v>45816.040497685186</v>
      </c>
      <c r="C69" s="2" t="s">
        <v>18</v>
      </c>
      <c r="D69" t="s">
        <v>45</v>
      </c>
      <c r="E69">
        <v>67442</v>
      </c>
      <c r="F69" t="s">
        <v>14</v>
      </c>
      <c r="G69" t="s">
        <v>34</v>
      </c>
      <c r="H69" t="s">
        <v>46</v>
      </c>
      <c r="I69">
        <v>674.42</v>
      </c>
      <c r="J69">
        <v>0</v>
      </c>
      <c r="K69">
        <v>674.42</v>
      </c>
    </row>
    <row r="70" spans="1:11" x14ac:dyDescent="0.25">
      <c r="A70" t="s">
        <v>109</v>
      </c>
      <c r="B70" s="1">
        <v>45908.12122685185</v>
      </c>
      <c r="C70" s="2" t="s">
        <v>26</v>
      </c>
      <c r="D70" t="s">
        <v>45</v>
      </c>
      <c r="E70">
        <v>72930</v>
      </c>
      <c r="F70" t="s">
        <v>14</v>
      </c>
      <c r="G70" t="s">
        <v>51</v>
      </c>
      <c r="H70" t="s">
        <v>56</v>
      </c>
      <c r="I70">
        <v>729.3</v>
      </c>
      <c r="J70">
        <v>0</v>
      </c>
      <c r="K70">
        <v>729.3</v>
      </c>
    </row>
    <row r="71" spans="1:11" x14ac:dyDescent="0.25">
      <c r="A71" t="s">
        <v>110</v>
      </c>
      <c r="B71" s="1">
        <v>46080.094456018516</v>
      </c>
      <c r="C71" s="2" t="s">
        <v>26</v>
      </c>
      <c r="D71" t="s">
        <v>23</v>
      </c>
      <c r="E71">
        <v>3054</v>
      </c>
      <c r="F71" t="s">
        <v>14</v>
      </c>
      <c r="G71" t="s">
        <v>58</v>
      </c>
      <c r="H71" t="s">
        <v>16</v>
      </c>
      <c r="I71">
        <v>0</v>
      </c>
      <c r="J71">
        <v>0</v>
      </c>
      <c r="K71">
        <v>0</v>
      </c>
    </row>
    <row r="72" spans="1:11" x14ac:dyDescent="0.25">
      <c r="A72" t="s">
        <v>111</v>
      </c>
      <c r="B72" s="1">
        <v>46112.218692129631</v>
      </c>
      <c r="C72" s="2" t="s">
        <v>22</v>
      </c>
      <c r="D72" t="s">
        <v>13</v>
      </c>
      <c r="E72">
        <v>68500</v>
      </c>
      <c r="F72" t="s">
        <v>14</v>
      </c>
      <c r="G72" t="s">
        <v>27</v>
      </c>
      <c r="H72" t="s">
        <v>16</v>
      </c>
      <c r="I72">
        <v>1267.25</v>
      </c>
      <c r="J72">
        <v>506.9</v>
      </c>
      <c r="K72">
        <v>760.35</v>
      </c>
    </row>
    <row r="73" spans="1:11" x14ac:dyDescent="0.25">
      <c r="A73" t="s">
        <v>112</v>
      </c>
      <c r="B73" s="1">
        <v>45987.037407407406</v>
      </c>
      <c r="C73" s="2" t="s">
        <v>32</v>
      </c>
      <c r="D73" t="s">
        <v>19</v>
      </c>
      <c r="E73">
        <v>92854</v>
      </c>
      <c r="F73" t="s">
        <v>14</v>
      </c>
      <c r="G73" t="s">
        <v>15</v>
      </c>
      <c r="H73" t="s">
        <v>16</v>
      </c>
      <c r="I73">
        <v>5</v>
      </c>
      <c r="J73">
        <v>0</v>
      </c>
      <c r="K73">
        <v>5</v>
      </c>
    </row>
    <row r="74" spans="1:11" x14ac:dyDescent="0.25">
      <c r="A74" t="s">
        <v>113</v>
      </c>
      <c r="B74" s="1">
        <v>46064.906585648147</v>
      </c>
      <c r="C74" s="2" t="s">
        <v>39</v>
      </c>
      <c r="D74" t="s">
        <v>23</v>
      </c>
      <c r="E74">
        <v>102</v>
      </c>
      <c r="F74" t="s">
        <v>14</v>
      </c>
      <c r="G74" t="s">
        <v>51</v>
      </c>
      <c r="H74" t="s">
        <v>16</v>
      </c>
      <c r="I74">
        <v>0</v>
      </c>
      <c r="J74">
        <v>0</v>
      </c>
      <c r="K74">
        <v>0</v>
      </c>
    </row>
    <row r="75" spans="1:11" x14ac:dyDescent="0.25">
      <c r="A75" t="s">
        <v>114</v>
      </c>
      <c r="B75" s="1">
        <v>45844.522893518515</v>
      </c>
      <c r="C75" s="2" t="s">
        <v>41</v>
      </c>
      <c r="D75" t="s">
        <v>45</v>
      </c>
      <c r="E75">
        <v>105681</v>
      </c>
      <c r="F75" t="s">
        <v>50</v>
      </c>
      <c r="G75" t="s">
        <v>51</v>
      </c>
      <c r="H75" t="s">
        <v>71</v>
      </c>
      <c r="I75">
        <v>1056.81</v>
      </c>
      <c r="J75">
        <v>0</v>
      </c>
      <c r="K75">
        <v>1056.81</v>
      </c>
    </row>
    <row r="76" spans="1:11" x14ac:dyDescent="0.25">
      <c r="A76" t="s">
        <v>115</v>
      </c>
      <c r="B76" s="1">
        <v>46093.844537037039</v>
      </c>
      <c r="C76" s="2" t="s">
        <v>32</v>
      </c>
      <c r="D76" t="s">
        <v>45</v>
      </c>
      <c r="E76">
        <v>128234</v>
      </c>
      <c r="F76" t="s">
        <v>14</v>
      </c>
      <c r="G76" t="s">
        <v>27</v>
      </c>
      <c r="H76" t="s">
        <v>56</v>
      </c>
      <c r="I76">
        <v>1282.3399999999999</v>
      </c>
      <c r="J76">
        <v>0</v>
      </c>
      <c r="K76">
        <v>1282.3399999999999</v>
      </c>
    </row>
    <row r="77" spans="1:11" x14ac:dyDescent="0.25">
      <c r="A77" t="s">
        <v>116</v>
      </c>
      <c r="B77" s="1">
        <v>46094.609386574077</v>
      </c>
      <c r="C77" s="2" t="s">
        <v>18</v>
      </c>
      <c r="D77" t="s">
        <v>33</v>
      </c>
      <c r="E77">
        <v>82846</v>
      </c>
      <c r="F77" t="s">
        <v>50</v>
      </c>
      <c r="G77" t="s">
        <v>51</v>
      </c>
      <c r="H77" t="s">
        <v>16</v>
      </c>
      <c r="I77">
        <v>0</v>
      </c>
      <c r="J77">
        <v>0</v>
      </c>
      <c r="K77">
        <v>0</v>
      </c>
    </row>
    <row r="78" spans="1:11" x14ac:dyDescent="0.25">
      <c r="A78" t="s">
        <v>117</v>
      </c>
      <c r="B78" s="1">
        <v>46079.050983796296</v>
      </c>
      <c r="C78" s="2" t="s">
        <v>41</v>
      </c>
      <c r="D78" t="s">
        <v>23</v>
      </c>
      <c r="E78">
        <v>296</v>
      </c>
      <c r="F78" t="s">
        <v>14</v>
      </c>
      <c r="G78" t="s">
        <v>84</v>
      </c>
      <c r="H78" t="s">
        <v>16</v>
      </c>
      <c r="I78">
        <v>0</v>
      </c>
      <c r="J78">
        <v>0</v>
      </c>
      <c r="K78">
        <v>0</v>
      </c>
    </row>
    <row r="79" spans="1:11" x14ac:dyDescent="0.25">
      <c r="A79" t="s">
        <v>118</v>
      </c>
      <c r="B79" s="1">
        <v>45932.13821759259</v>
      </c>
      <c r="C79" s="2" t="s">
        <v>41</v>
      </c>
      <c r="D79" t="s">
        <v>19</v>
      </c>
      <c r="E79">
        <v>144752</v>
      </c>
      <c r="F79" t="s">
        <v>14</v>
      </c>
      <c r="G79" t="s">
        <v>58</v>
      </c>
      <c r="H79" t="s">
        <v>16</v>
      </c>
      <c r="I79">
        <v>5</v>
      </c>
      <c r="J79">
        <v>0</v>
      </c>
      <c r="K79">
        <v>5</v>
      </c>
    </row>
    <row r="80" spans="1:11" x14ac:dyDescent="0.25">
      <c r="A80" t="s">
        <v>119</v>
      </c>
      <c r="B80" s="1">
        <v>45858.497129629628</v>
      </c>
      <c r="C80" s="2" t="s">
        <v>26</v>
      </c>
      <c r="D80" t="s">
        <v>23</v>
      </c>
      <c r="E80">
        <v>1427</v>
      </c>
      <c r="F80" t="s">
        <v>14</v>
      </c>
      <c r="G80" t="s">
        <v>15</v>
      </c>
      <c r="H80" t="s">
        <v>16</v>
      </c>
      <c r="I80">
        <v>0</v>
      </c>
      <c r="J80">
        <v>0</v>
      </c>
      <c r="K80">
        <v>0</v>
      </c>
    </row>
    <row r="81" spans="1:11" x14ac:dyDescent="0.25">
      <c r="A81" t="s">
        <v>120</v>
      </c>
      <c r="B81" s="1">
        <v>45987.751030092593</v>
      </c>
      <c r="C81" s="2" t="s">
        <v>18</v>
      </c>
      <c r="D81" t="s">
        <v>33</v>
      </c>
      <c r="E81">
        <v>109634</v>
      </c>
      <c r="F81" t="s">
        <v>14</v>
      </c>
      <c r="G81" t="s">
        <v>34</v>
      </c>
      <c r="H81" t="s">
        <v>16</v>
      </c>
      <c r="I81">
        <v>0</v>
      </c>
      <c r="J81">
        <v>0</v>
      </c>
      <c r="K81">
        <v>0</v>
      </c>
    </row>
    <row r="82" spans="1:11" x14ac:dyDescent="0.25">
      <c r="A82" t="s">
        <v>121</v>
      </c>
      <c r="B82" s="1">
        <v>46063.925567129627</v>
      </c>
      <c r="C82" s="2" t="s">
        <v>32</v>
      </c>
      <c r="D82" t="s">
        <v>45</v>
      </c>
      <c r="E82">
        <v>112167</v>
      </c>
      <c r="F82" t="s">
        <v>14</v>
      </c>
      <c r="G82" t="s">
        <v>58</v>
      </c>
      <c r="H82" t="s">
        <v>46</v>
      </c>
      <c r="I82">
        <v>1121.67</v>
      </c>
      <c r="J82">
        <v>0</v>
      </c>
      <c r="K82">
        <v>1121.67</v>
      </c>
    </row>
    <row r="83" spans="1:11" x14ac:dyDescent="0.25">
      <c r="A83" t="s">
        <v>122</v>
      </c>
      <c r="B83" s="1">
        <v>46073.866967592592</v>
      </c>
      <c r="C83" s="2" t="s">
        <v>18</v>
      </c>
      <c r="D83" t="s">
        <v>19</v>
      </c>
      <c r="E83">
        <v>55075</v>
      </c>
      <c r="F83" t="s">
        <v>14</v>
      </c>
      <c r="G83" t="s">
        <v>58</v>
      </c>
      <c r="H83" t="s">
        <v>16</v>
      </c>
      <c r="I83">
        <v>5</v>
      </c>
      <c r="J83">
        <v>0</v>
      </c>
      <c r="K83">
        <v>5</v>
      </c>
    </row>
    <row r="84" spans="1:11" x14ac:dyDescent="0.25">
      <c r="A84" t="s">
        <v>123</v>
      </c>
      <c r="B84" s="1">
        <v>46105.443287037036</v>
      </c>
      <c r="C84" s="2" t="s">
        <v>18</v>
      </c>
      <c r="D84" t="s">
        <v>23</v>
      </c>
      <c r="E84">
        <v>2642</v>
      </c>
      <c r="F84" t="s">
        <v>14</v>
      </c>
      <c r="G84" t="s">
        <v>34</v>
      </c>
      <c r="H84" t="s">
        <v>16</v>
      </c>
      <c r="I84">
        <v>0</v>
      </c>
      <c r="J84">
        <v>0</v>
      </c>
      <c r="K84">
        <v>0</v>
      </c>
    </row>
    <row r="85" spans="1:11" x14ac:dyDescent="0.25">
      <c r="A85" t="s">
        <v>124</v>
      </c>
      <c r="B85" s="1">
        <v>46112.604201388887</v>
      </c>
      <c r="C85" s="2" t="s">
        <v>12</v>
      </c>
      <c r="D85" t="s">
        <v>13</v>
      </c>
      <c r="E85">
        <v>145500</v>
      </c>
      <c r="F85" t="s">
        <v>14</v>
      </c>
      <c r="G85" t="s">
        <v>15</v>
      </c>
      <c r="H85" t="s">
        <v>16</v>
      </c>
      <c r="I85">
        <v>2691.75</v>
      </c>
      <c r="J85">
        <v>1076.7</v>
      </c>
      <c r="K85">
        <v>1615.05</v>
      </c>
    </row>
    <row r="86" spans="1:11" x14ac:dyDescent="0.25">
      <c r="A86" t="s">
        <v>125</v>
      </c>
      <c r="B86" s="1">
        <v>45879.601354166669</v>
      </c>
      <c r="C86" s="2" t="s">
        <v>29</v>
      </c>
      <c r="D86" t="s">
        <v>23</v>
      </c>
      <c r="E86">
        <v>955</v>
      </c>
      <c r="F86" t="s">
        <v>14</v>
      </c>
      <c r="G86" t="s">
        <v>27</v>
      </c>
      <c r="H86" t="s">
        <v>16</v>
      </c>
      <c r="I86">
        <v>0</v>
      </c>
      <c r="J86">
        <v>0</v>
      </c>
      <c r="K86">
        <v>0</v>
      </c>
    </row>
    <row r="87" spans="1:11" x14ac:dyDescent="0.25">
      <c r="A87" t="s">
        <v>126</v>
      </c>
      <c r="B87" s="1">
        <v>45947.453969907408</v>
      </c>
      <c r="C87" s="2" t="s">
        <v>39</v>
      </c>
      <c r="D87" t="s">
        <v>23</v>
      </c>
      <c r="E87">
        <v>4147</v>
      </c>
      <c r="F87" t="s">
        <v>14</v>
      </c>
      <c r="G87" t="s">
        <v>84</v>
      </c>
      <c r="H87" t="s">
        <v>16</v>
      </c>
      <c r="I87">
        <v>0</v>
      </c>
      <c r="J87">
        <v>0</v>
      </c>
      <c r="K87">
        <v>0</v>
      </c>
    </row>
    <row r="88" spans="1:11" x14ac:dyDescent="0.25">
      <c r="A88" t="s">
        <v>127</v>
      </c>
      <c r="B88" s="1">
        <v>45943.703946759262</v>
      </c>
      <c r="C88" s="2" t="s">
        <v>18</v>
      </c>
      <c r="D88" t="s">
        <v>45</v>
      </c>
      <c r="E88">
        <v>113318</v>
      </c>
      <c r="F88" t="s">
        <v>99</v>
      </c>
      <c r="G88" t="s">
        <v>51</v>
      </c>
      <c r="H88" t="s">
        <v>46</v>
      </c>
      <c r="I88">
        <v>1133.18</v>
      </c>
      <c r="J88">
        <v>0</v>
      </c>
      <c r="K88">
        <v>1133.18</v>
      </c>
    </row>
    <row r="89" spans="1:11" x14ac:dyDescent="0.25">
      <c r="A89" t="s">
        <v>128</v>
      </c>
      <c r="B89" s="1">
        <v>46117.976724537039</v>
      </c>
      <c r="C89" s="2" t="s">
        <v>12</v>
      </c>
      <c r="D89" t="s">
        <v>13</v>
      </c>
      <c r="E89">
        <v>187000</v>
      </c>
      <c r="F89" t="s">
        <v>14</v>
      </c>
      <c r="G89" t="s">
        <v>84</v>
      </c>
      <c r="H89" t="s">
        <v>16</v>
      </c>
      <c r="I89">
        <v>3459.5</v>
      </c>
      <c r="J89">
        <v>1383.8</v>
      </c>
      <c r="K89">
        <v>2075.6999999999998</v>
      </c>
    </row>
    <row r="90" spans="1:11" x14ac:dyDescent="0.25">
      <c r="A90" t="s">
        <v>129</v>
      </c>
      <c r="B90" s="1">
        <v>45938.171782407408</v>
      </c>
      <c r="C90" s="2" t="s">
        <v>22</v>
      </c>
      <c r="D90" t="s">
        <v>23</v>
      </c>
      <c r="E90">
        <v>2498</v>
      </c>
      <c r="F90" t="s">
        <v>14</v>
      </c>
      <c r="G90" t="s">
        <v>30</v>
      </c>
      <c r="H90" t="s">
        <v>16</v>
      </c>
      <c r="I90">
        <v>0</v>
      </c>
      <c r="J90">
        <v>0</v>
      </c>
      <c r="K90">
        <v>0</v>
      </c>
    </row>
    <row r="91" spans="1:11" x14ac:dyDescent="0.25">
      <c r="A91" t="s">
        <v>130</v>
      </c>
      <c r="B91" s="1">
        <v>45984.181909722225</v>
      </c>
      <c r="C91" s="2" t="s">
        <v>18</v>
      </c>
      <c r="D91" t="s">
        <v>45</v>
      </c>
      <c r="E91">
        <v>13461</v>
      </c>
      <c r="F91" t="s">
        <v>14</v>
      </c>
      <c r="G91" t="s">
        <v>30</v>
      </c>
      <c r="H91" t="s">
        <v>59</v>
      </c>
      <c r="I91">
        <v>134.61000000000001</v>
      </c>
      <c r="J91">
        <v>0</v>
      </c>
      <c r="K91">
        <v>134.61000000000001</v>
      </c>
    </row>
    <row r="92" spans="1:11" x14ac:dyDescent="0.25">
      <c r="A92" t="s">
        <v>131</v>
      </c>
      <c r="B92" s="1">
        <v>46115.392997685187</v>
      </c>
      <c r="C92" s="2" t="s">
        <v>41</v>
      </c>
      <c r="D92" t="s">
        <v>13</v>
      </c>
      <c r="E92">
        <v>197000</v>
      </c>
      <c r="F92" t="s">
        <v>14</v>
      </c>
      <c r="G92" t="s">
        <v>15</v>
      </c>
      <c r="H92" t="s">
        <v>16</v>
      </c>
      <c r="I92">
        <v>3644.5</v>
      </c>
      <c r="J92">
        <v>1457.8</v>
      </c>
      <c r="K92">
        <v>2186.6999999999998</v>
      </c>
    </row>
    <row r="93" spans="1:11" x14ac:dyDescent="0.25">
      <c r="A93" t="s">
        <v>132</v>
      </c>
      <c r="B93" s="1">
        <v>45956.787916666668</v>
      </c>
      <c r="C93" s="2" t="s">
        <v>29</v>
      </c>
      <c r="D93" t="s">
        <v>23</v>
      </c>
      <c r="E93">
        <v>1890</v>
      </c>
      <c r="F93" t="s">
        <v>14</v>
      </c>
      <c r="G93" t="s">
        <v>27</v>
      </c>
      <c r="H93" t="s">
        <v>16</v>
      </c>
      <c r="I93">
        <v>0</v>
      </c>
      <c r="J93">
        <v>0</v>
      </c>
      <c r="K93">
        <v>0</v>
      </c>
    </row>
    <row r="94" spans="1:11" x14ac:dyDescent="0.25">
      <c r="A94" t="s">
        <v>133</v>
      </c>
      <c r="B94" s="1">
        <v>45799.983912037038</v>
      </c>
      <c r="C94" s="2" t="s">
        <v>12</v>
      </c>
      <c r="D94" t="s">
        <v>13</v>
      </c>
      <c r="E94">
        <v>236000</v>
      </c>
      <c r="F94" t="s">
        <v>14</v>
      </c>
      <c r="G94" t="s">
        <v>27</v>
      </c>
      <c r="H94" t="s">
        <v>16</v>
      </c>
      <c r="I94">
        <v>4366</v>
      </c>
      <c r="J94">
        <v>1746.4</v>
      </c>
      <c r="K94">
        <v>2619.6</v>
      </c>
    </row>
    <row r="95" spans="1:11" x14ac:dyDescent="0.25">
      <c r="A95" t="s">
        <v>134</v>
      </c>
      <c r="B95" s="1">
        <v>45788.196701388886</v>
      </c>
      <c r="C95" s="2" t="s">
        <v>22</v>
      </c>
      <c r="D95" t="s">
        <v>13</v>
      </c>
      <c r="E95">
        <v>205500</v>
      </c>
      <c r="F95" t="s">
        <v>14</v>
      </c>
      <c r="G95" t="s">
        <v>34</v>
      </c>
      <c r="H95" t="s">
        <v>16</v>
      </c>
      <c r="I95">
        <v>3801.75</v>
      </c>
      <c r="J95">
        <v>1520.7</v>
      </c>
      <c r="K95">
        <v>2281.0500000000002</v>
      </c>
    </row>
    <row r="96" spans="1:11" x14ac:dyDescent="0.25">
      <c r="A96" t="s">
        <v>135</v>
      </c>
      <c r="B96" s="1">
        <v>45839.553344907406</v>
      </c>
      <c r="C96" s="2" t="s">
        <v>12</v>
      </c>
      <c r="D96" t="s">
        <v>13</v>
      </c>
      <c r="E96">
        <v>122500</v>
      </c>
      <c r="F96" t="s">
        <v>14</v>
      </c>
      <c r="G96" t="s">
        <v>34</v>
      </c>
      <c r="H96" t="s">
        <v>16</v>
      </c>
      <c r="I96">
        <v>2266.25</v>
      </c>
      <c r="J96">
        <v>906.5</v>
      </c>
      <c r="K96">
        <v>1359.75</v>
      </c>
    </row>
    <row r="97" spans="1:11" x14ac:dyDescent="0.25">
      <c r="A97" t="s">
        <v>136</v>
      </c>
      <c r="B97" s="1">
        <v>45954.202164351853</v>
      </c>
      <c r="C97" s="2" t="s">
        <v>39</v>
      </c>
      <c r="D97" t="s">
        <v>23</v>
      </c>
      <c r="E97">
        <v>2290</v>
      </c>
      <c r="F97" t="s">
        <v>14</v>
      </c>
      <c r="G97" t="s">
        <v>20</v>
      </c>
      <c r="H97" t="s">
        <v>16</v>
      </c>
      <c r="I97">
        <v>0</v>
      </c>
      <c r="J97">
        <v>0</v>
      </c>
      <c r="K97">
        <v>0</v>
      </c>
    </row>
    <row r="98" spans="1:11" x14ac:dyDescent="0.25">
      <c r="A98" t="s">
        <v>137</v>
      </c>
      <c r="B98" s="1">
        <v>45836.364490740743</v>
      </c>
      <c r="C98" s="2" t="s">
        <v>22</v>
      </c>
      <c r="D98" t="s">
        <v>45</v>
      </c>
      <c r="E98">
        <v>27354</v>
      </c>
      <c r="F98" t="s">
        <v>14</v>
      </c>
      <c r="G98" t="s">
        <v>51</v>
      </c>
      <c r="H98" t="s">
        <v>56</v>
      </c>
      <c r="I98">
        <v>273.54000000000002</v>
      </c>
      <c r="J98">
        <v>0</v>
      </c>
      <c r="K98">
        <v>273.54000000000002</v>
      </c>
    </row>
    <row r="99" spans="1:11" x14ac:dyDescent="0.25">
      <c r="A99" t="s">
        <v>138</v>
      </c>
      <c r="B99" s="1">
        <v>45804.156423611108</v>
      </c>
      <c r="C99" s="2" t="s">
        <v>22</v>
      </c>
      <c r="D99" t="s">
        <v>19</v>
      </c>
      <c r="E99">
        <v>75416</v>
      </c>
      <c r="F99" t="s">
        <v>99</v>
      </c>
      <c r="G99" t="s">
        <v>58</v>
      </c>
      <c r="H99" t="s">
        <v>16</v>
      </c>
      <c r="I99">
        <v>5</v>
      </c>
      <c r="J99">
        <v>0</v>
      </c>
      <c r="K99">
        <v>5</v>
      </c>
    </row>
    <row r="100" spans="1:11" x14ac:dyDescent="0.25">
      <c r="A100" t="s">
        <v>139</v>
      </c>
      <c r="B100" s="1">
        <v>45805.160601851851</v>
      </c>
      <c r="C100" s="2" t="s">
        <v>41</v>
      </c>
      <c r="D100" t="s">
        <v>19</v>
      </c>
      <c r="E100">
        <v>49787</v>
      </c>
      <c r="F100" t="s">
        <v>14</v>
      </c>
      <c r="G100" t="s">
        <v>30</v>
      </c>
      <c r="H100" t="s">
        <v>16</v>
      </c>
      <c r="I100">
        <v>5</v>
      </c>
      <c r="J100">
        <v>0</v>
      </c>
      <c r="K100">
        <v>5</v>
      </c>
    </row>
    <row r="101" spans="1:11" x14ac:dyDescent="0.25">
      <c r="A101" t="s">
        <v>140</v>
      </c>
      <c r="B101" s="1">
        <v>45804.769560185188</v>
      </c>
      <c r="C101" s="2" t="s">
        <v>22</v>
      </c>
      <c r="D101" t="s">
        <v>33</v>
      </c>
      <c r="E101">
        <v>140209</v>
      </c>
      <c r="F101" t="s">
        <v>14</v>
      </c>
      <c r="G101" t="s">
        <v>34</v>
      </c>
      <c r="H101" t="s">
        <v>16</v>
      </c>
      <c r="I101">
        <v>0</v>
      </c>
      <c r="J101">
        <v>0</v>
      </c>
      <c r="K101">
        <v>0</v>
      </c>
    </row>
    <row r="102" spans="1:11" x14ac:dyDescent="0.25">
      <c r="A102" t="s">
        <v>141</v>
      </c>
      <c r="B102" s="1">
        <v>45834.536203703705</v>
      </c>
      <c r="C102" s="2" t="s">
        <v>29</v>
      </c>
      <c r="D102" t="s">
        <v>19</v>
      </c>
      <c r="E102">
        <v>73762</v>
      </c>
      <c r="F102" t="s">
        <v>14</v>
      </c>
      <c r="G102" t="s">
        <v>30</v>
      </c>
      <c r="H102" t="s">
        <v>16</v>
      </c>
      <c r="I102">
        <v>5</v>
      </c>
      <c r="J102">
        <v>0</v>
      </c>
      <c r="K102">
        <v>5</v>
      </c>
    </row>
    <row r="103" spans="1:11" x14ac:dyDescent="0.25">
      <c r="A103" t="s">
        <v>142</v>
      </c>
      <c r="B103" s="1">
        <v>45951.546655092592</v>
      </c>
      <c r="C103" s="2" t="s">
        <v>22</v>
      </c>
      <c r="D103" t="s">
        <v>23</v>
      </c>
      <c r="E103">
        <v>3645</v>
      </c>
      <c r="F103" t="s">
        <v>14</v>
      </c>
      <c r="G103" t="s">
        <v>27</v>
      </c>
      <c r="H103" t="s">
        <v>16</v>
      </c>
      <c r="I103">
        <v>0</v>
      </c>
      <c r="J103">
        <v>0</v>
      </c>
      <c r="K103">
        <v>0</v>
      </c>
    </row>
    <row r="104" spans="1:11" x14ac:dyDescent="0.25">
      <c r="A104" t="s">
        <v>143</v>
      </c>
      <c r="B104" s="1">
        <v>45975.862256944441</v>
      </c>
      <c r="C104" s="2" t="s">
        <v>18</v>
      </c>
      <c r="D104" t="s">
        <v>23</v>
      </c>
      <c r="E104">
        <v>508</v>
      </c>
      <c r="F104" t="s">
        <v>99</v>
      </c>
      <c r="G104" t="s">
        <v>84</v>
      </c>
      <c r="H104" t="s">
        <v>16</v>
      </c>
      <c r="I104">
        <v>0</v>
      </c>
      <c r="J104">
        <v>0</v>
      </c>
      <c r="K104">
        <v>0</v>
      </c>
    </row>
    <row r="105" spans="1:11" x14ac:dyDescent="0.25">
      <c r="A105" t="s">
        <v>144</v>
      </c>
      <c r="B105" s="1">
        <v>45924.756805555553</v>
      </c>
      <c r="C105" s="2" t="s">
        <v>29</v>
      </c>
      <c r="D105" t="s">
        <v>13</v>
      </c>
      <c r="E105">
        <v>234500</v>
      </c>
      <c r="F105" t="s">
        <v>14</v>
      </c>
      <c r="G105" t="s">
        <v>27</v>
      </c>
      <c r="H105" t="s">
        <v>16</v>
      </c>
      <c r="I105">
        <v>4338.25</v>
      </c>
      <c r="J105">
        <v>1735.3</v>
      </c>
      <c r="K105">
        <v>2602.9499999999998</v>
      </c>
    </row>
    <row r="106" spans="1:11" x14ac:dyDescent="0.25">
      <c r="A106" t="s">
        <v>145</v>
      </c>
      <c r="B106" s="1">
        <v>45884.441296296296</v>
      </c>
      <c r="C106" s="2" t="s">
        <v>41</v>
      </c>
      <c r="D106" t="s">
        <v>23</v>
      </c>
      <c r="E106">
        <v>2661</v>
      </c>
      <c r="F106" t="s">
        <v>14</v>
      </c>
      <c r="G106" t="s">
        <v>15</v>
      </c>
      <c r="H106" t="s">
        <v>16</v>
      </c>
      <c r="I106">
        <v>0</v>
      </c>
      <c r="J106">
        <v>0</v>
      </c>
      <c r="K106">
        <v>0</v>
      </c>
    </row>
    <row r="107" spans="1:11" x14ac:dyDescent="0.25">
      <c r="A107" t="s">
        <v>146</v>
      </c>
      <c r="B107" s="1">
        <v>45920.720648148148</v>
      </c>
      <c r="C107" s="2" t="s">
        <v>39</v>
      </c>
      <c r="D107" t="s">
        <v>19</v>
      </c>
      <c r="E107">
        <v>18402</v>
      </c>
      <c r="F107" t="s">
        <v>14</v>
      </c>
      <c r="G107" t="s">
        <v>58</v>
      </c>
      <c r="H107" t="s">
        <v>16</v>
      </c>
      <c r="I107">
        <v>5</v>
      </c>
      <c r="J107">
        <v>0</v>
      </c>
      <c r="K107">
        <v>5</v>
      </c>
    </row>
    <row r="108" spans="1:11" x14ac:dyDescent="0.25">
      <c r="A108" t="s">
        <v>147</v>
      </c>
      <c r="B108" s="1">
        <v>46114.382604166669</v>
      </c>
      <c r="C108" s="2" t="s">
        <v>18</v>
      </c>
      <c r="D108" t="s">
        <v>33</v>
      </c>
      <c r="E108">
        <v>42399</v>
      </c>
      <c r="F108" t="s">
        <v>14</v>
      </c>
      <c r="G108" t="s">
        <v>30</v>
      </c>
      <c r="H108" t="s">
        <v>16</v>
      </c>
      <c r="I108">
        <v>0</v>
      </c>
      <c r="J108">
        <v>0</v>
      </c>
      <c r="K108">
        <v>0</v>
      </c>
    </row>
    <row r="109" spans="1:11" x14ac:dyDescent="0.25">
      <c r="A109" t="s">
        <v>148</v>
      </c>
      <c r="B109" s="1">
        <v>45800.197395833333</v>
      </c>
      <c r="C109" s="2" t="s">
        <v>32</v>
      </c>
      <c r="D109" t="s">
        <v>13</v>
      </c>
      <c r="E109">
        <v>95000</v>
      </c>
      <c r="F109" t="s">
        <v>14</v>
      </c>
      <c r="G109" t="s">
        <v>27</v>
      </c>
      <c r="H109" t="s">
        <v>16</v>
      </c>
      <c r="I109">
        <v>1757.5</v>
      </c>
      <c r="J109">
        <v>703</v>
      </c>
      <c r="K109">
        <v>1054.5</v>
      </c>
    </row>
    <row r="110" spans="1:11" x14ac:dyDescent="0.25">
      <c r="A110" t="s">
        <v>149</v>
      </c>
      <c r="B110" s="1">
        <v>45943.271562499998</v>
      </c>
      <c r="C110" s="2" t="s">
        <v>18</v>
      </c>
      <c r="D110" t="s">
        <v>45</v>
      </c>
      <c r="E110">
        <v>59540</v>
      </c>
      <c r="F110" t="s">
        <v>14</v>
      </c>
      <c r="G110" t="s">
        <v>51</v>
      </c>
      <c r="H110" t="s">
        <v>59</v>
      </c>
      <c r="I110">
        <v>595.4</v>
      </c>
      <c r="J110">
        <v>0</v>
      </c>
      <c r="K110">
        <v>595.4</v>
      </c>
    </row>
    <row r="111" spans="1:11" x14ac:dyDescent="0.25">
      <c r="A111" t="s">
        <v>150</v>
      </c>
      <c r="B111" s="1">
        <v>46046.809803240743</v>
      </c>
      <c r="C111" s="2" t="s">
        <v>22</v>
      </c>
      <c r="D111" t="s">
        <v>45</v>
      </c>
      <c r="E111">
        <v>90418</v>
      </c>
      <c r="F111" t="s">
        <v>14</v>
      </c>
      <c r="G111" t="s">
        <v>30</v>
      </c>
      <c r="H111" t="s">
        <v>56</v>
      </c>
      <c r="I111">
        <v>904.18</v>
      </c>
      <c r="J111">
        <v>0</v>
      </c>
      <c r="K111">
        <v>904.18</v>
      </c>
    </row>
    <row r="112" spans="1:11" x14ac:dyDescent="0.25">
      <c r="A112" t="s">
        <v>151</v>
      </c>
      <c r="B112" s="1">
        <v>45943.23940972222</v>
      </c>
      <c r="C112" s="2" t="s">
        <v>26</v>
      </c>
      <c r="D112" t="s">
        <v>23</v>
      </c>
      <c r="E112">
        <v>1378</v>
      </c>
      <c r="F112" t="s">
        <v>14</v>
      </c>
      <c r="G112" t="s">
        <v>27</v>
      </c>
      <c r="H112" t="s">
        <v>16</v>
      </c>
      <c r="I112">
        <v>0</v>
      </c>
      <c r="J112">
        <v>0</v>
      </c>
      <c r="K112">
        <v>0</v>
      </c>
    </row>
    <row r="113" spans="1:11" x14ac:dyDescent="0.25">
      <c r="A113" t="s">
        <v>152</v>
      </c>
      <c r="B113" s="1">
        <v>46097.118356481478</v>
      </c>
      <c r="C113" s="2" t="s">
        <v>39</v>
      </c>
      <c r="D113" t="s">
        <v>13</v>
      </c>
      <c r="E113">
        <v>159500</v>
      </c>
      <c r="F113" t="s">
        <v>14</v>
      </c>
      <c r="G113" t="s">
        <v>84</v>
      </c>
      <c r="H113" t="s">
        <v>16</v>
      </c>
      <c r="I113">
        <v>2950.75</v>
      </c>
      <c r="J113">
        <v>1180.3</v>
      </c>
      <c r="K113">
        <v>1770.45</v>
      </c>
    </row>
    <row r="114" spans="1:11" x14ac:dyDescent="0.25">
      <c r="A114" t="s">
        <v>153</v>
      </c>
      <c r="B114" s="1">
        <v>45872.747731481482</v>
      </c>
      <c r="C114" s="2" t="s">
        <v>39</v>
      </c>
      <c r="D114" t="s">
        <v>33</v>
      </c>
      <c r="E114">
        <v>108599</v>
      </c>
      <c r="F114" t="s">
        <v>14</v>
      </c>
      <c r="G114" t="s">
        <v>51</v>
      </c>
      <c r="H114" t="s">
        <v>16</v>
      </c>
      <c r="I114">
        <v>0</v>
      </c>
      <c r="J114">
        <v>0</v>
      </c>
      <c r="K114">
        <v>0</v>
      </c>
    </row>
    <row r="115" spans="1:11" x14ac:dyDescent="0.25">
      <c r="A115" t="s">
        <v>154</v>
      </c>
      <c r="B115" s="1">
        <v>45869.370636574073</v>
      </c>
      <c r="C115" s="2" t="s">
        <v>12</v>
      </c>
      <c r="D115" t="s">
        <v>19</v>
      </c>
      <c r="E115">
        <v>13355</v>
      </c>
      <c r="F115" t="s">
        <v>99</v>
      </c>
      <c r="G115" t="s">
        <v>34</v>
      </c>
      <c r="H115" t="s">
        <v>16</v>
      </c>
      <c r="I115">
        <v>5</v>
      </c>
      <c r="J115">
        <v>0</v>
      </c>
      <c r="K115">
        <v>5</v>
      </c>
    </row>
    <row r="116" spans="1:11" x14ac:dyDescent="0.25">
      <c r="A116" t="s">
        <v>155</v>
      </c>
      <c r="B116" s="1">
        <v>45815.586168981485</v>
      </c>
      <c r="C116" s="2" t="s">
        <v>29</v>
      </c>
      <c r="D116" t="s">
        <v>33</v>
      </c>
      <c r="E116">
        <v>114321</v>
      </c>
      <c r="F116" t="s">
        <v>14</v>
      </c>
      <c r="G116" t="s">
        <v>58</v>
      </c>
      <c r="H116" t="s">
        <v>16</v>
      </c>
      <c r="I116">
        <v>0</v>
      </c>
      <c r="J116">
        <v>0</v>
      </c>
      <c r="K116">
        <v>0</v>
      </c>
    </row>
    <row r="117" spans="1:11" x14ac:dyDescent="0.25">
      <c r="A117" t="s">
        <v>156</v>
      </c>
      <c r="B117" s="1">
        <v>45988.718946759262</v>
      </c>
      <c r="C117" s="2" t="s">
        <v>41</v>
      </c>
      <c r="D117" t="s">
        <v>23</v>
      </c>
      <c r="E117">
        <v>2145</v>
      </c>
      <c r="F117" t="s">
        <v>14</v>
      </c>
      <c r="G117" t="s">
        <v>34</v>
      </c>
      <c r="H117" t="s">
        <v>16</v>
      </c>
      <c r="I117">
        <v>0</v>
      </c>
      <c r="J117">
        <v>0</v>
      </c>
      <c r="K117">
        <v>0</v>
      </c>
    </row>
    <row r="118" spans="1:11" x14ac:dyDescent="0.25">
      <c r="A118" t="s">
        <v>157</v>
      </c>
      <c r="B118" s="1">
        <v>45934.436099537037</v>
      </c>
      <c r="C118" s="2" t="s">
        <v>22</v>
      </c>
      <c r="D118" t="s">
        <v>33</v>
      </c>
      <c r="E118">
        <v>31509</v>
      </c>
      <c r="F118" t="s">
        <v>14</v>
      </c>
      <c r="G118" t="s">
        <v>34</v>
      </c>
      <c r="H118" t="s">
        <v>16</v>
      </c>
      <c r="I118">
        <v>0</v>
      </c>
      <c r="J118">
        <v>0</v>
      </c>
      <c r="K118">
        <v>0</v>
      </c>
    </row>
    <row r="119" spans="1:11" x14ac:dyDescent="0.25">
      <c r="A119" t="s">
        <v>158</v>
      </c>
      <c r="B119" s="1">
        <v>45990.781365740739</v>
      </c>
      <c r="C119" s="2" t="s">
        <v>39</v>
      </c>
      <c r="D119" t="s">
        <v>19</v>
      </c>
      <c r="E119">
        <v>94380</v>
      </c>
      <c r="F119" t="s">
        <v>50</v>
      </c>
      <c r="G119" t="s">
        <v>20</v>
      </c>
      <c r="H119" t="s">
        <v>16</v>
      </c>
      <c r="I119">
        <v>5</v>
      </c>
      <c r="J119">
        <v>0</v>
      </c>
      <c r="K119">
        <v>5</v>
      </c>
    </row>
    <row r="120" spans="1:11" x14ac:dyDescent="0.25">
      <c r="A120" t="s">
        <v>159</v>
      </c>
      <c r="B120" s="1">
        <v>45917.618252314816</v>
      </c>
      <c r="C120" s="2" t="s">
        <v>41</v>
      </c>
      <c r="D120" t="s">
        <v>23</v>
      </c>
      <c r="E120">
        <v>3006</v>
      </c>
      <c r="F120" t="s">
        <v>50</v>
      </c>
      <c r="G120" t="s">
        <v>84</v>
      </c>
      <c r="H120" t="s">
        <v>16</v>
      </c>
      <c r="I120">
        <v>0</v>
      </c>
      <c r="J120">
        <v>0</v>
      </c>
      <c r="K120">
        <v>0</v>
      </c>
    </row>
    <row r="121" spans="1:11" x14ac:dyDescent="0.25">
      <c r="A121" t="s">
        <v>160</v>
      </c>
      <c r="B121" s="1">
        <v>45793.843391203707</v>
      </c>
      <c r="C121" s="2" t="s">
        <v>26</v>
      </c>
      <c r="D121" t="s">
        <v>19</v>
      </c>
      <c r="E121">
        <v>121972</v>
      </c>
      <c r="F121" t="s">
        <v>14</v>
      </c>
      <c r="G121" t="s">
        <v>34</v>
      </c>
      <c r="H121" t="s">
        <v>16</v>
      </c>
      <c r="I121">
        <v>5</v>
      </c>
      <c r="J121">
        <v>0</v>
      </c>
      <c r="K121">
        <v>5</v>
      </c>
    </row>
    <row r="122" spans="1:11" x14ac:dyDescent="0.25">
      <c r="A122" t="s">
        <v>161</v>
      </c>
      <c r="B122" s="1">
        <v>45802.404768518521</v>
      </c>
      <c r="C122" s="2" t="s">
        <v>12</v>
      </c>
      <c r="D122" t="s">
        <v>19</v>
      </c>
      <c r="E122">
        <v>8572</v>
      </c>
      <c r="F122" t="s">
        <v>14</v>
      </c>
      <c r="G122" t="s">
        <v>58</v>
      </c>
      <c r="H122" t="s">
        <v>16</v>
      </c>
      <c r="I122">
        <v>5</v>
      </c>
      <c r="J122">
        <v>0</v>
      </c>
      <c r="K122">
        <v>5</v>
      </c>
    </row>
    <row r="123" spans="1:11" x14ac:dyDescent="0.25">
      <c r="A123" t="s">
        <v>162</v>
      </c>
      <c r="B123" s="1">
        <v>45786.160775462966</v>
      </c>
      <c r="C123" s="2" t="s">
        <v>41</v>
      </c>
      <c r="D123" t="s">
        <v>19</v>
      </c>
      <c r="E123">
        <v>47631</v>
      </c>
      <c r="F123" t="s">
        <v>14</v>
      </c>
      <c r="G123" t="s">
        <v>20</v>
      </c>
      <c r="H123" t="s">
        <v>16</v>
      </c>
      <c r="I123">
        <v>5</v>
      </c>
      <c r="J123">
        <v>0</v>
      </c>
      <c r="K123">
        <v>5</v>
      </c>
    </row>
    <row r="124" spans="1:11" x14ac:dyDescent="0.25">
      <c r="A124" t="s">
        <v>163</v>
      </c>
      <c r="B124" s="1">
        <v>45958.003761574073</v>
      </c>
      <c r="C124" s="2" t="s">
        <v>26</v>
      </c>
      <c r="D124" t="s">
        <v>33</v>
      </c>
      <c r="E124">
        <v>98201</v>
      </c>
      <c r="F124" t="s">
        <v>14</v>
      </c>
      <c r="G124" t="s">
        <v>20</v>
      </c>
      <c r="H124" t="s">
        <v>16</v>
      </c>
      <c r="I124">
        <v>0</v>
      </c>
      <c r="J124">
        <v>0</v>
      </c>
      <c r="K124">
        <v>0</v>
      </c>
    </row>
    <row r="125" spans="1:11" x14ac:dyDescent="0.25">
      <c r="A125" t="s">
        <v>164</v>
      </c>
      <c r="B125" s="1">
        <v>46005.850532407407</v>
      </c>
      <c r="C125" s="2" t="s">
        <v>32</v>
      </c>
      <c r="D125" t="s">
        <v>23</v>
      </c>
      <c r="E125">
        <v>1430</v>
      </c>
      <c r="F125" t="s">
        <v>14</v>
      </c>
      <c r="G125" t="s">
        <v>27</v>
      </c>
      <c r="H125" t="s">
        <v>16</v>
      </c>
      <c r="I125">
        <v>0</v>
      </c>
      <c r="J125">
        <v>0</v>
      </c>
      <c r="K125">
        <v>0</v>
      </c>
    </row>
    <row r="126" spans="1:11" x14ac:dyDescent="0.25">
      <c r="A126" t="s">
        <v>165</v>
      </c>
      <c r="B126" s="1">
        <v>46069.371562499997</v>
      </c>
      <c r="C126" s="2" t="s">
        <v>12</v>
      </c>
      <c r="D126" t="s">
        <v>13</v>
      </c>
      <c r="E126">
        <v>21000</v>
      </c>
      <c r="F126" t="s">
        <v>14</v>
      </c>
      <c r="G126" t="s">
        <v>20</v>
      </c>
      <c r="H126" t="s">
        <v>16</v>
      </c>
      <c r="I126">
        <v>388.5</v>
      </c>
      <c r="J126">
        <v>155.4</v>
      </c>
      <c r="K126">
        <v>233.1</v>
      </c>
    </row>
    <row r="127" spans="1:11" x14ac:dyDescent="0.25">
      <c r="A127" t="s">
        <v>166</v>
      </c>
      <c r="B127" s="1">
        <v>46141.073877314811</v>
      </c>
      <c r="C127" s="2" t="s">
        <v>41</v>
      </c>
      <c r="D127" t="s">
        <v>13</v>
      </c>
      <c r="E127">
        <v>112500</v>
      </c>
      <c r="F127" t="s">
        <v>14</v>
      </c>
      <c r="G127" t="s">
        <v>20</v>
      </c>
      <c r="H127" t="s">
        <v>16</v>
      </c>
      <c r="I127">
        <v>2081.25</v>
      </c>
      <c r="J127">
        <v>832.5</v>
      </c>
      <c r="K127">
        <v>1248.75</v>
      </c>
    </row>
    <row r="128" spans="1:11" x14ac:dyDescent="0.25">
      <c r="A128" t="s">
        <v>167</v>
      </c>
      <c r="B128" s="1">
        <v>46096.92465277778</v>
      </c>
      <c r="C128" s="2" t="s">
        <v>39</v>
      </c>
      <c r="D128" t="s">
        <v>33</v>
      </c>
      <c r="E128">
        <v>88807</v>
      </c>
      <c r="F128" t="s">
        <v>14</v>
      </c>
      <c r="G128" t="s">
        <v>24</v>
      </c>
      <c r="H128" t="s">
        <v>16</v>
      </c>
      <c r="I128">
        <v>0</v>
      </c>
      <c r="J128">
        <v>0</v>
      </c>
      <c r="K128">
        <v>0</v>
      </c>
    </row>
    <row r="129" spans="1:11" x14ac:dyDescent="0.25">
      <c r="A129" t="s">
        <v>168</v>
      </c>
      <c r="B129" s="1">
        <v>45878.812789351854</v>
      </c>
      <c r="C129" s="2" t="s">
        <v>12</v>
      </c>
      <c r="D129" t="s">
        <v>23</v>
      </c>
      <c r="E129">
        <v>4497</v>
      </c>
      <c r="F129" t="s">
        <v>14</v>
      </c>
      <c r="G129" t="s">
        <v>15</v>
      </c>
      <c r="H129" t="s">
        <v>16</v>
      </c>
      <c r="I129">
        <v>0</v>
      </c>
      <c r="J129">
        <v>0</v>
      </c>
      <c r="K129">
        <v>0</v>
      </c>
    </row>
    <row r="130" spans="1:11" x14ac:dyDescent="0.25">
      <c r="A130" t="s">
        <v>169</v>
      </c>
      <c r="B130" s="1">
        <v>45996.425983796296</v>
      </c>
      <c r="C130" s="2" t="s">
        <v>39</v>
      </c>
      <c r="D130" t="s">
        <v>13</v>
      </c>
      <c r="E130">
        <v>40000</v>
      </c>
      <c r="F130" t="s">
        <v>14</v>
      </c>
      <c r="G130" t="s">
        <v>34</v>
      </c>
      <c r="H130" t="s">
        <v>16</v>
      </c>
      <c r="I130">
        <v>740</v>
      </c>
      <c r="J130">
        <v>296</v>
      </c>
      <c r="K130">
        <v>444</v>
      </c>
    </row>
    <row r="131" spans="1:11" x14ac:dyDescent="0.25">
      <c r="A131" t="s">
        <v>170</v>
      </c>
      <c r="B131" s="1">
        <v>45848.12090277778</v>
      </c>
      <c r="C131" s="2" t="s">
        <v>39</v>
      </c>
      <c r="D131" t="s">
        <v>45</v>
      </c>
      <c r="E131">
        <v>72595</v>
      </c>
      <c r="F131" t="s">
        <v>14</v>
      </c>
      <c r="G131" t="s">
        <v>24</v>
      </c>
      <c r="H131" t="s">
        <v>71</v>
      </c>
      <c r="I131">
        <v>725.95</v>
      </c>
      <c r="J131">
        <v>0</v>
      </c>
      <c r="K131">
        <v>725.95</v>
      </c>
    </row>
    <row r="132" spans="1:11" x14ac:dyDescent="0.25">
      <c r="A132" t="s">
        <v>171</v>
      </c>
      <c r="B132" s="1">
        <v>46122.819965277777</v>
      </c>
      <c r="C132" s="2" t="s">
        <v>26</v>
      </c>
      <c r="D132" t="s">
        <v>19</v>
      </c>
      <c r="E132">
        <v>140607</v>
      </c>
      <c r="F132" t="s">
        <v>14</v>
      </c>
      <c r="G132" t="s">
        <v>51</v>
      </c>
      <c r="H132" t="s">
        <v>16</v>
      </c>
      <c r="I132">
        <v>5</v>
      </c>
      <c r="J132">
        <v>0</v>
      </c>
      <c r="K132">
        <v>5</v>
      </c>
    </row>
    <row r="133" spans="1:11" x14ac:dyDescent="0.25">
      <c r="A133" t="s">
        <v>172</v>
      </c>
      <c r="B133" s="1">
        <v>46085.403055555558</v>
      </c>
      <c r="C133" s="2" t="s">
        <v>26</v>
      </c>
      <c r="D133" t="s">
        <v>23</v>
      </c>
      <c r="E133">
        <v>2080</v>
      </c>
      <c r="F133" t="s">
        <v>14</v>
      </c>
      <c r="G133" t="s">
        <v>58</v>
      </c>
      <c r="H133" t="s">
        <v>16</v>
      </c>
      <c r="I133">
        <v>0</v>
      </c>
      <c r="J133">
        <v>0</v>
      </c>
      <c r="K133">
        <v>0</v>
      </c>
    </row>
    <row r="134" spans="1:11" x14ac:dyDescent="0.25">
      <c r="A134" t="s">
        <v>173</v>
      </c>
      <c r="B134" s="1">
        <v>46012.059733796297</v>
      </c>
      <c r="C134" s="2" t="s">
        <v>29</v>
      </c>
      <c r="D134" t="s">
        <v>23</v>
      </c>
      <c r="E134">
        <v>4976</v>
      </c>
      <c r="F134" t="s">
        <v>14</v>
      </c>
      <c r="G134" t="s">
        <v>51</v>
      </c>
      <c r="H134" t="s">
        <v>16</v>
      </c>
      <c r="I134">
        <v>0</v>
      </c>
      <c r="J134">
        <v>0</v>
      </c>
      <c r="K134">
        <v>0</v>
      </c>
    </row>
    <row r="135" spans="1:11" x14ac:dyDescent="0.25">
      <c r="A135" t="s">
        <v>174</v>
      </c>
      <c r="B135" s="1">
        <v>46107.519074074073</v>
      </c>
      <c r="C135" s="2" t="s">
        <v>39</v>
      </c>
      <c r="D135" t="s">
        <v>23</v>
      </c>
      <c r="E135">
        <v>3575</v>
      </c>
      <c r="F135" t="s">
        <v>14</v>
      </c>
      <c r="G135" t="s">
        <v>15</v>
      </c>
      <c r="H135" t="s">
        <v>16</v>
      </c>
      <c r="I135">
        <v>0</v>
      </c>
      <c r="J135">
        <v>0</v>
      </c>
      <c r="K135">
        <v>0</v>
      </c>
    </row>
    <row r="136" spans="1:11" x14ac:dyDescent="0.25">
      <c r="A136" t="s">
        <v>175</v>
      </c>
      <c r="B136" s="1">
        <v>45801.040034722224</v>
      </c>
      <c r="C136" s="2" t="s">
        <v>29</v>
      </c>
      <c r="D136" t="s">
        <v>23</v>
      </c>
      <c r="E136">
        <v>2600</v>
      </c>
      <c r="F136" t="s">
        <v>14</v>
      </c>
      <c r="G136" t="s">
        <v>30</v>
      </c>
      <c r="H136" t="s">
        <v>16</v>
      </c>
      <c r="I136">
        <v>0</v>
      </c>
      <c r="J136">
        <v>0</v>
      </c>
      <c r="K136">
        <v>0</v>
      </c>
    </row>
    <row r="137" spans="1:11" x14ac:dyDescent="0.25">
      <c r="A137" t="s">
        <v>176</v>
      </c>
      <c r="B137" s="1">
        <v>45853.172037037039</v>
      </c>
      <c r="C137" s="2" t="s">
        <v>12</v>
      </c>
      <c r="D137" t="s">
        <v>23</v>
      </c>
      <c r="E137">
        <v>4799</v>
      </c>
      <c r="F137" t="s">
        <v>14</v>
      </c>
      <c r="G137" t="s">
        <v>15</v>
      </c>
      <c r="H137" t="s">
        <v>16</v>
      </c>
      <c r="I137">
        <v>0</v>
      </c>
      <c r="J137">
        <v>0</v>
      </c>
      <c r="K137">
        <v>0</v>
      </c>
    </row>
    <row r="138" spans="1:11" x14ac:dyDescent="0.25">
      <c r="A138" t="s">
        <v>177</v>
      </c>
      <c r="B138" s="1">
        <v>45967.56521990741</v>
      </c>
      <c r="C138" s="2" t="s">
        <v>39</v>
      </c>
      <c r="D138" t="s">
        <v>45</v>
      </c>
      <c r="E138">
        <v>118754</v>
      </c>
      <c r="F138" t="s">
        <v>14</v>
      </c>
      <c r="G138" t="s">
        <v>30</v>
      </c>
      <c r="H138" t="s">
        <v>178</v>
      </c>
      <c r="I138">
        <v>1187.54</v>
      </c>
      <c r="J138">
        <v>0</v>
      </c>
      <c r="K138">
        <v>1187.54</v>
      </c>
    </row>
    <row r="139" spans="1:11" x14ac:dyDescent="0.25">
      <c r="A139" t="s">
        <v>179</v>
      </c>
      <c r="B139" s="1">
        <v>46070.401678240742</v>
      </c>
      <c r="C139" s="2" t="s">
        <v>32</v>
      </c>
      <c r="D139" t="s">
        <v>33</v>
      </c>
      <c r="E139">
        <v>67303</v>
      </c>
      <c r="F139" t="s">
        <v>14</v>
      </c>
      <c r="G139" t="s">
        <v>34</v>
      </c>
      <c r="H139" t="s">
        <v>16</v>
      </c>
      <c r="I139">
        <v>0</v>
      </c>
      <c r="J139">
        <v>0</v>
      </c>
      <c r="K139">
        <v>0</v>
      </c>
    </row>
    <row r="140" spans="1:11" x14ac:dyDescent="0.25">
      <c r="A140" t="s">
        <v>180</v>
      </c>
      <c r="B140" s="1">
        <v>45812.878564814811</v>
      </c>
      <c r="C140" s="2" t="s">
        <v>29</v>
      </c>
      <c r="D140" t="s">
        <v>33</v>
      </c>
      <c r="E140">
        <v>45831</v>
      </c>
      <c r="F140" t="s">
        <v>50</v>
      </c>
      <c r="G140" t="s">
        <v>30</v>
      </c>
      <c r="H140" t="s">
        <v>16</v>
      </c>
      <c r="I140">
        <v>0</v>
      </c>
      <c r="J140">
        <v>0</v>
      </c>
      <c r="K140">
        <v>0</v>
      </c>
    </row>
    <row r="141" spans="1:11" x14ac:dyDescent="0.25">
      <c r="A141" t="s">
        <v>181</v>
      </c>
      <c r="B141" s="1">
        <v>46103.006874999999</v>
      </c>
      <c r="C141" s="2" t="s">
        <v>22</v>
      </c>
      <c r="D141" t="s">
        <v>45</v>
      </c>
      <c r="E141">
        <v>82011</v>
      </c>
      <c r="F141" t="s">
        <v>14</v>
      </c>
      <c r="G141" t="s">
        <v>15</v>
      </c>
      <c r="H141" t="s">
        <v>56</v>
      </c>
      <c r="I141">
        <v>820.11</v>
      </c>
      <c r="J141">
        <v>0</v>
      </c>
      <c r="K141">
        <v>820.11</v>
      </c>
    </row>
    <row r="142" spans="1:11" x14ac:dyDescent="0.25">
      <c r="A142" t="s">
        <v>182</v>
      </c>
      <c r="B142" s="1">
        <v>46132.233217592591</v>
      </c>
      <c r="C142" s="2" t="s">
        <v>18</v>
      </c>
      <c r="D142" t="s">
        <v>23</v>
      </c>
      <c r="E142">
        <v>2568</v>
      </c>
      <c r="F142" t="s">
        <v>14</v>
      </c>
      <c r="G142" t="s">
        <v>51</v>
      </c>
      <c r="H142" t="s">
        <v>16</v>
      </c>
      <c r="I142">
        <v>0</v>
      </c>
      <c r="J142">
        <v>0</v>
      </c>
      <c r="K142">
        <v>0</v>
      </c>
    </row>
    <row r="143" spans="1:11" x14ac:dyDescent="0.25">
      <c r="A143" t="s">
        <v>183</v>
      </c>
      <c r="B143" s="1">
        <v>45866.403020833335</v>
      </c>
      <c r="C143" s="2" t="s">
        <v>29</v>
      </c>
      <c r="D143" t="s">
        <v>13</v>
      </c>
      <c r="E143">
        <v>29000</v>
      </c>
      <c r="F143" t="s">
        <v>14</v>
      </c>
      <c r="G143" t="s">
        <v>24</v>
      </c>
      <c r="H143" t="s">
        <v>16</v>
      </c>
      <c r="I143">
        <v>536.5</v>
      </c>
      <c r="J143">
        <v>214.6</v>
      </c>
      <c r="K143">
        <v>321.89999999999998</v>
      </c>
    </row>
    <row r="144" spans="1:11" x14ac:dyDescent="0.25">
      <c r="A144" t="s">
        <v>184</v>
      </c>
      <c r="B144" s="1">
        <v>46113.269178240742</v>
      </c>
      <c r="C144" s="2" t="s">
        <v>12</v>
      </c>
      <c r="D144" t="s">
        <v>13</v>
      </c>
      <c r="E144">
        <v>147000</v>
      </c>
      <c r="F144" t="s">
        <v>14</v>
      </c>
      <c r="G144" t="s">
        <v>30</v>
      </c>
      <c r="H144" t="s">
        <v>16</v>
      </c>
      <c r="I144">
        <v>2719.5</v>
      </c>
      <c r="J144">
        <v>1087.8</v>
      </c>
      <c r="K144">
        <v>1631.7</v>
      </c>
    </row>
    <row r="145" spans="1:11" x14ac:dyDescent="0.25">
      <c r="A145" t="s">
        <v>185</v>
      </c>
      <c r="B145" s="1">
        <v>45967.752118055556</v>
      </c>
      <c r="C145" s="2" t="s">
        <v>39</v>
      </c>
      <c r="D145" t="s">
        <v>19</v>
      </c>
      <c r="E145">
        <v>89595</v>
      </c>
      <c r="F145" t="s">
        <v>14</v>
      </c>
      <c r="G145" t="s">
        <v>84</v>
      </c>
      <c r="H145" t="s">
        <v>16</v>
      </c>
      <c r="I145">
        <v>5</v>
      </c>
      <c r="J145">
        <v>0</v>
      </c>
      <c r="K145">
        <v>5</v>
      </c>
    </row>
    <row r="146" spans="1:11" x14ac:dyDescent="0.25">
      <c r="A146" t="s">
        <v>186</v>
      </c>
      <c r="B146" s="1">
        <v>46112.728946759256</v>
      </c>
      <c r="C146" s="2" t="s">
        <v>29</v>
      </c>
      <c r="D146" t="s">
        <v>23</v>
      </c>
      <c r="E146">
        <v>3380</v>
      </c>
      <c r="F146" t="s">
        <v>14</v>
      </c>
      <c r="G146" t="s">
        <v>84</v>
      </c>
      <c r="H146" t="s">
        <v>16</v>
      </c>
      <c r="I146">
        <v>0</v>
      </c>
      <c r="J146">
        <v>0</v>
      </c>
      <c r="K146">
        <v>0</v>
      </c>
    </row>
    <row r="147" spans="1:11" x14ac:dyDescent="0.25">
      <c r="A147" t="s">
        <v>187</v>
      </c>
      <c r="B147" s="1">
        <v>46107.38890046296</v>
      </c>
      <c r="C147" s="2" t="s">
        <v>26</v>
      </c>
      <c r="D147" t="s">
        <v>33</v>
      </c>
      <c r="E147">
        <v>110547</v>
      </c>
      <c r="F147" t="s">
        <v>50</v>
      </c>
      <c r="G147" t="s">
        <v>51</v>
      </c>
      <c r="H147" t="s">
        <v>16</v>
      </c>
      <c r="I147">
        <v>0</v>
      </c>
      <c r="J147">
        <v>0</v>
      </c>
      <c r="K147">
        <v>0</v>
      </c>
    </row>
    <row r="148" spans="1:11" x14ac:dyDescent="0.25">
      <c r="A148" t="s">
        <v>188</v>
      </c>
      <c r="B148" s="1">
        <v>45827.151967592596</v>
      </c>
      <c r="C148" s="2" t="s">
        <v>26</v>
      </c>
      <c r="D148" t="s">
        <v>45</v>
      </c>
      <c r="E148">
        <v>37353</v>
      </c>
      <c r="F148" t="s">
        <v>14</v>
      </c>
      <c r="G148" t="s">
        <v>58</v>
      </c>
      <c r="H148" t="s">
        <v>178</v>
      </c>
      <c r="I148">
        <v>373.53</v>
      </c>
      <c r="J148">
        <v>0</v>
      </c>
      <c r="K148">
        <v>373.53</v>
      </c>
    </row>
    <row r="149" spans="1:11" x14ac:dyDescent="0.25">
      <c r="A149" t="s">
        <v>189</v>
      </c>
      <c r="B149" s="1">
        <v>45911.936736111114</v>
      </c>
      <c r="C149" s="2" t="s">
        <v>29</v>
      </c>
      <c r="D149" t="s">
        <v>13</v>
      </c>
      <c r="E149">
        <v>78000</v>
      </c>
      <c r="F149" t="s">
        <v>99</v>
      </c>
      <c r="G149" t="s">
        <v>30</v>
      </c>
      <c r="H149" t="s">
        <v>16</v>
      </c>
      <c r="I149">
        <v>1443</v>
      </c>
      <c r="J149">
        <v>577.20000000000005</v>
      </c>
      <c r="K149">
        <v>865.8</v>
      </c>
    </row>
    <row r="150" spans="1:11" x14ac:dyDescent="0.25">
      <c r="A150" t="s">
        <v>190</v>
      </c>
      <c r="B150" s="1">
        <v>45834.316550925927</v>
      </c>
      <c r="C150" s="2" t="s">
        <v>22</v>
      </c>
      <c r="D150" t="s">
        <v>45</v>
      </c>
      <c r="E150">
        <v>88203</v>
      </c>
      <c r="F150" t="s">
        <v>14</v>
      </c>
      <c r="G150" t="s">
        <v>30</v>
      </c>
      <c r="H150" t="s">
        <v>178</v>
      </c>
      <c r="I150">
        <v>882.03</v>
      </c>
      <c r="J150">
        <v>0</v>
      </c>
      <c r="K150">
        <v>882.03</v>
      </c>
    </row>
    <row r="151" spans="1:11" x14ac:dyDescent="0.25">
      <c r="A151" t="s">
        <v>191</v>
      </c>
      <c r="B151" s="1">
        <v>45915.069097222222</v>
      </c>
      <c r="C151" s="2" t="s">
        <v>12</v>
      </c>
      <c r="D151" t="s">
        <v>13</v>
      </c>
      <c r="E151">
        <v>238000</v>
      </c>
      <c r="F151" t="s">
        <v>14</v>
      </c>
      <c r="G151" t="s">
        <v>34</v>
      </c>
      <c r="H151" t="s">
        <v>16</v>
      </c>
      <c r="I151">
        <v>4403</v>
      </c>
      <c r="J151">
        <v>1761.2</v>
      </c>
      <c r="K151">
        <v>2641.8</v>
      </c>
    </row>
    <row r="152" spans="1:11" x14ac:dyDescent="0.25">
      <c r="A152" t="s">
        <v>192</v>
      </c>
      <c r="B152" s="1">
        <v>45948.754328703704</v>
      </c>
      <c r="C152" s="2" t="s">
        <v>22</v>
      </c>
      <c r="D152" t="s">
        <v>45</v>
      </c>
      <c r="E152">
        <v>1682</v>
      </c>
      <c r="F152" t="s">
        <v>14</v>
      </c>
      <c r="G152" t="s">
        <v>30</v>
      </c>
      <c r="H152" t="s">
        <v>71</v>
      </c>
      <c r="I152">
        <v>16.82</v>
      </c>
      <c r="J152">
        <v>0</v>
      </c>
      <c r="K152">
        <v>16.82</v>
      </c>
    </row>
    <row r="153" spans="1:11" x14ac:dyDescent="0.25">
      <c r="A153" t="s">
        <v>193</v>
      </c>
      <c r="B153" s="1">
        <v>45952.981134259258</v>
      </c>
      <c r="C153" s="2" t="s">
        <v>22</v>
      </c>
      <c r="D153" t="s">
        <v>19</v>
      </c>
      <c r="E153">
        <v>43846</v>
      </c>
      <c r="F153" t="s">
        <v>14</v>
      </c>
      <c r="G153" t="s">
        <v>27</v>
      </c>
      <c r="H153" t="s">
        <v>16</v>
      </c>
      <c r="I153">
        <v>5</v>
      </c>
      <c r="J153">
        <v>0</v>
      </c>
      <c r="K153">
        <v>5</v>
      </c>
    </row>
    <row r="154" spans="1:11" x14ac:dyDescent="0.25">
      <c r="A154" t="s">
        <v>194</v>
      </c>
      <c r="B154" s="1">
        <v>46088.534131944441</v>
      </c>
      <c r="C154" s="2" t="s">
        <v>32</v>
      </c>
      <c r="D154" t="s">
        <v>33</v>
      </c>
      <c r="E154">
        <v>146061</v>
      </c>
      <c r="F154" t="s">
        <v>14</v>
      </c>
      <c r="G154" t="s">
        <v>30</v>
      </c>
      <c r="H154" t="s">
        <v>16</v>
      </c>
      <c r="I154">
        <v>0</v>
      </c>
      <c r="J154">
        <v>0</v>
      </c>
      <c r="K154">
        <v>0</v>
      </c>
    </row>
    <row r="155" spans="1:11" x14ac:dyDescent="0.25">
      <c r="A155" t="s">
        <v>195</v>
      </c>
      <c r="B155" s="1">
        <v>46042.891770833332</v>
      </c>
      <c r="C155" s="2" t="s">
        <v>12</v>
      </c>
      <c r="D155" t="s">
        <v>23</v>
      </c>
      <c r="E155">
        <v>909</v>
      </c>
      <c r="F155" t="s">
        <v>14</v>
      </c>
      <c r="G155" t="s">
        <v>58</v>
      </c>
      <c r="H155" t="s">
        <v>16</v>
      </c>
      <c r="I155">
        <v>0</v>
      </c>
      <c r="J155">
        <v>0</v>
      </c>
      <c r="K155">
        <v>0</v>
      </c>
    </row>
    <row r="156" spans="1:11" x14ac:dyDescent="0.25">
      <c r="A156" t="s">
        <v>196</v>
      </c>
      <c r="B156" s="1">
        <v>46041.404027777775</v>
      </c>
      <c r="C156" s="2" t="s">
        <v>41</v>
      </c>
      <c r="D156" t="s">
        <v>23</v>
      </c>
      <c r="E156">
        <v>1364</v>
      </c>
      <c r="F156" t="s">
        <v>14</v>
      </c>
      <c r="G156" t="s">
        <v>15</v>
      </c>
      <c r="H156" t="s">
        <v>16</v>
      </c>
      <c r="I156">
        <v>0</v>
      </c>
      <c r="J156">
        <v>0</v>
      </c>
      <c r="K156">
        <v>0</v>
      </c>
    </row>
    <row r="157" spans="1:11" x14ac:dyDescent="0.25">
      <c r="A157" t="s">
        <v>197</v>
      </c>
      <c r="B157" s="1">
        <v>45997.072071759256</v>
      </c>
      <c r="C157" s="2" t="s">
        <v>39</v>
      </c>
      <c r="D157" t="s">
        <v>23</v>
      </c>
      <c r="E157">
        <v>2058</v>
      </c>
      <c r="F157" t="s">
        <v>14</v>
      </c>
      <c r="G157" t="s">
        <v>51</v>
      </c>
      <c r="H157" t="s">
        <v>16</v>
      </c>
      <c r="I157">
        <v>0</v>
      </c>
      <c r="J157">
        <v>0</v>
      </c>
      <c r="K157">
        <v>0</v>
      </c>
    </row>
    <row r="158" spans="1:11" x14ac:dyDescent="0.25">
      <c r="A158" t="s">
        <v>198</v>
      </c>
      <c r="B158" s="1">
        <v>45826.421979166669</v>
      </c>
      <c r="C158" s="2" t="s">
        <v>18</v>
      </c>
      <c r="D158" t="s">
        <v>13</v>
      </c>
      <c r="E158">
        <v>127500</v>
      </c>
      <c r="F158" t="s">
        <v>14</v>
      </c>
      <c r="G158" t="s">
        <v>34</v>
      </c>
      <c r="H158" t="s">
        <v>16</v>
      </c>
      <c r="I158">
        <v>2358.75</v>
      </c>
      <c r="J158">
        <v>943.5</v>
      </c>
      <c r="K158">
        <v>1415.25</v>
      </c>
    </row>
    <row r="159" spans="1:11" x14ac:dyDescent="0.25">
      <c r="A159" t="s">
        <v>199</v>
      </c>
      <c r="B159" s="1">
        <v>46114.855763888889</v>
      </c>
      <c r="C159" s="2" t="s">
        <v>18</v>
      </c>
      <c r="D159" t="s">
        <v>19</v>
      </c>
      <c r="E159">
        <v>97882</v>
      </c>
      <c r="F159" t="s">
        <v>14</v>
      </c>
      <c r="G159" t="s">
        <v>34</v>
      </c>
      <c r="H159" t="s">
        <v>16</v>
      </c>
      <c r="I159">
        <v>5</v>
      </c>
      <c r="J159">
        <v>0</v>
      </c>
      <c r="K159">
        <v>5</v>
      </c>
    </row>
    <row r="160" spans="1:11" x14ac:dyDescent="0.25">
      <c r="A160" t="s">
        <v>200</v>
      </c>
      <c r="B160" s="1">
        <v>45925.893761574072</v>
      </c>
      <c r="C160" s="2" t="s">
        <v>29</v>
      </c>
      <c r="D160" t="s">
        <v>19</v>
      </c>
      <c r="E160">
        <v>63065</v>
      </c>
      <c r="F160" t="s">
        <v>99</v>
      </c>
      <c r="G160" t="s">
        <v>34</v>
      </c>
      <c r="H160" t="s">
        <v>16</v>
      </c>
      <c r="I160">
        <v>5</v>
      </c>
      <c r="J160">
        <v>0</v>
      </c>
      <c r="K160">
        <v>5</v>
      </c>
    </row>
    <row r="161" spans="1:11" x14ac:dyDescent="0.25">
      <c r="A161" t="s">
        <v>201</v>
      </c>
      <c r="B161" s="1">
        <v>45831.328969907408</v>
      </c>
      <c r="C161" s="2" t="s">
        <v>41</v>
      </c>
      <c r="D161" t="s">
        <v>19</v>
      </c>
      <c r="E161">
        <v>73820</v>
      </c>
      <c r="F161" t="s">
        <v>14</v>
      </c>
      <c r="G161" t="s">
        <v>27</v>
      </c>
      <c r="H161" t="s">
        <v>16</v>
      </c>
      <c r="I161">
        <v>5</v>
      </c>
      <c r="J161">
        <v>0</v>
      </c>
      <c r="K161">
        <v>5</v>
      </c>
    </row>
    <row r="162" spans="1:11" x14ac:dyDescent="0.25">
      <c r="A162" t="s">
        <v>202</v>
      </c>
      <c r="B162" s="1">
        <v>46133.61986111111</v>
      </c>
      <c r="C162" s="2" t="s">
        <v>18</v>
      </c>
      <c r="D162" t="s">
        <v>33</v>
      </c>
      <c r="E162">
        <v>133704</v>
      </c>
      <c r="F162" t="s">
        <v>50</v>
      </c>
      <c r="G162" t="s">
        <v>84</v>
      </c>
      <c r="H162" t="s">
        <v>16</v>
      </c>
      <c r="I162">
        <v>0</v>
      </c>
      <c r="J162">
        <v>0</v>
      </c>
      <c r="K162">
        <v>0</v>
      </c>
    </row>
    <row r="163" spans="1:11" x14ac:dyDescent="0.25">
      <c r="A163" t="s">
        <v>203</v>
      </c>
      <c r="B163" s="1">
        <v>45944.260358796295</v>
      </c>
      <c r="C163" s="2" t="s">
        <v>26</v>
      </c>
      <c r="D163" t="s">
        <v>19</v>
      </c>
      <c r="E163">
        <v>87343</v>
      </c>
      <c r="F163" t="s">
        <v>14</v>
      </c>
      <c r="G163" t="s">
        <v>34</v>
      </c>
      <c r="H163" t="s">
        <v>16</v>
      </c>
      <c r="I163">
        <v>5</v>
      </c>
      <c r="J163">
        <v>0</v>
      </c>
      <c r="K163">
        <v>5</v>
      </c>
    </row>
    <row r="164" spans="1:11" x14ac:dyDescent="0.25">
      <c r="A164" t="s">
        <v>204</v>
      </c>
      <c r="B164" s="1">
        <v>46030.02065972222</v>
      </c>
      <c r="C164" s="2" t="s">
        <v>22</v>
      </c>
      <c r="D164" t="s">
        <v>19</v>
      </c>
      <c r="E164">
        <v>130052</v>
      </c>
      <c r="F164" t="s">
        <v>14</v>
      </c>
      <c r="G164" t="s">
        <v>20</v>
      </c>
      <c r="H164" t="s">
        <v>16</v>
      </c>
      <c r="I164">
        <v>5</v>
      </c>
      <c r="J164">
        <v>0</v>
      </c>
      <c r="K164">
        <v>5</v>
      </c>
    </row>
    <row r="165" spans="1:11" x14ac:dyDescent="0.25">
      <c r="A165" t="s">
        <v>205</v>
      </c>
      <c r="B165" s="1">
        <v>46071.802800925929</v>
      </c>
      <c r="C165" s="2" t="s">
        <v>29</v>
      </c>
      <c r="D165" t="s">
        <v>19</v>
      </c>
      <c r="E165">
        <v>86139</v>
      </c>
      <c r="F165" t="s">
        <v>14</v>
      </c>
      <c r="G165" t="s">
        <v>27</v>
      </c>
      <c r="H165" t="s">
        <v>16</v>
      </c>
      <c r="I165">
        <v>5</v>
      </c>
      <c r="J165">
        <v>0</v>
      </c>
      <c r="K165">
        <v>5</v>
      </c>
    </row>
    <row r="166" spans="1:11" x14ac:dyDescent="0.25">
      <c r="A166" t="s">
        <v>206</v>
      </c>
      <c r="B166" s="1">
        <v>46138.516446759262</v>
      </c>
      <c r="C166" s="2" t="s">
        <v>39</v>
      </c>
      <c r="D166" t="s">
        <v>23</v>
      </c>
      <c r="E166">
        <v>1186</v>
      </c>
      <c r="F166" t="s">
        <v>14</v>
      </c>
      <c r="G166" t="s">
        <v>20</v>
      </c>
      <c r="H166" t="s">
        <v>16</v>
      </c>
      <c r="I166">
        <v>0</v>
      </c>
      <c r="J166">
        <v>0</v>
      </c>
      <c r="K166">
        <v>0</v>
      </c>
    </row>
    <row r="167" spans="1:11" x14ac:dyDescent="0.25">
      <c r="A167" t="s">
        <v>207</v>
      </c>
      <c r="B167" s="1">
        <v>45882.430833333332</v>
      </c>
      <c r="C167" s="2" t="s">
        <v>39</v>
      </c>
      <c r="D167" t="s">
        <v>19</v>
      </c>
      <c r="E167">
        <v>115980</v>
      </c>
      <c r="F167" t="s">
        <v>14</v>
      </c>
      <c r="G167" t="s">
        <v>20</v>
      </c>
      <c r="H167" t="s">
        <v>16</v>
      </c>
      <c r="I167">
        <v>5</v>
      </c>
      <c r="J167">
        <v>0</v>
      </c>
      <c r="K167">
        <v>5</v>
      </c>
    </row>
    <row r="168" spans="1:11" x14ac:dyDescent="0.25">
      <c r="A168" t="s">
        <v>208</v>
      </c>
      <c r="B168" s="1">
        <v>45957.231412037036</v>
      </c>
      <c r="C168" s="2" t="s">
        <v>26</v>
      </c>
      <c r="D168" t="s">
        <v>23</v>
      </c>
      <c r="E168">
        <v>1005</v>
      </c>
      <c r="F168" t="s">
        <v>14</v>
      </c>
      <c r="G168" t="s">
        <v>51</v>
      </c>
      <c r="H168" t="s">
        <v>16</v>
      </c>
      <c r="I168">
        <v>0</v>
      </c>
      <c r="J168">
        <v>0</v>
      </c>
      <c r="K168">
        <v>0</v>
      </c>
    </row>
    <row r="169" spans="1:11" x14ac:dyDescent="0.25">
      <c r="A169" t="s">
        <v>209</v>
      </c>
      <c r="B169" s="1">
        <v>46119.521527777775</v>
      </c>
      <c r="C169" s="2" t="s">
        <v>18</v>
      </c>
      <c r="D169" t="s">
        <v>45</v>
      </c>
      <c r="E169">
        <v>130134</v>
      </c>
      <c r="F169" t="s">
        <v>14</v>
      </c>
      <c r="G169" t="s">
        <v>34</v>
      </c>
      <c r="H169" t="s">
        <v>178</v>
      </c>
      <c r="I169">
        <v>1301.3399999999999</v>
      </c>
      <c r="J169">
        <v>0</v>
      </c>
      <c r="K169">
        <v>1301.3399999999999</v>
      </c>
    </row>
    <row r="170" spans="1:11" x14ac:dyDescent="0.25">
      <c r="A170" t="s">
        <v>210</v>
      </c>
      <c r="B170" s="1">
        <v>45835.283229166664</v>
      </c>
      <c r="C170" s="2" t="s">
        <v>41</v>
      </c>
      <c r="D170" t="s">
        <v>45</v>
      </c>
      <c r="E170">
        <v>125843</v>
      </c>
      <c r="F170" t="s">
        <v>14</v>
      </c>
      <c r="G170" t="s">
        <v>24</v>
      </c>
      <c r="H170" t="s">
        <v>59</v>
      </c>
      <c r="I170">
        <v>1258.43</v>
      </c>
      <c r="J170">
        <v>0</v>
      </c>
      <c r="K170">
        <v>1258.43</v>
      </c>
    </row>
    <row r="171" spans="1:11" x14ac:dyDescent="0.25">
      <c r="A171" t="s">
        <v>211</v>
      </c>
      <c r="B171" s="1">
        <v>46075.623657407406</v>
      </c>
      <c r="C171" s="2" t="s">
        <v>41</v>
      </c>
      <c r="D171" t="s">
        <v>45</v>
      </c>
      <c r="E171">
        <v>149176</v>
      </c>
      <c r="F171" t="s">
        <v>14</v>
      </c>
      <c r="G171" t="s">
        <v>34</v>
      </c>
      <c r="H171" t="s">
        <v>59</v>
      </c>
      <c r="I171">
        <v>1491.76</v>
      </c>
      <c r="J171">
        <v>0</v>
      </c>
      <c r="K171">
        <v>1491.76</v>
      </c>
    </row>
    <row r="172" spans="1:11" x14ac:dyDescent="0.25">
      <c r="A172" t="s">
        <v>212</v>
      </c>
      <c r="B172" s="1">
        <v>46012.193483796298</v>
      </c>
      <c r="C172" s="2" t="s">
        <v>39</v>
      </c>
      <c r="D172" t="s">
        <v>19</v>
      </c>
      <c r="E172">
        <v>146651</v>
      </c>
      <c r="F172" t="s">
        <v>14</v>
      </c>
      <c r="G172" t="s">
        <v>15</v>
      </c>
      <c r="H172" t="s">
        <v>16</v>
      </c>
      <c r="I172">
        <v>5</v>
      </c>
      <c r="J172">
        <v>0</v>
      </c>
      <c r="K172">
        <v>5</v>
      </c>
    </row>
    <row r="173" spans="1:11" x14ac:dyDescent="0.25">
      <c r="A173" t="s">
        <v>213</v>
      </c>
      <c r="B173" s="1">
        <v>45922.94636574074</v>
      </c>
      <c r="C173" s="2" t="s">
        <v>39</v>
      </c>
      <c r="D173" t="s">
        <v>45</v>
      </c>
      <c r="E173">
        <v>101894</v>
      </c>
      <c r="F173" t="s">
        <v>50</v>
      </c>
      <c r="G173" t="s">
        <v>34</v>
      </c>
      <c r="H173" t="s">
        <v>56</v>
      </c>
      <c r="I173">
        <v>1018.94</v>
      </c>
      <c r="J173">
        <v>0</v>
      </c>
      <c r="K173">
        <v>1018.94</v>
      </c>
    </row>
    <row r="174" spans="1:11" x14ac:dyDescent="0.25">
      <c r="A174" t="s">
        <v>214</v>
      </c>
      <c r="B174" s="1">
        <v>45841.696180555555</v>
      </c>
      <c r="C174" s="2" t="s">
        <v>12</v>
      </c>
      <c r="D174" t="s">
        <v>19</v>
      </c>
      <c r="E174">
        <v>109460</v>
      </c>
      <c r="F174" t="s">
        <v>14</v>
      </c>
      <c r="G174" t="s">
        <v>58</v>
      </c>
      <c r="H174" t="s">
        <v>16</v>
      </c>
      <c r="I174">
        <v>5</v>
      </c>
      <c r="J174">
        <v>0</v>
      </c>
      <c r="K174">
        <v>5</v>
      </c>
    </row>
    <row r="175" spans="1:11" x14ac:dyDescent="0.25">
      <c r="A175" t="s">
        <v>215</v>
      </c>
      <c r="B175" s="1">
        <v>46130.57640046296</v>
      </c>
      <c r="C175" s="2" t="s">
        <v>22</v>
      </c>
      <c r="D175" t="s">
        <v>33</v>
      </c>
      <c r="E175">
        <v>72447</v>
      </c>
      <c r="F175" t="s">
        <v>50</v>
      </c>
      <c r="G175" t="s">
        <v>34</v>
      </c>
      <c r="H175" t="s">
        <v>16</v>
      </c>
      <c r="I175">
        <v>0</v>
      </c>
      <c r="J175">
        <v>0</v>
      </c>
      <c r="K175">
        <v>0</v>
      </c>
    </row>
    <row r="176" spans="1:11" x14ac:dyDescent="0.25">
      <c r="A176" t="s">
        <v>216</v>
      </c>
      <c r="B176" s="1">
        <v>46058.135937500003</v>
      </c>
      <c r="C176" s="2" t="s">
        <v>12</v>
      </c>
      <c r="D176" t="s">
        <v>13</v>
      </c>
      <c r="E176">
        <v>138000</v>
      </c>
      <c r="F176" t="s">
        <v>50</v>
      </c>
      <c r="G176" t="s">
        <v>34</v>
      </c>
      <c r="H176" t="s">
        <v>16</v>
      </c>
      <c r="I176">
        <v>2553</v>
      </c>
      <c r="J176">
        <v>1021.2</v>
      </c>
      <c r="K176">
        <v>1531.8</v>
      </c>
    </row>
    <row r="177" spans="1:11" x14ac:dyDescent="0.25">
      <c r="A177" t="s">
        <v>217</v>
      </c>
      <c r="B177" s="1">
        <v>45978.241643518515</v>
      </c>
      <c r="C177" s="2" t="s">
        <v>29</v>
      </c>
      <c r="D177" t="s">
        <v>33</v>
      </c>
      <c r="E177">
        <v>105397</v>
      </c>
      <c r="F177" t="s">
        <v>14</v>
      </c>
      <c r="G177" t="s">
        <v>34</v>
      </c>
      <c r="H177" t="s">
        <v>16</v>
      </c>
      <c r="I177">
        <v>0</v>
      </c>
      <c r="J177">
        <v>0</v>
      </c>
      <c r="K177">
        <v>0</v>
      </c>
    </row>
    <row r="178" spans="1:11" x14ac:dyDescent="0.25">
      <c r="A178" t="s">
        <v>218</v>
      </c>
      <c r="B178" s="1">
        <v>46079.883333333331</v>
      </c>
      <c r="C178" s="2" t="s">
        <v>26</v>
      </c>
      <c r="D178" t="s">
        <v>19</v>
      </c>
      <c r="E178">
        <v>70586</v>
      </c>
      <c r="F178" t="s">
        <v>14</v>
      </c>
      <c r="G178" t="s">
        <v>34</v>
      </c>
      <c r="H178" t="s">
        <v>16</v>
      </c>
      <c r="I178">
        <v>5</v>
      </c>
      <c r="J178">
        <v>0</v>
      </c>
      <c r="K178">
        <v>5</v>
      </c>
    </row>
    <row r="179" spans="1:11" x14ac:dyDescent="0.25">
      <c r="A179" t="s">
        <v>219</v>
      </c>
      <c r="B179" s="1">
        <v>45899.117164351854</v>
      </c>
      <c r="C179" s="2" t="s">
        <v>26</v>
      </c>
      <c r="D179" t="s">
        <v>19</v>
      </c>
      <c r="E179">
        <v>46193</v>
      </c>
      <c r="F179" t="s">
        <v>99</v>
      </c>
      <c r="G179" t="s">
        <v>20</v>
      </c>
      <c r="H179" t="s">
        <v>16</v>
      </c>
      <c r="I179">
        <v>5</v>
      </c>
      <c r="J179">
        <v>0</v>
      </c>
      <c r="K179">
        <v>5</v>
      </c>
    </row>
    <row r="180" spans="1:11" x14ac:dyDescent="0.25">
      <c r="A180" t="s">
        <v>220</v>
      </c>
      <c r="B180" s="1">
        <v>46139.467662037037</v>
      </c>
      <c r="C180" s="2" t="s">
        <v>26</v>
      </c>
      <c r="D180" t="s">
        <v>33</v>
      </c>
      <c r="E180">
        <v>139480</v>
      </c>
      <c r="F180" t="s">
        <v>14</v>
      </c>
      <c r="G180" t="s">
        <v>34</v>
      </c>
      <c r="H180" t="s">
        <v>16</v>
      </c>
      <c r="I180">
        <v>0</v>
      </c>
      <c r="J180">
        <v>0</v>
      </c>
      <c r="K180">
        <v>0</v>
      </c>
    </row>
    <row r="181" spans="1:11" x14ac:dyDescent="0.25">
      <c r="A181" t="s">
        <v>221</v>
      </c>
      <c r="B181" s="1">
        <v>45848.265960648147</v>
      </c>
      <c r="C181" s="2" t="s">
        <v>26</v>
      </c>
      <c r="D181" t="s">
        <v>33</v>
      </c>
      <c r="E181">
        <v>9396</v>
      </c>
      <c r="F181" t="s">
        <v>14</v>
      </c>
      <c r="G181" t="s">
        <v>58</v>
      </c>
      <c r="H181" t="s">
        <v>16</v>
      </c>
      <c r="I181">
        <v>0</v>
      </c>
      <c r="J181">
        <v>0</v>
      </c>
      <c r="K181">
        <v>0</v>
      </c>
    </row>
    <row r="182" spans="1:11" x14ac:dyDescent="0.25">
      <c r="A182" t="s">
        <v>222</v>
      </c>
      <c r="B182" s="1">
        <v>45910.767893518518</v>
      </c>
      <c r="C182" s="2" t="s">
        <v>22</v>
      </c>
      <c r="D182" t="s">
        <v>23</v>
      </c>
      <c r="E182">
        <v>3237</v>
      </c>
      <c r="F182" t="s">
        <v>14</v>
      </c>
      <c r="G182" t="s">
        <v>58</v>
      </c>
      <c r="H182" t="s">
        <v>16</v>
      </c>
      <c r="I182">
        <v>0</v>
      </c>
      <c r="J182">
        <v>0</v>
      </c>
      <c r="K182">
        <v>0</v>
      </c>
    </row>
    <row r="183" spans="1:11" x14ac:dyDescent="0.25">
      <c r="A183" t="s">
        <v>223</v>
      </c>
      <c r="B183" s="1">
        <v>46085.480069444442</v>
      </c>
      <c r="C183" s="2" t="s">
        <v>41</v>
      </c>
      <c r="D183" t="s">
        <v>23</v>
      </c>
      <c r="E183">
        <v>3666</v>
      </c>
      <c r="F183" t="s">
        <v>14</v>
      </c>
      <c r="G183" t="s">
        <v>58</v>
      </c>
      <c r="H183" t="s">
        <v>16</v>
      </c>
      <c r="I183">
        <v>0</v>
      </c>
      <c r="J183">
        <v>0</v>
      </c>
      <c r="K183">
        <v>0</v>
      </c>
    </row>
    <row r="184" spans="1:11" x14ac:dyDescent="0.25">
      <c r="A184" t="s">
        <v>224</v>
      </c>
      <c r="B184" s="1">
        <v>46073.255428240744</v>
      </c>
      <c r="C184" s="2" t="s">
        <v>39</v>
      </c>
      <c r="D184" t="s">
        <v>33</v>
      </c>
      <c r="E184">
        <v>99404</v>
      </c>
      <c r="F184" t="s">
        <v>50</v>
      </c>
      <c r="G184" t="s">
        <v>34</v>
      </c>
      <c r="H184" t="s">
        <v>16</v>
      </c>
      <c r="I184">
        <v>0</v>
      </c>
      <c r="J184">
        <v>0</v>
      </c>
      <c r="K184">
        <v>0</v>
      </c>
    </row>
    <row r="185" spans="1:11" x14ac:dyDescent="0.25">
      <c r="A185" t="s">
        <v>225</v>
      </c>
      <c r="B185" s="1">
        <v>45783.654502314814</v>
      </c>
      <c r="C185" s="2" t="s">
        <v>41</v>
      </c>
      <c r="D185" t="s">
        <v>33</v>
      </c>
      <c r="E185">
        <v>60128</v>
      </c>
      <c r="F185" t="s">
        <v>14</v>
      </c>
      <c r="G185" t="s">
        <v>27</v>
      </c>
      <c r="H185" t="s">
        <v>16</v>
      </c>
      <c r="I185">
        <v>0</v>
      </c>
      <c r="J185">
        <v>0</v>
      </c>
      <c r="K185">
        <v>0</v>
      </c>
    </row>
    <row r="186" spans="1:11" x14ac:dyDescent="0.25">
      <c r="A186" t="s">
        <v>226</v>
      </c>
      <c r="B186" s="1">
        <v>46010.048101851855</v>
      </c>
      <c r="C186" s="2" t="s">
        <v>22</v>
      </c>
      <c r="D186" t="s">
        <v>33</v>
      </c>
      <c r="E186">
        <v>18846</v>
      </c>
      <c r="F186" t="s">
        <v>14</v>
      </c>
      <c r="G186" t="s">
        <v>20</v>
      </c>
      <c r="H186" t="s">
        <v>16</v>
      </c>
      <c r="I186">
        <v>0</v>
      </c>
      <c r="J186">
        <v>0</v>
      </c>
      <c r="K186">
        <v>0</v>
      </c>
    </row>
    <row r="187" spans="1:11" x14ac:dyDescent="0.25">
      <c r="A187" t="s">
        <v>227</v>
      </c>
      <c r="B187" s="1">
        <v>46043.673159722224</v>
      </c>
      <c r="C187" s="2" t="s">
        <v>26</v>
      </c>
      <c r="D187" t="s">
        <v>45</v>
      </c>
      <c r="E187">
        <v>42003</v>
      </c>
      <c r="F187" t="s">
        <v>14</v>
      </c>
      <c r="G187" t="s">
        <v>34</v>
      </c>
      <c r="H187" t="s">
        <v>46</v>
      </c>
      <c r="I187">
        <v>420.03</v>
      </c>
      <c r="J187">
        <v>0</v>
      </c>
      <c r="K187">
        <v>420.03</v>
      </c>
    </row>
    <row r="188" spans="1:11" x14ac:dyDescent="0.25">
      <c r="A188" t="s">
        <v>228</v>
      </c>
      <c r="B188" s="1">
        <v>46032.41097222222</v>
      </c>
      <c r="C188" s="2" t="s">
        <v>22</v>
      </c>
      <c r="D188" t="s">
        <v>13</v>
      </c>
      <c r="E188">
        <v>211000</v>
      </c>
      <c r="F188" t="s">
        <v>50</v>
      </c>
      <c r="G188" t="s">
        <v>15</v>
      </c>
      <c r="H188" t="s">
        <v>16</v>
      </c>
      <c r="I188">
        <v>3903.5</v>
      </c>
      <c r="J188">
        <v>1561.4</v>
      </c>
      <c r="K188">
        <v>2342.1</v>
      </c>
    </row>
    <row r="189" spans="1:11" x14ac:dyDescent="0.25">
      <c r="A189" t="s">
        <v>229</v>
      </c>
      <c r="B189" s="1">
        <v>46123.652615740742</v>
      </c>
      <c r="C189" s="2" t="s">
        <v>12</v>
      </c>
      <c r="D189" t="s">
        <v>23</v>
      </c>
      <c r="E189">
        <v>3927</v>
      </c>
      <c r="F189" t="s">
        <v>14</v>
      </c>
      <c r="G189" t="s">
        <v>58</v>
      </c>
      <c r="H189" t="s">
        <v>16</v>
      </c>
      <c r="I189">
        <v>0</v>
      </c>
      <c r="J189">
        <v>0</v>
      </c>
      <c r="K189">
        <v>0</v>
      </c>
    </row>
    <row r="190" spans="1:11" x14ac:dyDescent="0.25">
      <c r="A190" t="s">
        <v>230</v>
      </c>
      <c r="B190" s="1">
        <v>46006.280300925922</v>
      </c>
      <c r="C190" s="2" t="s">
        <v>39</v>
      </c>
      <c r="D190" t="s">
        <v>19</v>
      </c>
      <c r="E190">
        <v>84998</v>
      </c>
      <c r="F190" t="s">
        <v>14</v>
      </c>
      <c r="G190" t="s">
        <v>30</v>
      </c>
      <c r="H190" t="s">
        <v>16</v>
      </c>
      <c r="I190">
        <v>5</v>
      </c>
      <c r="J190">
        <v>0</v>
      </c>
      <c r="K190">
        <v>5</v>
      </c>
    </row>
    <row r="191" spans="1:11" x14ac:dyDescent="0.25">
      <c r="A191" t="s">
        <v>231</v>
      </c>
      <c r="B191" s="1">
        <v>45858.329513888886</v>
      </c>
      <c r="C191" s="2" t="s">
        <v>22</v>
      </c>
      <c r="D191" t="s">
        <v>45</v>
      </c>
      <c r="E191">
        <v>11729</v>
      </c>
      <c r="F191" t="s">
        <v>14</v>
      </c>
      <c r="G191" t="s">
        <v>24</v>
      </c>
      <c r="H191" t="s">
        <v>56</v>
      </c>
      <c r="I191">
        <v>117.29</v>
      </c>
      <c r="J191">
        <v>0</v>
      </c>
      <c r="K191">
        <v>117.29</v>
      </c>
    </row>
    <row r="192" spans="1:11" x14ac:dyDescent="0.25">
      <c r="A192" t="s">
        <v>232</v>
      </c>
      <c r="B192" s="1">
        <v>45850.201273148145</v>
      </c>
      <c r="C192" s="2" t="s">
        <v>26</v>
      </c>
      <c r="D192" t="s">
        <v>13</v>
      </c>
      <c r="E192">
        <v>61000</v>
      </c>
      <c r="F192" t="s">
        <v>14</v>
      </c>
      <c r="G192" t="s">
        <v>27</v>
      </c>
      <c r="H192" t="s">
        <v>16</v>
      </c>
      <c r="I192">
        <v>1128.5</v>
      </c>
      <c r="J192">
        <v>451.4</v>
      </c>
      <c r="K192">
        <v>677.1</v>
      </c>
    </row>
    <row r="193" spans="1:11" x14ac:dyDescent="0.25">
      <c r="A193" t="s">
        <v>233</v>
      </c>
      <c r="B193" s="1">
        <v>45937.506863425922</v>
      </c>
      <c r="C193" s="2" t="s">
        <v>29</v>
      </c>
      <c r="D193" t="s">
        <v>45</v>
      </c>
      <c r="E193">
        <v>52916</v>
      </c>
      <c r="F193" t="s">
        <v>14</v>
      </c>
      <c r="G193" t="s">
        <v>20</v>
      </c>
      <c r="H193" t="s">
        <v>46</v>
      </c>
      <c r="I193">
        <v>529.16</v>
      </c>
      <c r="J193">
        <v>0</v>
      </c>
      <c r="K193">
        <v>529.16</v>
      </c>
    </row>
    <row r="194" spans="1:11" x14ac:dyDescent="0.25">
      <c r="A194" t="s">
        <v>234</v>
      </c>
      <c r="B194" s="1">
        <v>46086.153784722221</v>
      </c>
      <c r="C194" s="2" t="s">
        <v>12</v>
      </c>
      <c r="D194" t="s">
        <v>13</v>
      </c>
      <c r="E194">
        <v>169500</v>
      </c>
      <c r="F194" t="s">
        <v>14</v>
      </c>
      <c r="G194" t="s">
        <v>34</v>
      </c>
      <c r="H194" t="s">
        <v>16</v>
      </c>
      <c r="I194">
        <v>3135.75</v>
      </c>
      <c r="J194">
        <v>1254.3</v>
      </c>
      <c r="K194">
        <v>1881.45</v>
      </c>
    </row>
    <row r="195" spans="1:11" x14ac:dyDescent="0.25">
      <c r="A195" t="s">
        <v>235</v>
      </c>
      <c r="B195" s="1">
        <v>45859.903796296298</v>
      </c>
      <c r="C195" s="2" t="s">
        <v>22</v>
      </c>
      <c r="D195" t="s">
        <v>19</v>
      </c>
      <c r="E195">
        <v>26663</v>
      </c>
      <c r="F195" t="s">
        <v>14</v>
      </c>
      <c r="G195" t="s">
        <v>58</v>
      </c>
      <c r="H195" t="s">
        <v>16</v>
      </c>
      <c r="I195">
        <v>5</v>
      </c>
      <c r="J195">
        <v>0</v>
      </c>
      <c r="K195">
        <v>5</v>
      </c>
    </row>
    <row r="196" spans="1:11" x14ac:dyDescent="0.25">
      <c r="A196" t="s">
        <v>236</v>
      </c>
      <c r="B196" s="1">
        <v>46098.904803240737</v>
      </c>
      <c r="C196" s="2" t="s">
        <v>12</v>
      </c>
      <c r="D196" t="s">
        <v>19</v>
      </c>
      <c r="E196">
        <v>105732</v>
      </c>
      <c r="F196" t="s">
        <v>14</v>
      </c>
      <c r="G196" t="s">
        <v>20</v>
      </c>
      <c r="H196" t="s">
        <v>16</v>
      </c>
      <c r="I196">
        <v>5</v>
      </c>
      <c r="J196">
        <v>0</v>
      </c>
      <c r="K196">
        <v>5</v>
      </c>
    </row>
    <row r="197" spans="1:11" x14ac:dyDescent="0.25">
      <c r="A197" t="s">
        <v>237</v>
      </c>
      <c r="B197" s="1">
        <v>45802.090057870373</v>
      </c>
      <c r="C197" s="2" t="s">
        <v>39</v>
      </c>
      <c r="D197" t="s">
        <v>23</v>
      </c>
      <c r="E197">
        <v>4975</v>
      </c>
      <c r="F197" t="s">
        <v>14</v>
      </c>
      <c r="G197" t="s">
        <v>20</v>
      </c>
      <c r="H197" t="s">
        <v>16</v>
      </c>
      <c r="I197">
        <v>0</v>
      </c>
      <c r="J197">
        <v>0</v>
      </c>
      <c r="K197">
        <v>0</v>
      </c>
    </row>
    <row r="198" spans="1:11" x14ac:dyDescent="0.25">
      <c r="A198" t="s">
        <v>238</v>
      </c>
      <c r="B198" s="1">
        <v>45920.727650462963</v>
      </c>
      <c r="C198" s="2" t="s">
        <v>12</v>
      </c>
      <c r="D198" t="s">
        <v>45</v>
      </c>
      <c r="E198">
        <v>7391</v>
      </c>
      <c r="F198" t="s">
        <v>14</v>
      </c>
      <c r="G198" t="s">
        <v>34</v>
      </c>
      <c r="H198" t="s">
        <v>46</v>
      </c>
      <c r="I198">
        <v>73.91</v>
      </c>
      <c r="J198">
        <v>0</v>
      </c>
      <c r="K198">
        <v>73.91</v>
      </c>
    </row>
    <row r="199" spans="1:11" x14ac:dyDescent="0.25">
      <c r="A199" t="s">
        <v>239</v>
      </c>
      <c r="B199" s="1">
        <v>45911.602592592593</v>
      </c>
      <c r="C199" s="2" t="s">
        <v>41</v>
      </c>
      <c r="D199" t="s">
        <v>13</v>
      </c>
      <c r="E199">
        <v>114500</v>
      </c>
      <c r="F199" t="s">
        <v>14</v>
      </c>
      <c r="G199" t="s">
        <v>34</v>
      </c>
      <c r="H199" t="s">
        <v>16</v>
      </c>
      <c r="I199">
        <v>2118.25</v>
      </c>
      <c r="J199">
        <v>847.3</v>
      </c>
      <c r="K199">
        <v>1270.95</v>
      </c>
    </row>
    <row r="200" spans="1:11" x14ac:dyDescent="0.25">
      <c r="A200" t="s">
        <v>240</v>
      </c>
      <c r="B200" s="1">
        <v>46058.317395833335</v>
      </c>
      <c r="C200" s="2" t="s">
        <v>22</v>
      </c>
      <c r="D200" t="s">
        <v>33</v>
      </c>
      <c r="E200">
        <v>30507</v>
      </c>
      <c r="F200" t="s">
        <v>14</v>
      </c>
      <c r="G200" t="s">
        <v>58</v>
      </c>
      <c r="H200" t="s">
        <v>16</v>
      </c>
      <c r="I200">
        <v>0</v>
      </c>
      <c r="J200">
        <v>0</v>
      </c>
      <c r="K200">
        <v>0</v>
      </c>
    </row>
    <row r="201" spans="1:11" x14ac:dyDescent="0.25">
      <c r="A201" t="s">
        <v>241</v>
      </c>
      <c r="B201" s="1">
        <v>45904.259456018517</v>
      </c>
      <c r="C201" s="2" t="s">
        <v>29</v>
      </c>
      <c r="D201" t="s">
        <v>19</v>
      </c>
      <c r="E201">
        <v>46078</v>
      </c>
      <c r="F201" t="s">
        <v>14</v>
      </c>
      <c r="G201" t="s">
        <v>30</v>
      </c>
      <c r="H201" t="s">
        <v>16</v>
      </c>
      <c r="I201">
        <v>5</v>
      </c>
      <c r="J201">
        <v>0</v>
      </c>
      <c r="K201">
        <v>5</v>
      </c>
    </row>
    <row r="202" spans="1:11" x14ac:dyDescent="0.25">
      <c r="A202" t="s">
        <v>242</v>
      </c>
      <c r="B202" s="1">
        <v>45861.189456018517</v>
      </c>
      <c r="C202" s="2" t="s">
        <v>18</v>
      </c>
      <c r="D202" t="s">
        <v>19</v>
      </c>
      <c r="E202">
        <v>17019</v>
      </c>
      <c r="F202" t="s">
        <v>50</v>
      </c>
      <c r="G202" t="s">
        <v>27</v>
      </c>
      <c r="H202" t="s">
        <v>16</v>
      </c>
      <c r="I202">
        <v>5</v>
      </c>
      <c r="J202">
        <v>0</v>
      </c>
      <c r="K202">
        <v>5</v>
      </c>
    </row>
    <row r="203" spans="1:11" x14ac:dyDescent="0.25">
      <c r="A203" t="s">
        <v>243</v>
      </c>
      <c r="B203" s="1">
        <v>46094.703622685185</v>
      </c>
      <c r="C203" s="2" t="s">
        <v>29</v>
      </c>
      <c r="D203" t="s">
        <v>19</v>
      </c>
      <c r="E203">
        <v>30310</v>
      </c>
      <c r="F203" t="s">
        <v>14</v>
      </c>
      <c r="G203" t="s">
        <v>24</v>
      </c>
      <c r="H203" t="s">
        <v>16</v>
      </c>
      <c r="I203">
        <v>5</v>
      </c>
      <c r="J203">
        <v>0</v>
      </c>
      <c r="K203">
        <v>5</v>
      </c>
    </row>
    <row r="204" spans="1:11" x14ac:dyDescent="0.25">
      <c r="A204" t="s">
        <v>244</v>
      </c>
      <c r="B204" s="1">
        <v>46113.031307870369</v>
      </c>
      <c r="C204" s="2" t="s">
        <v>29</v>
      </c>
      <c r="D204" t="s">
        <v>45</v>
      </c>
      <c r="E204">
        <v>94640</v>
      </c>
      <c r="F204" t="s">
        <v>14</v>
      </c>
      <c r="G204" t="s">
        <v>24</v>
      </c>
      <c r="H204" t="s">
        <v>59</v>
      </c>
      <c r="I204">
        <v>946.4</v>
      </c>
      <c r="J204">
        <v>0</v>
      </c>
      <c r="K204">
        <v>946.4</v>
      </c>
    </row>
    <row r="205" spans="1:11" x14ac:dyDescent="0.25">
      <c r="A205" t="s">
        <v>245</v>
      </c>
      <c r="B205" s="1">
        <v>45963.056840277779</v>
      </c>
      <c r="C205" s="2" t="s">
        <v>26</v>
      </c>
      <c r="D205" t="s">
        <v>19</v>
      </c>
      <c r="E205">
        <v>61869</v>
      </c>
      <c r="F205" t="s">
        <v>50</v>
      </c>
      <c r="G205" t="s">
        <v>27</v>
      </c>
      <c r="H205" t="s">
        <v>16</v>
      </c>
      <c r="I205">
        <v>5</v>
      </c>
      <c r="J205">
        <v>0</v>
      </c>
      <c r="K205">
        <v>5</v>
      </c>
    </row>
    <row r="206" spans="1:11" x14ac:dyDescent="0.25">
      <c r="A206" t="s">
        <v>246</v>
      </c>
      <c r="B206" s="1">
        <v>45939.804479166669</v>
      </c>
      <c r="C206" s="2" t="s">
        <v>39</v>
      </c>
      <c r="D206" t="s">
        <v>19</v>
      </c>
      <c r="E206">
        <v>114314</v>
      </c>
      <c r="F206" t="s">
        <v>50</v>
      </c>
      <c r="G206" t="s">
        <v>58</v>
      </c>
      <c r="H206" t="s">
        <v>16</v>
      </c>
      <c r="I206">
        <v>5</v>
      </c>
      <c r="J206">
        <v>0</v>
      </c>
      <c r="K206">
        <v>5</v>
      </c>
    </row>
    <row r="207" spans="1:11" x14ac:dyDescent="0.25">
      <c r="A207" t="s">
        <v>247</v>
      </c>
      <c r="B207" s="1">
        <v>45970.002986111111</v>
      </c>
      <c r="C207" s="2" t="s">
        <v>39</v>
      </c>
      <c r="D207" t="s">
        <v>45</v>
      </c>
      <c r="E207">
        <v>131721</v>
      </c>
      <c r="F207" t="s">
        <v>14</v>
      </c>
      <c r="G207" t="s">
        <v>58</v>
      </c>
      <c r="H207" t="s">
        <v>59</v>
      </c>
      <c r="I207">
        <v>1317.21</v>
      </c>
      <c r="J207">
        <v>0</v>
      </c>
      <c r="K207">
        <v>1317.21</v>
      </c>
    </row>
    <row r="208" spans="1:11" x14ac:dyDescent="0.25">
      <c r="A208" t="s">
        <v>248</v>
      </c>
      <c r="B208" s="1">
        <v>45849.489965277775</v>
      </c>
      <c r="C208" s="2" t="s">
        <v>12</v>
      </c>
      <c r="D208" t="s">
        <v>13</v>
      </c>
      <c r="E208">
        <v>126500</v>
      </c>
      <c r="F208" t="s">
        <v>14</v>
      </c>
      <c r="G208" t="s">
        <v>24</v>
      </c>
      <c r="H208" t="s">
        <v>16</v>
      </c>
      <c r="I208">
        <v>2340.25</v>
      </c>
      <c r="J208">
        <v>936.1</v>
      </c>
      <c r="K208">
        <v>1404.15</v>
      </c>
    </row>
    <row r="209" spans="1:11" x14ac:dyDescent="0.25">
      <c r="A209" t="s">
        <v>249</v>
      </c>
      <c r="B209" s="1">
        <v>45804.997870370367</v>
      </c>
      <c r="C209" s="2" t="s">
        <v>26</v>
      </c>
      <c r="D209" t="s">
        <v>45</v>
      </c>
      <c r="E209">
        <v>46276</v>
      </c>
      <c r="F209" t="s">
        <v>14</v>
      </c>
      <c r="G209" t="s">
        <v>84</v>
      </c>
      <c r="H209" t="s">
        <v>46</v>
      </c>
      <c r="I209">
        <v>462.76</v>
      </c>
      <c r="J209">
        <v>0</v>
      </c>
      <c r="K209">
        <v>462.76</v>
      </c>
    </row>
    <row r="210" spans="1:11" x14ac:dyDescent="0.25">
      <c r="A210" t="s">
        <v>250</v>
      </c>
      <c r="B210" s="1">
        <v>46043.841192129628</v>
      </c>
      <c r="C210" s="2" t="s">
        <v>26</v>
      </c>
      <c r="D210" t="s">
        <v>33</v>
      </c>
      <c r="E210">
        <v>27238</v>
      </c>
      <c r="F210" t="s">
        <v>14</v>
      </c>
      <c r="G210" t="s">
        <v>84</v>
      </c>
      <c r="H210" t="s">
        <v>16</v>
      </c>
      <c r="I210">
        <v>0</v>
      </c>
      <c r="J210">
        <v>0</v>
      </c>
      <c r="K210">
        <v>0</v>
      </c>
    </row>
    <row r="211" spans="1:11" x14ac:dyDescent="0.25">
      <c r="A211" t="s">
        <v>251</v>
      </c>
      <c r="B211" s="1">
        <v>45927.748182870368</v>
      </c>
      <c r="C211" s="2" t="s">
        <v>41</v>
      </c>
      <c r="D211" t="s">
        <v>23</v>
      </c>
      <c r="E211">
        <v>2606</v>
      </c>
      <c r="F211" t="s">
        <v>14</v>
      </c>
      <c r="G211" t="s">
        <v>34</v>
      </c>
      <c r="H211" t="s">
        <v>16</v>
      </c>
      <c r="I211">
        <v>0</v>
      </c>
      <c r="J211">
        <v>0</v>
      </c>
      <c r="K211">
        <v>0</v>
      </c>
    </row>
    <row r="212" spans="1:11" x14ac:dyDescent="0.25">
      <c r="A212" t="s">
        <v>252</v>
      </c>
      <c r="B212" s="1">
        <v>45815.728043981479</v>
      </c>
      <c r="C212" s="2" t="s">
        <v>32</v>
      </c>
      <c r="D212" t="s">
        <v>45</v>
      </c>
      <c r="E212">
        <v>98069</v>
      </c>
      <c r="F212" t="s">
        <v>14</v>
      </c>
      <c r="G212" t="s">
        <v>15</v>
      </c>
      <c r="H212" t="s">
        <v>59</v>
      </c>
      <c r="I212">
        <v>980.69</v>
      </c>
      <c r="J212">
        <v>0</v>
      </c>
      <c r="K212">
        <v>980.69</v>
      </c>
    </row>
    <row r="213" spans="1:11" x14ac:dyDescent="0.25">
      <c r="A213" t="s">
        <v>253</v>
      </c>
      <c r="B213" s="1">
        <v>45822.31449074074</v>
      </c>
      <c r="C213" s="2" t="s">
        <v>41</v>
      </c>
      <c r="D213" t="s">
        <v>19</v>
      </c>
      <c r="E213">
        <v>10434</v>
      </c>
      <c r="F213" t="s">
        <v>14</v>
      </c>
      <c r="G213" t="s">
        <v>27</v>
      </c>
      <c r="H213" t="s">
        <v>16</v>
      </c>
      <c r="I213">
        <v>5</v>
      </c>
      <c r="J213">
        <v>0</v>
      </c>
      <c r="K213">
        <v>5</v>
      </c>
    </row>
    <row r="214" spans="1:11" x14ac:dyDescent="0.25">
      <c r="A214" t="s">
        <v>254</v>
      </c>
      <c r="B214" s="1">
        <v>46114.370879629627</v>
      </c>
      <c r="C214" s="2" t="s">
        <v>22</v>
      </c>
      <c r="D214" t="s">
        <v>19</v>
      </c>
      <c r="E214">
        <v>104457</v>
      </c>
      <c r="F214" t="s">
        <v>14</v>
      </c>
      <c r="G214" t="s">
        <v>34</v>
      </c>
      <c r="H214" t="s">
        <v>16</v>
      </c>
      <c r="I214">
        <v>5</v>
      </c>
      <c r="J214">
        <v>0</v>
      </c>
      <c r="K214">
        <v>5</v>
      </c>
    </row>
    <row r="215" spans="1:11" x14ac:dyDescent="0.25">
      <c r="A215" t="s">
        <v>255</v>
      </c>
      <c r="B215" s="1">
        <v>45999.952384259261</v>
      </c>
      <c r="C215" s="2" t="s">
        <v>29</v>
      </c>
      <c r="D215" t="s">
        <v>45</v>
      </c>
      <c r="E215">
        <v>37756</v>
      </c>
      <c r="F215" t="s">
        <v>14</v>
      </c>
      <c r="G215" t="s">
        <v>30</v>
      </c>
      <c r="H215" t="s">
        <v>178</v>
      </c>
      <c r="I215">
        <v>377.56</v>
      </c>
      <c r="J215">
        <v>0</v>
      </c>
      <c r="K215">
        <v>377.56</v>
      </c>
    </row>
    <row r="216" spans="1:11" x14ac:dyDescent="0.25">
      <c r="A216" t="s">
        <v>256</v>
      </c>
      <c r="B216" s="1">
        <v>45830.097141203703</v>
      </c>
      <c r="C216" s="2" t="s">
        <v>41</v>
      </c>
      <c r="D216" t="s">
        <v>33</v>
      </c>
      <c r="E216">
        <v>113845</v>
      </c>
      <c r="F216" t="s">
        <v>14</v>
      </c>
      <c r="G216" t="s">
        <v>15</v>
      </c>
      <c r="H216" t="s">
        <v>16</v>
      </c>
      <c r="I216">
        <v>0</v>
      </c>
      <c r="J216">
        <v>0</v>
      </c>
      <c r="K216">
        <v>0</v>
      </c>
    </row>
    <row r="217" spans="1:11" x14ac:dyDescent="0.25">
      <c r="A217" t="s">
        <v>257</v>
      </c>
      <c r="B217" s="1">
        <v>45924.944340277776</v>
      </c>
      <c r="C217" s="2" t="s">
        <v>39</v>
      </c>
      <c r="D217" t="s">
        <v>19</v>
      </c>
      <c r="E217">
        <v>113866</v>
      </c>
      <c r="F217" t="s">
        <v>14</v>
      </c>
      <c r="G217" t="s">
        <v>58</v>
      </c>
      <c r="H217" t="s">
        <v>16</v>
      </c>
      <c r="I217">
        <v>5</v>
      </c>
      <c r="J217">
        <v>0</v>
      </c>
      <c r="K217">
        <v>5</v>
      </c>
    </row>
    <row r="218" spans="1:11" x14ac:dyDescent="0.25">
      <c r="A218" t="s">
        <v>258</v>
      </c>
      <c r="B218" s="1">
        <v>46132.404328703706</v>
      </c>
      <c r="C218" s="2" t="s">
        <v>29</v>
      </c>
      <c r="D218" t="s">
        <v>19</v>
      </c>
      <c r="E218">
        <v>30218</v>
      </c>
      <c r="F218" t="s">
        <v>14</v>
      </c>
      <c r="G218" t="s">
        <v>34</v>
      </c>
      <c r="H218" t="s">
        <v>16</v>
      </c>
      <c r="I218">
        <v>5</v>
      </c>
      <c r="J218">
        <v>0</v>
      </c>
      <c r="K218">
        <v>5</v>
      </c>
    </row>
    <row r="219" spans="1:11" x14ac:dyDescent="0.25">
      <c r="A219" t="s">
        <v>259</v>
      </c>
      <c r="B219" s="1">
        <v>46090.925879629627</v>
      </c>
      <c r="C219" s="2" t="s">
        <v>39</v>
      </c>
      <c r="D219" t="s">
        <v>45</v>
      </c>
      <c r="E219">
        <v>79899</v>
      </c>
      <c r="F219" t="s">
        <v>14</v>
      </c>
      <c r="G219" t="s">
        <v>58</v>
      </c>
      <c r="H219" t="s">
        <v>59</v>
      </c>
      <c r="I219">
        <v>798.99</v>
      </c>
      <c r="J219">
        <v>0</v>
      </c>
      <c r="K219">
        <v>798.99</v>
      </c>
    </row>
    <row r="220" spans="1:11" x14ac:dyDescent="0.25">
      <c r="A220" t="s">
        <v>260</v>
      </c>
      <c r="B220" s="1">
        <v>45942.443576388891</v>
      </c>
      <c r="C220" s="2" t="s">
        <v>12</v>
      </c>
      <c r="D220" t="s">
        <v>19</v>
      </c>
      <c r="E220">
        <v>62469</v>
      </c>
      <c r="F220" t="s">
        <v>50</v>
      </c>
      <c r="G220" t="s">
        <v>58</v>
      </c>
      <c r="H220" t="s">
        <v>16</v>
      </c>
      <c r="I220">
        <v>5</v>
      </c>
      <c r="J220">
        <v>0</v>
      </c>
      <c r="K220">
        <v>5</v>
      </c>
    </row>
    <row r="221" spans="1:11" x14ac:dyDescent="0.25">
      <c r="A221" t="s">
        <v>261</v>
      </c>
      <c r="B221" s="1">
        <v>46065.218981481485</v>
      </c>
      <c r="C221" s="2" t="s">
        <v>12</v>
      </c>
      <c r="D221" t="s">
        <v>23</v>
      </c>
      <c r="E221">
        <v>3223</v>
      </c>
      <c r="F221" t="s">
        <v>50</v>
      </c>
      <c r="G221" t="s">
        <v>15</v>
      </c>
      <c r="H221" t="s">
        <v>16</v>
      </c>
      <c r="I221">
        <v>0</v>
      </c>
      <c r="J221">
        <v>0</v>
      </c>
      <c r="K221">
        <v>0</v>
      </c>
    </row>
    <row r="222" spans="1:11" x14ac:dyDescent="0.25">
      <c r="A222" t="s">
        <v>262</v>
      </c>
      <c r="B222" s="1">
        <v>45838.29109953704</v>
      </c>
      <c r="C222" s="2" t="s">
        <v>41</v>
      </c>
      <c r="D222" t="s">
        <v>45</v>
      </c>
      <c r="E222">
        <v>27956</v>
      </c>
      <c r="F222" t="s">
        <v>14</v>
      </c>
      <c r="G222" t="s">
        <v>20</v>
      </c>
      <c r="H222" t="s">
        <v>56</v>
      </c>
      <c r="I222">
        <v>279.56</v>
      </c>
      <c r="J222">
        <v>0</v>
      </c>
      <c r="K222">
        <v>279.56</v>
      </c>
    </row>
    <row r="223" spans="1:11" x14ac:dyDescent="0.25">
      <c r="A223" t="s">
        <v>263</v>
      </c>
      <c r="B223" s="1">
        <v>45778.080462962964</v>
      </c>
      <c r="C223" s="2" t="s">
        <v>39</v>
      </c>
      <c r="D223" t="s">
        <v>23</v>
      </c>
      <c r="E223">
        <v>3621</v>
      </c>
      <c r="F223" t="s">
        <v>14</v>
      </c>
      <c r="G223" t="s">
        <v>84</v>
      </c>
      <c r="H223" t="s">
        <v>16</v>
      </c>
      <c r="I223">
        <v>0</v>
      </c>
      <c r="J223">
        <v>0</v>
      </c>
      <c r="K223">
        <v>0</v>
      </c>
    </row>
    <row r="224" spans="1:11" x14ac:dyDescent="0.25">
      <c r="A224" t="s">
        <v>264</v>
      </c>
      <c r="B224" s="1">
        <v>46018.27244212963</v>
      </c>
      <c r="C224" s="2" t="s">
        <v>29</v>
      </c>
      <c r="D224" t="s">
        <v>23</v>
      </c>
      <c r="E224">
        <v>3081</v>
      </c>
      <c r="F224" t="s">
        <v>14</v>
      </c>
      <c r="G224" t="s">
        <v>34</v>
      </c>
      <c r="H224" t="s">
        <v>16</v>
      </c>
      <c r="I224">
        <v>0</v>
      </c>
      <c r="J224">
        <v>0</v>
      </c>
      <c r="K224">
        <v>0</v>
      </c>
    </row>
    <row r="225" spans="1:11" x14ac:dyDescent="0.25">
      <c r="A225" t="s">
        <v>265</v>
      </c>
      <c r="B225" s="1">
        <v>45800.642893518518</v>
      </c>
      <c r="C225" s="2" t="s">
        <v>29</v>
      </c>
      <c r="D225" t="s">
        <v>33</v>
      </c>
      <c r="E225">
        <v>1797</v>
      </c>
      <c r="F225" t="s">
        <v>14</v>
      </c>
      <c r="G225" t="s">
        <v>27</v>
      </c>
      <c r="H225" t="s">
        <v>16</v>
      </c>
      <c r="I225">
        <v>0</v>
      </c>
      <c r="J225">
        <v>0</v>
      </c>
      <c r="K225">
        <v>0</v>
      </c>
    </row>
    <row r="226" spans="1:11" x14ac:dyDescent="0.25">
      <c r="A226" t="s">
        <v>266</v>
      </c>
      <c r="B226" s="1">
        <v>45975.227858796294</v>
      </c>
      <c r="C226" s="2" t="s">
        <v>22</v>
      </c>
      <c r="D226" t="s">
        <v>45</v>
      </c>
      <c r="E226">
        <v>60686</v>
      </c>
      <c r="F226" t="s">
        <v>50</v>
      </c>
      <c r="G226" t="s">
        <v>84</v>
      </c>
      <c r="H226" t="s">
        <v>71</v>
      </c>
      <c r="I226">
        <v>606.86</v>
      </c>
      <c r="J226">
        <v>0</v>
      </c>
      <c r="K226">
        <v>606.86</v>
      </c>
    </row>
    <row r="227" spans="1:11" x14ac:dyDescent="0.25">
      <c r="A227" t="s">
        <v>267</v>
      </c>
      <c r="B227" s="1">
        <v>45821.366030092591</v>
      </c>
      <c r="C227" s="2" t="s">
        <v>18</v>
      </c>
      <c r="D227" t="s">
        <v>19</v>
      </c>
      <c r="E227">
        <v>97823</v>
      </c>
      <c r="F227" t="s">
        <v>14</v>
      </c>
      <c r="G227" t="s">
        <v>15</v>
      </c>
      <c r="H227" t="s">
        <v>16</v>
      </c>
      <c r="I227">
        <v>5</v>
      </c>
      <c r="J227">
        <v>0</v>
      </c>
      <c r="K227">
        <v>5</v>
      </c>
    </row>
    <row r="228" spans="1:11" x14ac:dyDescent="0.25">
      <c r="A228" t="s">
        <v>268</v>
      </c>
      <c r="B228" s="1">
        <v>45891.456631944442</v>
      </c>
      <c r="C228" s="2" t="s">
        <v>29</v>
      </c>
      <c r="D228" t="s">
        <v>19</v>
      </c>
      <c r="E228">
        <v>37137</v>
      </c>
      <c r="F228" t="s">
        <v>50</v>
      </c>
      <c r="G228" t="s">
        <v>84</v>
      </c>
      <c r="H228" t="s">
        <v>16</v>
      </c>
      <c r="I228">
        <v>5</v>
      </c>
      <c r="J228">
        <v>0</v>
      </c>
      <c r="K228">
        <v>5</v>
      </c>
    </row>
    <row r="229" spans="1:11" x14ac:dyDescent="0.25">
      <c r="A229" t="s">
        <v>269</v>
      </c>
      <c r="B229" s="1">
        <v>45854.787662037037</v>
      </c>
      <c r="C229" s="2" t="s">
        <v>26</v>
      </c>
      <c r="D229" t="s">
        <v>19</v>
      </c>
      <c r="E229">
        <v>124451</v>
      </c>
      <c r="F229" t="s">
        <v>14</v>
      </c>
      <c r="G229" t="s">
        <v>24</v>
      </c>
      <c r="H229" t="s">
        <v>16</v>
      </c>
      <c r="I229">
        <v>5</v>
      </c>
      <c r="J229">
        <v>0</v>
      </c>
      <c r="K229">
        <v>5</v>
      </c>
    </row>
    <row r="230" spans="1:11" x14ac:dyDescent="0.25">
      <c r="A230" t="s">
        <v>270</v>
      </c>
      <c r="B230" s="1">
        <v>45942.766446759262</v>
      </c>
      <c r="C230" s="2" t="s">
        <v>18</v>
      </c>
      <c r="D230" t="s">
        <v>33</v>
      </c>
      <c r="E230">
        <v>104168</v>
      </c>
      <c r="F230" t="s">
        <v>14</v>
      </c>
      <c r="G230" t="s">
        <v>34</v>
      </c>
      <c r="H230" t="s">
        <v>16</v>
      </c>
      <c r="I230">
        <v>0</v>
      </c>
      <c r="J230">
        <v>0</v>
      </c>
      <c r="K230">
        <v>0</v>
      </c>
    </row>
    <row r="231" spans="1:11" x14ac:dyDescent="0.25">
      <c r="A231" t="s">
        <v>271</v>
      </c>
      <c r="B231" s="1">
        <v>45928.348090277781</v>
      </c>
      <c r="C231" s="2" t="s">
        <v>29</v>
      </c>
      <c r="D231" t="s">
        <v>13</v>
      </c>
      <c r="E231">
        <v>58000</v>
      </c>
      <c r="F231" t="s">
        <v>50</v>
      </c>
      <c r="G231" t="s">
        <v>84</v>
      </c>
      <c r="H231" t="s">
        <v>16</v>
      </c>
      <c r="I231">
        <v>1073</v>
      </c>
      <c r="J231">
        <v>429.2</v>
      </c>
      <c r="K231">
        <v>643.79999999999995</v>
      </c>
    </row>
    <row r="232" spans="1:11" x14ac:dyDescent="0.25">
      <c r="A232" t="s">
        <v>272</v>
      </c>
      <c r="B232" s="1">
        <v>46049.920289351852</v>
      </c>
      <c r="C232" s="2" t="s">
        <v>41</v>
      </c>
      <c r="D232" t="s">
        <v>45</v>
      </c>
      <c r="E232">
        <v>21797</v>
      </c>
      <c r="F232" t="s">
        <v>50</v>
      </c>
      <c r="G232" t="s">
        <v>84</v>
      </c>
      <c r="H232" t="s">
        <v>46</v>
      </c>
      <c r="I232">
        <v>217.97</v>
      </c>
      <c r="J232">
        <v>0</v>
      </c>
      <c r="K232">
        <v>217.97</v>
      </c>
    </row>
    <row r="233" spans="1:11" x14ac:dyDescent="0.25">
      <c r="A233" t="s">
        <v>273</v>
      </c>
      <c r="B233" s="1">
        <v>45782.615347222221</v>
      </c>
      <c r="C233" s="2" t="s">
        <v>32</v>
      </c>
      <c r="D233" t="s">
        <v>45</v>
      </c>
      <c r="E233">
        <v>137797</v>
      </c>
      <c r="F233" t="s">
        <v>14</v>
      </c>
      <c r="G233" t="s">
        <v>51</v>
      </c>
      <c r="H233" t="s">
        <v>56</v>
      </c>
      <c r="I233">
        <v>1377.97</v>
      </c>
      <c r="J233">
        <v>0</v>
      </c>
      <c r="K233">
        <v>1377.97</v>
      </c>
    </row>
    <row r="234" spans="1:11" x14ac:dyDescent="0.25">
      <c r="A234" t="s">
        <v>274</v>
      </c>
      <c r="B234" s="1">
        <v>45846.353842592594</v>
      </c>
      <c r="C234" s="2" t="s">
        <v>32</v>
      </c>
      <c r="D234" t="s">
        <v>19</v>
      </c>
      <c r="E234">
        <v>91678</v>
      </c>
      <c r="F234" t="s">
        <v>14</v>
      </c>
      <c r="G234" t="s">
        <v>30</v>
      </c>
      <c r="H234" t="s">
        <v>16</v>
      </c>
      <c r="I234">
        <v>5</v>
      </c>
      <c r="J234">
        <v>0</v>
      </c>
      <c r="K234">
        <v>5</v>
      </c>
    </row>
    <row r="235" spans="1:11" x14ac:dyDescent="0.25">
      <c r="A235" t="s">
        <v>275</v>
      </c>
      <c r="B235" s="1">
        <v>45908.374050925922</v>
      </c>
      <c r="C235" s="2" t="s">
        <v>18</v>
      </c>
      <c r="D235" t="s">
        <v>19</v>
      </c>
      <c r="E235">
        <v>143234</v>
      </c>
      <c r="F235" t="s">
        <v>50</v>
      </c>
      <c r="G235" t="s">
        <v>84</v>
      </c>
      <c r="H235" t="s">
        <v>16</v>
      </c>
      <c r="I235">
        <v>5</v>
      </c>
      <c r="J235">
        <v>0</v>
      </c>
      <c r="K235">
        <v>5</v>
      </c>
    </row>
    <row r="236" spans="1:11" x14ac:dyDescent="0.25">
      <c r="A236" t="s">
        <v>276</v>
      </c>
      <c r="B236" s="1">
        <v>45938.36246527778</v>
      </c>
      <c r="C236" s="2" t="s">
        <v>32</v>
      </c>
      <c r="D236" t="s">
        <v>23</v>
      </c>
      <c r="E236">
        <v>4601</v>
      </c>
      <c r="F236" t="s">
        <v>50</v>
      </c>
      <c r="G236" t="s">
        <v>24</v>
      </c>
      <c r="H236" t="s">
        <v>16</v>
      </c>
      <c r="I236">
        <v>0</v>
      </c>
      <c r="J236">
        <v>0</v>
      </c>
      <c r="K236">
        <v>0</v>
      </c>
    </row>
    <row r="237" spans="1:11" x14ac:dyDescent="0.25">
      <c r="A237" t="s">
        <v>277</v>
      </c>
      <c r="B237" s="1">
        <v>45956.635474537034</v>
      </c>
      <c r="C237" s="2" t="s">
        <v>12</v>
      </c>
      <c r="D237" t="s">
        <v>23</v>
      </c>
      <c r="E237">
        <v>650</v>
      </c>
      <c r="F237" t="s">
        <v>14</v>
      </c>
      <c r="G237" t="s">
        <v>51</v>
      </c>
      <c r="H237" t="s">
        <v>16</v>
      </c>
      <c r="I237">
        <v>0</v>
      </c>
      <c r="J237">
        <v>0</v>
      </c>
      <c r="K237">
        <v>0</v>
      </c>
    </row>
    <row r="238" spans="1:11" x14ac:dyDescent="0.25">
      <c r="A238" t="s">
        <v>278</v>
      </c>
      <c r="B238" s="1">
        <v>46138.866655092592</v>
      </c>
      <c r="C238" s="2" t="s">
        <v>22</v>
      </c>
      <c r="D238" t="s">
        <v>23</v>
      </c>
      <c r="E238">
        <v>2053</v>
      </c>
      <c r="F238" t="s">
        <v>14</v>
      </c>
      <c r="G238" t="s">
        <v>34</v>
      </c>
      <c r="H238" t="s">
        <v>16</v>
      </c>
      <c r="I238">
        <v>0</v>
      </c>
      <c r="J238">
        <v>0</v>
      </c>
      <c r="K238">
        <v>0</v>
      </c>
    </row>
    <row r="239" spans="1:11" x14ac:dyDescent="0.25">
      <c r="A239" t="s">
        <v>279</v>
      </c>
      <c r="B239" s="1">
        <v>46031.805972222224</v>
      </c>
      <c r="C239" s="2" t="s">
        <v>41</v>
      </c>
      <c r="D239" t="s">
        <v>19</v>
      </c>
      <c r="E239">
        <v>144280</v>
      </c>
      <c r="F239" t="s">
        <v>14</v>
      </c>
      <c r="G239" t="s">
        <v>84</v>
      </c>
      <c r="H239" t="s">
        <v>16</v>
      </c>
      <c r="I239">
        <v>5</v>
      </c>
      <c r="J239">
        <v>0</v>
      </c>
      <c r="K239">
        <v>5</v>
      </c>
    </row>
    <row r="240" spans="1:11" x14ac:dyDescent="0.25">
      <c r="A240" t="s">
        <v>280</v>
      </c>
      <c r="B240" s="1">
        <v>45911.416863425926</v>
      </c>
      <c r="C240" s="2" t="s">
        <v>39</v>
      </c>
      <c r="D240" t="s">
        <v>19</v>
      </c>
      <c r="E240">
        <v>88097</v>
      </c>
      <c r="F240" t="s">
        <v>14</v>
      </c>
      <c r="G240" t="s">
        <v>34</v>
      </c>
      <c r="H240" t="s">
        <v>16</v>
      </c>
      <c r="I240">
        <v>5</v>
      </c>
      <c r="J240">
        <v>0</v>
      </c>
      <c r="K240">
        <v>5</v>
      </c>
    </row>
    <row r="241" spans="1:11" x14ac:dyDescent="0.25">
      <c r="A241" t="s">
        <v>281</v>
      </c>
      <c r="B241" s="1">
        <v>46018.451898148145</v>
      </c>
      <c r="C241" s="2" t="s">
        <v>29</v>
      </c>
      <c r="D241" t="s">
        <v>45</v>
      </c>
      <c r="E241">
        <v>87121</v>
      </c>
      <c r="F241" t="s">
        <v>50</v>
      </c>
      <c r="G241" t="s">
        <v>20</v>
      </c>
      <c r="H241" t="s">
        <v>59</v>
      </c>
      <c r="I241">
        <v>871.21</v>
      </c>
      <c r="J241">
        <v>0</v>
      </c>
      <c r="K241">
        <v>871.21</v>
      </c>
    </row>
    <row r="242" spans="1:11" x14ac:dyDescent="0.25">
      <c r="A242" t="s">
        <v>282</v>
      </c>
      <c r="B242" s="1">
        <v>45990.746712962966</v>
      </c>
      <c r="C242" s="2" t="s">
        <v>32</v>
      </c>
      <c r="D242" t="s">
        <v>19</v>
      </c>
      <c r="E242">
        <v>149415</v>
      </c>
      <c r="F242" t="s">
        <v>14</v>
      </c>
      <c r="G242" t="s">
        <v>15</v>
      </c>
      <c r="H242" t="s">
        <v>16</v>
      </c>
      <c r="I242">
        <v>5</v>
      </c>
      <c r="J242">
        <v>0</v>
      </c>
      <c r="K242">
        <v>5</v>
      </c>
    </row>
    <row r="243" spans="1:11" x14ac:dyDescent="0.25">
      <c r="A243" t="s">
        <v>283</v>
      </c>
      <c r="B243" s="1">
        <v>46105.319212962961</v>
      </c>
      <c r="C243" s="2" t="s">
        <v>26</v>
      </c>
      <c r="D243" t="s">
        <v>13</v>
      </c>
      <c r="E243">
        <v>113500</v>
      </c>
      <c r="F243" t="s">
        <v>14</v>
      </c>
      <c r="G243" t="s">
        <v>51</v>
      </c>
      <c r="H243" t="s">
        <v>16</v>
      </c>
      <c r="I243">
        <v>2099.75</v>
      </c>
      <c r="J243">
        <v>839.9</v>
      </c>
      <c r="K243">
        <v>1259.8499999999999</v>
      </c>
    </row>
    <row r="244" spans="1:11" x14ac:dyDescent="0.25">
      <c r="A244" t="s">
        <v>284</v>
      </c>
      <c r="B244" s="1">
        <v>46038.810891203706</v>
      </c>
      <c r="C244" s="2" t="s">
        <v>29</v>
      </c>
      <c r="D244" t="s">
        <v>23</v>
      </c>
      <c r="E244">
        <v>148</v>
      </c>
      <c r="F244" t="s">
        <v>14</v>
      </c>
      <c r="G244" t="s">
        <v>30</v>
      </c>
      <c r="H244" t="s">
        <v>16</v>
      </c>
      <c r="I244">
        <v>0</v>
      </c>
      <c r="J244">
        <v>0</v>
      </c>
      <c r="K244">
        <v>0</v>
      </c>
    </row>
    <row r="245" spans="1:11" x14ac:dyDescent="0.25">
      <c r="A245" t="s">
        <v>285</v>
      </c>
      <c r="B245" s="1">
        <v>46099.506469907406</v>
      </c>
      <c r="C245" s="2" t="s">
        <v>18</v>
      </c>
      <c r="D245" t="s">
        <v>13</v>
      </c>
      <c r="E245">
        <v>195000</v>
      </c>
      <c r="F245" t="s">
        <v>14</v>
      </c>
      <c r="G245" t="s">
        <v>15</v>
      </c>
      <c r="H245" t="s">
        <v>16</v>
      </c>
      <c r="I245">
        <v>3607.5</v>
      </c>
      <c r="J245">
        <v>1443</v>
      </c>
      <c r="K245">
        <v>2164.5</v>
      </c>
    </row>
    <row r="246" spans="1:11" x14ac:dyDescent="0.25">
      <c r="A246" t="s">
        <v>286</v>
      </c>
      <c r="B246" s="1">
        <v>46000.546342592592</v>
      </c>
      <c r="C246" s="2" t="s">
        <v>41</v>
      </c>
      <c r="D246" t="s">
        <v>45</v>
      </c>
      <c r="E246">
        <v>2435</v>
      </c>
      <c r="F246" t="s">
        <v>50</v>
      </c>
      <c r="G246" t="s">
        <v>34</v>
      </c>
      <c r="H246" t="s">
        <v>59</v>
      </c>
      <c r="I246">
        <v>24.35</v>
      </c>
      <c r="J246">
        <v>0</v>
      </c>
      <c r="K246">
        <v>24.35</v>
      </c>
    </row>
    <row r="247" spans="1:11" x14ac:dyDescent="0.25">
      <c r="A247" t="s">
        <v>287</v>
      </c>
      <c r="B247" s="1">
        <v>46034.807245370372</v>
      </c>
      <c r="C247" s="2" t="s">
        <v>41</v>
      </c>
      <c r="D247" t="s">
        <v>13</v>
      </c>
      <c r="E247">
        <v>187000</v>
      </c>
      <c r="F247" t="s">
        <v>14</v>
      </c>
      <c r="G247" t="s">
        <v>58</v>
      </c>
      <c r="H247" t="s">
        <v>16</v>
      </c>
      <c r="I247">
        <v>3459.5</v>
      </c>
      <c r="J247">
        <v>1383.8</v>
      </c>
      <c r="K247">
        <v>2075.6999999999998</v>
      </c>
    </row>
    <row r="248" spans="1:11" x14ac:dyDescent="0.25">
      <c r="A248" t="s">
        <v>288</v>
      </c>
      <c r="B248" s="1">
        <v>46076.495150462964</v>
      </c>
      <c r="C248" s="2" t="s">
        <v>12</v>
      </c>
      <c r="D248" t="s">
        <v>19</v>
      </c>
      <c r="E248">
        <v>5912</v>
      </c>
      <c r="F248" t="s">
        <v>14</v>
      </c>
      <c r="G248" t="s">
        <v>51</v>
      </c>
      <c r="H248" t="s">
        <v>16</v>
      </c>
      <c r="I248">
        <v>5</v>
      </c>
      <c r="J248">
        <v>0</v>
      </c>
      <c r="K248">
        <v>5</v>
      </c>
    </row>
    <row r="249" spans="1:11" x14ac:dyDescent="0.25">
      <c r="A249" t="s">
        <v>289</v>
      </c>
      <c r="B249" s="1">
        <v>45978.134456018517</v>
      </c>
      <c r="C249" s="2" t="s">
        <v>26</v>
      </c>
      <c r="D249" t="s">
        <v>45</v>
      </c>
      <c r="E249">
        <v>117953</v>
      </c>
      <c r="F249" t="s">
        <v>14</v>
      </c>
      <c r="G249" t="s">
        <v>24</v>
      </c>
      <c r="H249" t="s">
        <v>56</v>
      </c>
      <c r="I249">
        <v>1179.53</v>
      </c>
      <c r="J249">
        <v>0</v>
      </c>
      <c r="K249">
        <v>1179.53</v>
      </c>
    </row>
    <row r="250" spans="1:11" x14ac:dyDescent="0.25">
      <c r="A250" t="s">
        <v>290</v>
      </c>
      <c r="B250" s="1">
        <v>46016.735694444447</v>
      </c>
      <c r="C250" s="2" t="s">
        <v>41</v>
      </c>
      <c r="D250" t="s">
        <v>13</v>
      </c>
      <c r="E250">
        <v>13500</v>
      </c>
      <c r="F250" t="s">
        <v>14</v>
      </c>
      <c r="G250" t="s">
        <v>15</v>
      </c>
      <c r="H250" t="s">
        <v>16</v>
      </c>
      <c r="I250">
        <v>249.75</v>
      </c>
      <c r="J250">
        <v>99.9</v>
      </c>
      <c r="K250">
        <v>149.85</v>
      </c>
    </row>
    <row r="251" spans="1:11" x14ac:dyDescent="0.25">
      <c r="A251" t="s">
        <v>291</v>
      </c>
      <c r="B251" s="1">
        <v>45813.15016203704</v>
      </c>
      <c r="C251" s="2" t="s">
        <v>29</v>
      </c>
      <c r="D251" t="s">
        <v>33</v>
      </c>
      <c r="E251">
        <v>55233</v>
      </c>
      <c r="F251" t="s">
        <v>50</v>
      </c>
      <c r="G251" t="s">
        <v>34</v>
      </c>
      <c r="H251" t="s">
        <v>16</v>
      </c>
      <c r="I251">
        <v>0</v>
      </c>
      <c r="J251">
        <v>0</v>
      </c>
      <c r="K251">
        <v>0</v>
      </c>
    </row>
    <row r="252" spans="1:11" x14ac:dyDescent="0.25">
      <c r="A252" t="s">
        <v>292</v>
      </c>
      <c r="B252" s="1">
        <v>46079.783333333333</v>
      </c>
      <c r="C252" s="2" t="s">
        <v>12</v>
      </c>
      <c r="D252" t="s">
        <v>33</v>
      </c>
      <c r="E252">
        <v>63978</v>
      </c>
      <c r="F252" t="s">
        <v>14</v>
      </c>
      <c r="G252" t="s">
        <v>24</v>
      </c>
      <c r="H252" t="s">
        <v>16</v>
      </c>
      <c r="I252">
        <v>0</v>
      </c>
      <c r="J252">
        <v>0</v>
      </c>
      <c r="K252">
        <v>0</v>
      </c>
    </row>
    <row r="253" spans="1:11" x14ac:dyDescent="0.25">
      <c r="A253" t="s">
        <v>293</v>
      </c>
      <c r="B253" s="1">
        <v>45813.266562500001</v>
      </c>
      <c r="C253" s="2" t="s">
        <v>12</v>
      </c>
      <c r="D253" t="s">
        <v>19</v>
      </c>
      <c r="E253">
        <v>92109</v>
      </c>
      <c r="F253" t="s">
        <v>14</v>
      </c>
      <c r="G253" t="s">
        <v>30</v>
      </c>
      <c r="H253" t="s">
        <v>16</v>
      </c>
      <c r="I253">
        <v>5</v>
      </c>
      <c r="J253">
        <v>0</v>
      </c>
      <c r="K253">
        <v>5</v>
      </c>
    </row>
    <row r="254" spans="1:11" x14ac:dyDescent="0.25">
      <c r="A254" t="s">
        <v>294</v>
      </c>
      <c r="B254" s="1">
        <v>45975.189259259256</v>
      </c>
      <c r="C254" s="2" t="s">
        <v>29</v>
      </c>
      <c r="D254" t="s">
        <v>13</v>
      </c>
      <c r="E254">
        <v>45500</v>
      </c>
      <c r="F254" t="s">
        <v>50</v>
      </c>
      <c r="G254" t="s">
        <v>15</v>
      </c>
      <c r="H254" t="s">
        <v>16</v>
      </c>
      <c r="I254">
        <v>841.75</v>
      </c>
      <c r="J254">
        <v>336.7</v>
      </c>
      <c r="K254">
        <v>505.05</v>
      </c>
    </row>
    <row r="255" spans="1:11" x14ac:dyDescent="0.25">
      <c r="A255" t="s">
        <v>295</v>
      </c>
      <c r="B255" s="1">
        <v>45826.521886574075</v>
      </c>
      <c r="C255" s="2" t="s">
        <v>32</v>
      </c>
      <c r="D255" t="s">
        <v>23</v>
      </c>
      <c r="E255">
        <v>1235</v>
      </c>
      <c r="F255" t="s">
        <v>14</v>
      </c>
      <c r="G255" t="s">
        <v>15</v>
      </c>
      <c r="H255" t="s">
        <v>16</v>
      </c>
      <c r="I255">
        <v>0</v>
      </c>
      <c r="J255">
        <v>0</v>
      </c>
      <c r="K255">
        <v>0</v>
      </c>
    </row>
    <row r="256" spans="1:11" x14ac:dyDescent="0.25">
      <c r="A256" t="s">
        <v>296</v>
      </c>
      <c r="B256" s="1">
        <v>45874.971909722219</v>
      </c>
      <c r="C256" s="2" t="s">
        <v>22</v>
      </c>
      <c r="D256" t="s">
        <v>19</v>
      </c>
      <c r="E256">
        <v>69863</v>
      </c>
      <c r="F256" t="s">
        <v>14</v>
      </c>
      <c r="G256" t="s">
        <v>58</v>
      </c>
      <c r="H256" t="s">
        <v>16</v>
      </c>
      <c r="I256">
        <v>5</v>
      </c>
      <c r="J256">
        <v>0</v>
      </c>
      <c r="K256">
        <v>5</v>
      </c>
    </row>
    <row r="257" spans="1:11" x14ac:dyDescent="0.25">
      <c r="A257" t="s">
        <v>297</v>
      </c>
      <c r="B257" s="1">
        <v>45951.929895833331</v>
      </c>
      <c r="C257" s="2" t="s">
        <v>29</v>
      </c>
      <c r="D257" t="s">
        <v>19</v>
      </c>
      <c r="E257">
        <v>5725</v>
      </c>
      <c r="F257" t="s">
        <v>14</v>
      </c>
      <c r="G257" t="s">
        <v>58</v>
      </c>
      <c r="H257" t="s">
        <v>16</v>
      </c>
      <c r="I257">
        <v>5</v>
      </c>
      <c r="J257">
        <v>0</v>
      </c>
      <c r="K257">
        <v>5</v>
      </c>
    </row>
    <row r="258" spans="1:11" x14ac:dyDescent="0.25">
      <c r="A258" t="s">
        <v>298</v>
      </c>
      <c r="B258" s="1">
        <v>45796.415856481479</v>
      </c>
      <c r="C258" s="2" t="s">
        <v>41</v>
      </c>
      <c r="D258" t="s">
        <v>45</v>
      </c>
      <c r="E258">
        <v>36903</v>
      </c>
      <c r="F258" t="s">
        <v>14</v>
      </c>
      <c r="G258" t="s">
        <v>34</v>
      </c>
      <c r="H258" t="s">
        <v>59</v>
      </c>
      <c r="I258">
        <v>369.03</v>
      </c>
      <c r="J258">
        <v>0</v>
      </c>
      <c r="K258">
        <v>369.03</v>
      </c>
    </row>
    <row r="259" spans="1:11" x14ac:dyDescent="0.25">
      <c r="A259" t="s">
        <v>299</v>
      </c>
      <c r="B259" s="1">
        <v>45957.513657407406</v>
      </c>
      <c r="C259" s="2" t="s">
        <v>41</v>
      </c>
      <c r="D259" t="s">
        <v>33</v>
      </c>
      <c r="E259">
        <v>118680</v>
      </c>
      <c r="F259" t="s">
        <v>50</v>
      </c>
      <c r="G259" t="s">
        <v>51</v>
      </c>
      <c r="H259" t="s">
        <v>16</v>
      </c>
      <c r="I259">
        <v>0</v>
      </c>
      <c r="J259">
        <v>0</v>
      </c>
      <c r="K259">
        <v>0</v>
      </c>
    </row>
    <row r="260" spans="1:11" x14ac:dyDescent="0.25">
      <c r="A260" t="s">
        <v>300</v>
      </c>
      <c r="B260" s="1">
        <v>46060.200023148151</v>
      </c>
      <c r="C260" s="2" t="s">
        <v>12</v>
      </c>
      <c r="D260" t="s">
        <v>13</v>
      </c>
      <c r="E260">
        <v>84000</v>
      </c>
      <c r="F260" t="s">
        <v>14</v>
      </c>
      <c r="G260" t="s">
        <v>27</v>
      </c>
      <c r="H260" t="s">
        <v>16</v>
      </c>
      <c r="I260">
        <v>1554</v>
      </c>
      <c r="J260">
        <v>621.6</v>
      </c>
      <c r="K260">
        <v>932.4</v>
      </c>
    </row>
    <row r="261" spans="1:11" x14ac:dyDescent="0.25">
      <c r="A261" t="s">
        <v>301</v>
      </c>
      <c r="B261" s="1">
        <v>46018.745567129627</v>
      </c>
      <c r="C261" s="2" t="s">
        <v>32</v>
      </c>
      <c r="D261" t="s">
        <v>33</v>
      </c>
      <c r="E261">
        <v>63338</v>
      </c>
      <c r="F261" t="s">
        <v>14</v>
      </c>
      <c r="G261" t="s">
        <v>20</v>
      </c>
      <c r="H261" t="s">
        <v>16</v>
      </c>
      <c r="I261">
        <v>0</v>
      </c>
      <c r="J261">
        <v>0</v>
      </c>
      <c r="K261">
        <v>0</v>
      </c>
    </row>
    <row r="262" spans="1:11" x14ac:dyDescent="0.25">
      <c r="A262" t="s">
        <v>302</v>
      </c>
      <c r="B262" s="1">
        <v>45860.324675925927</v>
      </c>
      <c r="C262" s="2" t="s">
        <v>29</v>
      </c>
      <c r="D262" t="s">
        <v>19</v>
      </c>
      <c r="E262">
        <v>39304</v>
      </c>
      <c r="F262" t="s">
        <v>14</v>
      </c>
      <c r="G262" t="s">
        <v>34</v>
      </c>
      <c r="H262" t="s">
        <v>16</v>
      </c>
      <c r="I262">
        <v>5</v>
      </c>
      <c r="J262">
        <v>0</v>
      </c>
      <c r="K262">
        <v>5</v>
      </c>
    </row>
    <row r="263" spans="1:11" x14ac:dyDescent="0.25">
      <c r="A263" t="s">
        <v>303</v>
      </c>
      <c r="B263" s="1">
        <v>45841.101331018515</v>
      </c>
      <c r="C263" s="2" t="s">
        <v>26</v>
      </c>
      <c r="D263" t="s">
        <v>19</v>
      </c>
      <c r="E263">
        <v>135402</v>
      </c>
      <c r="F263" t="s">
        <v>50</v>
      </c>
      <c r="G263" t="s">
        <v>58</v>
      </c>
      <c r="H263" t="s">
        <v>16</v>
      </c>
      <c r="I263">
        <v>5</v>
      </c>
      <c r="J263">
        <v>0</v>
      </c>
      <c r="K263">
        <v>5</v>
      </c>
    </row>
    <row r="264" spans="1:11" x14ac:dyDescent="0.25">
      <c r="A264" t="s">
        <v>304</v>
      </c>
      <c r="B264" s="1">
        <v>46042.828483796293</v>
      </c>
      <c r="C264" s="2" t="s">
        <v>29</v>
      </c>
      <c r="D264" t="s">
        <v>13</v>
      </c>
      <c r="E264">
        <v>24000</v>
      </c>
      <c r="F264" t="s">
        <v>14</v>
      </c>
      <c r="G264" t="s">
        <v>15</v>
      </c>
      <c r="H264" t="s">
        <v>16</v>
      </c>
      <c r="I264">
        <v>444</v>
      </c>
      <c r="J264">
        <v>177.6</v>
      </c>
      <c r="K264">
        <v>266.39999999999998</v>
      </c>
    </row>
    <row r="265" spans="1:11" x14ac:dyDescent="0.25">
      <c r="A265" t="s">
        <v>305</v>
      </c>
      <c r="B265" s="1">
        <v>46012.597384259258</v>
      </c>
      <c r="C265" s="2" t="s">
        <v>22</v>
      </c>
      <c r="D265" t="s">
        <v>19</v>
      </c>
      <c r="E265">
        <v>59865</v>
      </c>
      <c r="F265" t="s">
        <v>14</v>
      </c>
      <c r="G265" t="s">
        <v>84</v>
      </c>
      <c r="H265" t="s">
        <v>16</v>
      </c>
      <c r="I265">
        <v>5</v>
      </c>
      <c r="J265">
        <v>0</v>
      </c>
      <c r="K265">
        <v>5</v>
      </c>
    </row>
    <row r="266" spans="1:11" x14ac:dyDescent="0.25">
      <c r="A266" t="s">
        <v>306</v>
      </c>
      <c r="B266" s="1">
        <v>45818.90457175926</v>
      </c>
      <c r="C266" s="2" t="s">
        <v>32</v>
      </c>
      <c r="D266" t="s">
        <v>23</v>
      </c>
      <c r="E266">
        <v>3964</v>
      </c>
      <c r="F266" t="s">
        <v>14</v>
      </c>
      <c r="G266" t="s">
        <v>34</v>
      </c>
      <c r="H266" t="s">
        <v>16</v>
      </c>
      <c r="I266">
        <v>0</v>
      </c>
      <c r="J266">
        <v>0</v>
      </c>
      <c r="K266">
        <v>0</v>
      </c>
    </row>
    <row r="267" spans="1:11" x14ac:dyDescent="0.25">
      <c r="A267" t="s">
        <v>307</v>
      </c>
      <c r="B267" s="1">
        <v>46070.611909722225</v>
      </c>
      <c r="C267" s="2" t="s">
        <v>26</v>
      </c>
      <c r="D267" t="s">
        <v>13</v>
      </c>
      <c r="E267">
        <v>137500</v>
      </c>
      <c r="F267" t="s">
        <v>14</v>
      </c>
      <c r="G267" t="s">
        <v>27</v>
      </c>
      <c r="H267" t="s">
        <v>16</v>
      </c>
      <c r="I267">
        <v>2543.75</v>
      </c>
      <c r="J267">
        <v>1017.5</v>
      </c>
      <c r="K267">
        <v>1526.25</v>
      </c>
    </row>
    <row r="268" spans="1:11" x14ac:dyDescent="0.25">
      <c r="A268" t="s">
        <v>308</v>
      </c>
      <c r="B268" s="1">
        <v>45831.909421296295</v>
      </c>
      <c r="C268" s="2" t="s">
        <v>26</v>
      </c>
      <c r="D268" t="s">
        <v>45</v>
      </c>
      <c r="E268">
        <v>91826</v>
      </c>
      <c r="F268" t="s">
        <v>14</v>
      </c>
      <c r="G268" t="s">
        <v>20</v>
      </c>
      <c r="H268" t="s">
        <v>59</v>
      </c>
      <c r="I268">
        <v>918.26</v>
      </c>
      <c r="J268">
        <v>0</v>
      </c>
      <c r="K268">
        <v>918.26</v>
      </c>
    </row>
    <row r="269" spans="1:11" x14ac:dyDescent="0.25">
      <c r="A269" t="s">
        <v>309</v>
      </c>
      <c r="B269" s="1">
        <v>45875.178067129629</v>
      </c>
      <c r="C269" s="2" t="s">
        <v>18</v>
      </c>
      <c r="D269" t="s">
        <v>23</v>
      </c>
      <c r="E269">
        <v>1567</v>
      </c>
      <c r="F269" t="s">
        <v>14</v>
      </c>
      <c r="G269" t="s">
        <v>34</v>
      </c>
      <c r="H269" t="s">
        <v>16</v>
      </c>
      <c r="I269">
        <v>0</v>
      </c>
      <c r="J269">
        <v>0</v>
      </c>
      <c r="K269">
        <v>0</v>
      </c>
    </row>
    <row r="270" spans="1:11" x14ac:dyDescent="0.25">
      <c r="A270" t="s">
        <v>310</v>
      </c>
      <c r="B270" s="1">
        <v>46103.465636574074</v>
      </c>
      <c r="C270" s="2" t="s">
        <v>26</v>
      </c>
      <c r="D270" t="s">
        <v>33</v>
      </c>
      <c r="E270">
        <v>66212</v>
      </c>
      <c r="F270" t="s">
        <v>14</v>
      </c>
      <c r="G270" t="s">
        <v>20</v>
      </c>
      <c r="H270" t="s">
        <v>16</v>
      </c>
      <c r="I270">
        <v>0</v>
      </c>
      <c r="J270">
        <v>0</v>
      </c>
      <c r="K270">
        <v>0</v>
      </c>
    </row>
    <row r="271" spans="1:11" x14ac:dyDescent="0.25">
      <c r="A271" t="s">
        <v>311</v>
      </c>
      <c r="B271" s="1">
        <v>46033.486446759256</v>
      </c>
      <c r="C271" s="2" t="s">
        <v>12</v>
      </c>
      <c r="D271" t="s">
        <v>23</v>
      </c>
      <c r="E271">
        <v>912</v>
      </c>
      <c r="F271" t="s">
        <v>14</v>
      </c>
      <c r="G271" t="s">
        <v>27</v>
      </c>
      <c r="H271" t="s">
        <v>16</v>
      </c>
      <c r="I271">
        <v>0</v>
      </c>
      <c r="J271">
        <v>0</v>
      </c>
      <c r="K271">
        <v>0</v>
      </c>
    </row>
    <row r="272" spans="1:11" x14ac:dyDescent="0.25">
      <c r="A272" t="s">
        <v>312</v>
      </c>
      <c r="B272" s="1">
        <v>45974.312881944446</v>
      </c>
      <c r="C272" s="2" t="s">
        <v>32</v>
      </c>
      <c r="D272" t="s">
        <v>33</v>
      </c>
      <c r="E272">
        <v>28828</v>
      </c>
      <c r="F272" t="s">
        <v>14</v>
      </c>
      <c r="G272" t="s">
        <v>84</v>
      </c>
      <c r="H272" t="s">
        <v>16</v>
      </c>
      <c r="I272">
        <v>0</v>
      </c>
      <c r="J272">
        <v>0</v>
      </c>
      <c r="K272">
        <v>0</v>
      </c>
    </row>
    <row r="273" spans="1:11" x14ac:dyDescent="0.25">
      <c r="A273" t="s">
        <v>313</v>
      </c>
      <c r="B273" s="1">
        <v>46006.444525462961</v>
      </c>
      <c r="C273" s="2" t="s">
        <v>26</v>
      </c>
      <c r="D273" t="s">
        <v>45</v>
      </c>
      <c r="E273">
        <v>139924</v>
      </c>
      <c r="F273" t="s">
        <v>14</v>
      </c>
      <c r="G273" t="s">
        <v>51</v>
      </c>
      <c r="H273" t="s">
        <v>178</v>
      </c>
      <c r="I273">
        <v>1399.24</v>
      </c>
      <c r="J273">
        <v>0</v>
      </c>
      <c r="K273">
        <v>1399.24</v>
      </c>
    </row>
    <row r="274" spans="1:11" x14ac:dyDescent="0.25">
      <c r="A274" t="s">
        <v>314</v>
      </c>
      <c r="B274" s="1">
        <v>45803.758564814816</v>
      </c>
      <c r="C274" s="2" t="s">
        <v>26</v>
      </c>
      <c r="D274" t="s">
        <v>23</v>
      </c>
      <c r="E274">
        <v>3140</v>
      </c>
      <c r="F274" t="s">
        <v>14</v>
      </c>
      <c r="G274" t="s">
        <v>51</v>
      </c>
      <c r="H274" t="s">
        <v>16</v>
      </c>
      <c r="I274">
        <v>0</v>
      </c>
      <c r="J274">
        <v>0</v>
      </c>
      <c r="K274">
        <v>0</v>
      </c>
    </row>
    <row r="275" spans="1:11" x14ac:dyDescent="0.25">
      <c r="A275" t="s">
        <v>315</v>
      </c>
      <c r="B275" s="1">
        <v>46044.987442129626</v>
      </c>
      <c r="C275" s="2" t="s">
        <v>29</v>
      </c>
      <c r="D275" t="s">
        <v>23</v>
      </c>
      <c r="E275">
        <v>2264</v>
      </c>
      <c r="F275" t="s">
        <v>14</v>
      </c>
      <c r="G275" t="s">
        <v>20</v>
      </c>
      <c r="H275" t="s">
        <v>16</v>
      </c>
      <c r="I275">
        <v>0</v>
      </c>
      <c r="J275">
        <v>0</v>
      </c>
      <c r="K275">
        <v>0</v>
      </c>
    </row>
    <row r="276" spans="1:11" x14ac:dyDescent="0.25">
      <c r="A276" t="s">
        <v>316</v>
      </c>
      <c r="B276" s="1">
        <v>45890.169965277775</v>
      </c>
      <c r="C276" s="2" t="s">
        <v>26</v>
      </c>
      <c r="D276" t="s">
        <v>19</v>
      </c>
      <c r="E276">
        <v>71948</v>
      </c>
      <c r="F276" t="s">
        <v>14</v>
      </c>
      <c r="G276" t="s">
        <v>51</v>
      </c>
      <c r="H276" t="s">
        <v>16</v>
      </c>
      <c r="I276">
        <v>5</v>
      </c>
      <c r="J276">
        <v>0</v>
      </c>
      <c r="K276">
        <v>5</v>
      </c>
    </row>
    <row r="277" spans="1:11" x14ac:dyDescent="0.25">
      <c r="A277" t="s">
        <v>317</v>
      </c>
      <c r="B277" s="1">
        <v>46127.069722222222</v>
      </c>
      <c r="C277" s="2" t="s">
        <v>12</v>
      </c>
      <c r="D277" t="s">
        <v>23</v>
      </c>
      <c r="E277">
        <v>24</v>
      </c>
      <c r="F277" t="s">
        <v>50</v>
      </c>
      <c r="G277" t="s">
        <v>30</v>
      </c>
      <c r="H277" t="s">
        <v>16</v>
      </c>
      <c r="I277">
        <v>0</v>
      </c>
      <c r="J277">
        <v>0</v>
      </c>
      <c r="K277">
        <v>0</v>
      </c>
    </row>
    <row r="278" spans="1:11" x14ac:dyDescent="0.25">
      <c r="A278" t="s">
        <v>318</v>
      </c>
      <c r="B278" s="1">
        <v>45886.084201388891</v>
      </c>
      <c r="C278" s="2" t="s">
        <v>12</v>
      </c>
      <c r="D278" t="s">
        <v>19</v>
      </c>
      <c r="E278">
        <v>80153</v>
      </c>
      <c r="F278" t="s">
        <v>14</v>
      </c>
      <c r="G278" t="s">
        <v>15</v>
      </c>
      <c r="H278" t="s">
        <v>16</v>
      </c>
      <c r="I278">
        <v>5</v>
      </c>
      <c r="J278">
        <v>0</v>
      </c>
      <c r="K278">
        <v>5</v>
      </c>
    </row>
    <row r="279" spans="1:11" x14ac:dyDescent="0.25">
      <c r="A279" t="s">
        <v>319</v>
      </c>
      <c r="B279" s="1">
        <v>45884.759432870371</v>
      </c>
      <c r="C279" s="2" t="s">
        <v>18</v>
      </c>
      <c r="D279" t="s">
        <v>13</v>
      </c>
      <c r="E279">
        <v>162000</v>
      </c>
      <c r="F279" t="s">
        <v>14</v>
      </c>
      <c r="G279" t="s">
        <v>27</v>
      </c>
      <c r="H279" t="s">
        <v>16</v>
      </c>
      <c r="I279">
        <v>2997</v>
      </c>
      <c r="J279">
        <v>1198.8</v>
      </c>
      <c r="K279">
        <v>1798.2</v>
      </c>
    </row>
    <row r="280" spans="1:11" x14ac:dyDescent="0.25">
      <c r="A280" t="s">
        <v>320</v>
      </c>
      <c r="B280" s="1">
        <v>45935.350023148145</v>
      </c>
      <c r="C280" s="2" t="s">
        <v>26</v>
      </c>
      <c r="D280" t="s">
        <v>45</v>
      </c>
      <c r="E280">
        <v>1913</v>
      </c>
      <c r="F280" t="s">
        <v>14</v>
      </c>
      <c r="G280" t="s">
        <v>84</v>
      </c>
      <c r="H280" t="s">
        <v>46</v>
      </c>
      <c r="I280">
        <v>19.13</v>
      </c>
      <c r="J280">
        <v>0</v>
      </c>
      <c r="K280">
        <v>19.13</v>
      </c>
    </row>
    <row r="281" spans="1:11" x14ac:dyDescent="0.25">
      <c r="A281" t="s">
        <v>321</v>
      </c>
      <c r="B281" s="1">
        <v>45819.274398148147</v>
      </c>
      <c r="C281" s="2" t="s">
        <v>18</v>
      </c>
      <c r="D281" t="s">
        <v>33</v>
      </c>
      <c r="E281">
        <v>106038</v>
      </c>
      <c r="F281" t="s">
        <v>50</v>
      </c>
      <c r="G281" t="s">
        <v>34</v>
      </c>
      <c r="H281" t="s">
        <v>16</v>
      </c>
      <c r="I281">
        <v>0</v>
      </c>
      <c r="J281">
        <v>0</v>
      </c>
      <c r="K281">
        <v>0</v>
      </c>
    </row>
    <row r="282" spans="1:11" x14ac:dyDescent="0.25">
      <c r="A282" t="s">
        <v>322</v>
      </c>
      <c r="B282" s="1">
        <v>45937.152951388889</v>
      </c>
      <c r="C282" s="2" t="s">
        <v>32</v>
      </c>
      <c r="D282" t="s">
        <v>13</v>
      </c>
      <c r="E282">
        <v>193500</v>
      </c>
      <c r="F282" t="s">
        <v>14</v>
      </c>
      <c r="G282" t="s">
        <v>34</v>
      </c>
      <c r="H282" t="s">
        <v>16</v>
      </c>
      <c r="I282">
        <v>3579.75</v>
      </c>
      <c r="J282">
        <v>1431.9</v>
      </c>
      <c r="K282">
        <v>2147.85</v>
      </c>
    </row>
    <row r="283" spans="1:11" x14ac:dyDescent="0.25">
      <c r="A283" t="s">
        <v>323</v>
      </c>
      <c r="B283" s="1">
        <v>45889.444791666669</v>
      </c>
      <c r="C283" s="2" t="s">
        <v>18</v>
      </c>
      <c r="D283" t="s">
        <v>13</v>
      </c>
      <c r="E283">
        <v>204500</v>
      </c>
      <c r="F283" t="s">
        <v>50</v>
      </c>
      <c r="G283" t="s">
        <v>34</v>
      </c>
      <c r="H283" t="s">
        <v>16</v>
      </c>
      <c r="I283">
        <v>3783.25</v>
      </c>
      <c r="J283">
        <v>1513.3</v>
      </c>
      <c r="K283">
        <v>2269.9499999999998</v>
      </c>
    </row>
    <row r="284" spans="1:11" x14ac:dyDescent="0.25">
      <c r="A284" t="s">
        <v>324</v>
      </c>
      <c r="B284" s="1">
        <v>45810.964895833335</v>
      </c>
      <c r="C284" s="2" t="s">
        <v>22</v>
      </c>
      <c r="D284" t="s">
        <v>33</v>
      </c>
      <c r="E284">
        <v>86942</v>
      </c>
      <c r="F284" t="s">
        <v>14</v>
      </c>
      <c r="G284" t="s">
        <v>51</v>
      </c>
      <c r="H284" t="s">
        <v>16</v>
      </c>
      <c r="I284">
        <v>0</v>
      </c>
      <c r="J284">
        <v>0</v>
      </c>
      <c r="K284">
        <v>0</v>
      </c>
    </row>
    <row r="285" spans="1:11" x14ac:dyDescent="0.25">
      <c r="A285" t="s">
        <v>325</v>
      </c>
      <c r="B285" s="1">
        <v>46010.049409722225</v>
      </c>
      <c r="C285" s="2" t="s">
        <v>29</v>
      </c>
      <c r="D285" t="s">
        <v>33</v>
      </c>
      <c r="E285">
        <v>34143</v>
      </c>
      <c r="F285" t="s">
        <v>14</v>
      </c>
      <c r="G285" t="s">
        <v>20</v>
      </c>
      <c r="H285" t="s">
        <v>16</v>
      </c>
      <c r="I285">
        <v>0</v>
      </c>
      <c r="J285">
        <v>0</v>
      </c>
      <c r="K285">
        <v>0</v>
      </c>
    </row>
    <row r="286" spans="1:11" x14ac:dyDescent="0.25">
      <c r="A286" t="s">
        <v>326</v>
      </c>
      <c r="B286" s="1">
        <v>46137.56077546296</v>
      </c>
      <c r="C286" s="2" t="s">
        <v>22</v>
      </c>
      <c r="D286" t="s">
        <v>33</v>
      </c>
      <c r="E286">
        <v>219</v>
      </c>
      <c r="F286" t="s">
        <v>14</v>
      </c>
      <c r="G286" t="s">
        <v>84</v>
      </c>
      <c r="H286" t="s">
        <v>16</v>
      </c>
      <c r="I286">
        <v>0</v>
      </c>
      <c r="J286">
        <v>0</v>
      </c>
      <c r="K286">
        <v>0</v>
      </c>
    </row>
    <row r="287" spans="1:11" x14ac:dyDescent="0.25">
      <c r="A287" t="s">
        <v>327</v>
      </c>
      <c r="B287" s="1">
        <v>45887.908043981479</v>
      </c>
      <c r="C287" s="2" t="s">
        <v>18</v>
      </c>
      <c r="D287" t="s">
        <v>23</v>
      </c>
      <c r="E287">
        <v>4995</v>
      </c>
      <c r="F287" t="s">
        <v>14</v>
      </c>
      <c r="G287" t="s">
        <v>27</v>
      </c>
      <c r="H287" t="s">
        <v>16</v>
      </c>
      <c r="I287">
        <v>0</v>
      </c>
      <c r="J287">
        <v>0</v>
      </c>
      <c r="K287">
        <v>0</v>
      </c>
    </row>
    <row r="288" spans="1:11" x14ac:dyDescent="0.25">
      <c r="A288" t="s">
        <v>328</v>
      </c>
      <c r="B288" s="1">
        <v>45948.42597222222</v>
      </c>
      <c r="C288" s="2" t="s">
        <v>22</v>
      </c>
      <c r="D288" t="s">
        <v>33</v>
      </c>
      <c r="E288">
        <v>86883</v>
      </c>
      <c r="F288" t="s">
        <v>14</v>
      </c>
      <c r="G288" t="s">
        <v>84</v>
      </c>
      <c r="H288" t="s">
        <v>16</v>
      </c>
      <c r="I288">
        <v>0</v>
      </c>
      <c r="J288">
        <v>0</v>
      </c>
      <c r="K288">
        <v>0</v>
      </c>
    </row>
    <row r="289" spans="1:11" x14ac:dyDescent="0.25">
      <c r="A289" t="s">
        <v>329</v>
      </c>
      <c r="B289" s="1">
        <v>45847.073206018518</v>
      </c>
      <c r="C289" s="2" t="s">
        <v>32</v>
      </c>
      <c r="D289" t="s">
        <v>19</v>
      </c>
      <c r="E289">
        <v>116927</v>
      </c>
      <c r="F289" t="s">
        <v>14</v>
      </c>
      <c r="G289" t="s">
        <v>15</v>
      </c>
      <c r="H289" t="s">
        <v>16</v>
      </c>
      <c r="I289">
        <v>5</v>
      </c>
      <c r="J289">
        <v>0</v>
      </c>
      <c r="K289">
        <v>5</v>
      </c>
    </row>
    <row r="290" spans="1:11" x14ac:dyDescent="0.25">
      <c r="A290" t="s">
        <v>330</v>
      </c>
      <c r="B290" s="1">
        <v>46120.291770833333</v>
      </c>
      <c r="C290" s="2" t="s">
        <v>29</v>
      </c>
      <c r="D290" t="s">
        <v>19</v>
      </c>
      <c r="E290">
        <v>84545</v>
      </c>
      <c r="F290" t="s">
        <v>14</v>
      </c>
      <c r="G290" t="s">
        <v>51</v>
      </c>
      <c r="H290" t="s">
        <v>16</v>
      </c>
      <c r="I290">
        <v>5</v>
      </c>
      <c r="J290">
        <v>0</v>
      </c>
      <c r="K290">
        <v>5</v>
      </c>
    </row>
    <row r="291" spans="1:11" x14ac:dyDescent="0.25">
      <c r="A291" t="s">
        <v>331</v>
      </c>
      <c r="B291" s="1">
        <v>45995.025509259256</v>
      </c>
      <c r="C291" s="2" t="s">
        <v>32</v>
      </c>
      <c r="D291" t="s">
        <v>33</v>
      </c>
      <c r="E291">
        <v>70344</v>
      </c>
      <c r="F291" t="s">
        <v>14</v>
      </c>
      <c r="G291" t="s">
        <v>84</v>
      </c>
      <c r="H291" t="s">
        <v>16</v>
      </c>
      <c r="I291">
        <v>0</v>
      </c>
      <c r="J291">
        <v>0</v>
      </c>
      <c r="K291">
        <v>0</v>
      </c>
    </row>
    <row r="292" spans="1:11" x14ac:dyDescent="0.25">
      <c r="A292" t="s">
        <v>332</v>
      </c>
      <c r="B292" s="1">
        <v>45802.493310185186</v>
      </c>
      <c r="C292" s="2" t="s">
        <v>41</v>
      </c>
      <c r="D292" t="s">
        <v>33</v>
      </c>
      <c r="E292">
        <v>90240</v>
      </c>
      <c r="F292" t="s">
        <v>14</v>
      </c>
      <c r="G292" t="s">
        <v>27</v>
      </c>
      <c r="H292" t="s">
        <v>16</v>
      </c>
      <c r="I292">
        <v>0</v>
      </c>
      <c r="J292">
        <v>0</v>
      </c>
      <c r="K292">
        <v>0</v>
      </c>
    </row>
    <row r="293" spans="1:11" x14ac:dyDescent="0.25">
      <c r="A293" t="s">
        <v>333</v>
      </c>
      <c r="B293" s="1">
        <v>45897.190196759257</v>
      </c>
      <c r="C293" s="2" t="s">
        <v>29</v>
      </c>
      <c r="D293" t="s">
        <v>13</v>
      </c>
      <c r="E293">
        <v>122000</v>
      </c>
      <c r="F293" t="s">
        <v>99</v>
      </c>
      <c r="G293" t="s">
        <v>51</v>
      </c>
      <c r="H293" t="s">
        <v>16</v>
      </c>
      <c r="I293">
        <v>2257</v>
      </c>
      <c r="J293">
        <v>902.8</v>
      </c>
      <c r="K293">
        <v>1354.2</v>
      </c>
    </row>
    <row r="294" spans="1:11" x14ac:dyDescent="0.25">
      <c r="A294" t="s">
        <v>334</v>
      </c>
      <c r="B294" s="1">
        <v>45909.873645833337</v>
      </c>
      <c r="C294" s="2" t="s">
        <v>32</v>
      </c>
      <c r="D294" t="s">
        <v>13</v>
      </c>
      <c r="E294">
        <v>56500</v>
      </c>
      <c r="F294" t="s">
        <v>14</v>
      </c>
      <c r="G294" t="s">
        <v>34</v>
      </c>
      <c r="H294" t="s">
        <v>16</v>
      </c>
      <c r="I294">
        <v>1045.25</v>
      </c>
      <c r="J294">
        <v>418.1</v>
      </c>
      <c r="K294">
        <v>627.15</v>
      </c>
    </row>
    <row r="295" spans="1:11" x14ac:dyDescent="0.25">
      <c r="A295" t="s">
        <v>335</v>
      </c>
      <c r="B295" s="1">
        <v>45853.074976851851</v>
      </c>
      <c r="C295" s="2" t="s">
        <v>22</v>
      </c>
      <c r="D295" t="s">
        <v>13</v>
      </c>
      <c r="E295">
        <v>75000</v>
      </c>
      <c r="F295" t="s">
        <v>50</v>
      </c>
      <c r="G295" t="s">
        <v>34</v>
      </c>
      <c r="H295" t="s">
        <v>16</v>
      </c>
      <c r="I295">
        <v>1387.5</v>
      </c>
      <c r="J295">
        <v>555</v>
      </c>
      <c r="K295">
        <v>832.5</v>
      </c>
    </row>
    <row r="296" spans="1:11" x14ac:dyDescent="0.25">
      <c r="A296" t="s">
        <v>336</v>
      </c>
      <c r="B296" s="1">
        <v>45933.908900462964</v>
      </c>
      <c r="C296" s="2" t="s">
        <v>12</v>
      </c>
      <c r="D296" t="s">
        <v>23</v>
      </c>
      <c r="E296">
        <v>2534</v>
      </c>
      <c r="F296" t="s">
        <v>14</v>
      </c>
      <c r="G296" t="s">
        <v>20</v>
      </c>
      <c r="H296" t="s">
        <v>16</v>
      </c>
      <c r="I296">
        <v>0</v>
      </c>
      <c r="J296">
        <v>0</v>
      </c>
      <c r="K296">
        <v>0</v>
      </c>
    </row>
    <row r="297" spans="1:11" x14ac:dyDescent="0.25">
      <c r="A297" t="s">
        <v>337</v>
      </c>
      <c r="B297" s="1">
        <v>45847.766469907408</v>
      </c>
      <c r="C297" s="2" t="s">
        <v>18</v>
      </c>
      <c r="D297" t="s">
        <v>13</v>
      </c>
      <c r="E297">
        <v>158000</v>
      </c>
      <c r="F297" t="s">
        <v>14</v>
      </c>
      <c r="G297" t="s">
        <v>15</v>
      </c>
      <c r="H297" t="s">
        <v>16</v>
      </c>
      <c r="I297">
        <v>2923</v>
      </c>
      <c r="J297">
        <v>1169.2</v>
      </c>
      <c r="K297">
        <v>1753.8</v>
      </c>
    </row>
    <row r="298" spans="1:11" x14ac:dyDescent="0.25">
      <c r="A298" t="s">
        <v>338</v>
      </c>
      <c r="B298" s="1">
        <v>45804.814236111109</v>
      </c>
      <c r="C298" s="2" t="s">
        <v>26</v>
      </c>
      <c r="D298" t="s">
        <v>23</v>
      </c>
      <c r="E298">
        <v>3596</v>
      </c>
      <c r="F298" t="s">
        <v>14</v>
      </c>
      <c r="G298" t="s">
        <v>15</v>
      </c>
      <c r="H298" t="s">
        <v>16</v>
      </c>
      <c r="I298">
        <v>0</v>
      </c>
      <c r="J298">
        <v>0</v>
      </c>
      <c r="K298">
        <v>0</v>
      </c>
    </row>
    <row r="299" spans="1:11" x14ac:dyDescent="0.25">
      <c r="A299" t="s">
        <v>339</v>
      </c>
      <c r="B299" s="1">
        <v>45813.996967592589</v>
      </c>
      <c r="C299" s="2" t="s">
        <v>22</v>
      </c>
      <c r="D299" t="s">
        <v>19</v>
      </c>
      <c r="E299">
        <v>71102</v>
      </c>
      <c r="F299" t="s">
        <v>14</v>
      </c>
      <c r="G299" t="s">
        <v>27</v>
      </c>
      <c r="H299" t="s">
        <v>16</v>
      </c>
      <c r="I299">
        <v>5</v>
      </c>
      <c r="J299">
        <v>0</v>
      </c>
      <c r="K299">
        <v>5</v>
      </c>
    </row>
    <row r="300" spans="1:11" x14ac:dyDescent="0.25">
      <c r="A300" t="s">
        <v>340</v>
      </c>
      <c r="B300" s="1">
        <v>46077.861747685187</v>
      </c>
      <c r="C300" s="2" t="s">
        <v>18</v>
      </c>
      <c r="D300" t="s">
        <v>23</v>
      </c>
      <c r="E300">
        <v>1063</v>
      </c>
      <c r="F300" t="s">
        <v>14</v>
      </c>
      <c r="G300" t="s">
        <v>34</v>
      </c>
      <c r="H300" t="s">
        <v>16</v>
      </c>
      <c r="I300">
        <v>0</v>
      </c>
      <c r="J300">
        <v>0</v>
      </c>
      <c r="K300">
        <v>0</v>
      </c>
    </row>
    <row r="301" spans="1:11" x14ac:dyDescent="0.25">
      <c r="A301" t="s">
        <v>341</v>
      </c>
      <c r="B301" s="1">
        <v>46007.281759259262</v>
      </c>
      <c r="C301" s="2" t="s">
        <v>12</v>
      </c>
      <c r="D301" t="s">
        <v>45</v>
      </c>
      <c r="E301">
        <v>99882</v>
      </c>
      <c r="F301" t="s">
        <v>50</v>
      </c>
      <c r="G301" t="s">
        <v>58</v>
      </c>
      <c r="H301" t="s">
        <v>178</v>
      </c>
      <c r="I301">
        <v>998.82</v>
      </c>
      <c r="J301">
        <v>0</v>
      </c>
      <c r="K301">
        <v>998.82</v>
      </c>
    </row>
    <row r="302" spans="1:11" x14ac:dyDescent="0.25">
      <c r="A302" t="s">
        <v>342</v>
      </c>
      <c r="B302" s="1">
        <v>45910.123124999998</v>
      </c>
      <c r="C302" s="2" t="s">
        <v>22</v>
      </c>
      <c r="D302" t="s">
        <v>23</v>
      </c>
      <c r="E302">
        <v>1279</v>
      </c>
      <c r="F302" t="s">
        <v>14</v>
      </c>
      <c r="G302" t="s">
        <v>84</v>
      </c>
      <c r="H302" t="s">
        <v>16</v>
      </c>
      <c r="I302">
        <v>0</v>
      </c>
      <c r="J302">
        <v>0</v>
      </c>
      <c r="K302">
        <v>0</v>
      </c>
    </row>
    <row r="303" spans="1:11" x14ac:dyDescent="0.25">
      <c r="A303" t="s">
        <v>343</v>
      </c>
      <c r="B303" s="1">
        <v>45778.386284722219</v>
      </c>
      <c r="C303" s="2" t="s">
        <v>39</v>
      </c>
      <c r="D303" t="s">
        <v>13</v>
      </c>
      <c r="E303">
        <v>51500</v>
      </c>
      <c r="F303" t="s">
        <v>14</v>
      </c>
      <c r="G303" t="s">
        <v>15</v>
      </c>
      <c r="H303" t="s">
        <v>16</v>
      </c>
      <c r="I303">
        <v>952.75</v>
      </c>
      <c r="J303">
        <v>381.1</v>
      </c>
      <c r="K303">
        <v>571.65</v>
      </c>
    </row>
    <row r="304" spans="1:11" x14ac:dyDescent="0.25">
      <c r="A304" t="s">
        <v>344</v>
      </c>
      <c r="B304" s="1">
        <v>45844.495706018519</v>
      </c>
      <c r="C304" s="2" t="s">
        <v>18</v>
      </c>
      <c r="D304" t="s">
        <v>45</v>
      </c>
      <c r="E304">
        <v>38675</v>
      </c>
      <c r="F304" t="s">
        <v>14</v>
      </c>
      <c r="G304" t="s">
        <v>27</v>
      </c>
      <c r="H304" t="s">
        <v>46</v>
      </c>
      <c r="I304">
        <v>386.75</v>
      </c>
      <c r="J304">
        <v>0</v>
      </c>
      <c r="K304">
        <v>386.75</v>
      </c>
    </row>
    <row r="305" spans="1:11" x14ac:dyDescent="0.25">
      <c r="A305" t="s">
        <v>345</v>
      </c>
      <c r="B305" s="1">
        <v>46104.700243055559</v>
      </c>
      <c r="C305" s="2" t="s">
        <v>18</v>
      </c>
      <c r="D305" t="s">
        <v>13</v>
      </c>
      <c r="E305">
        <v>33500</v>
      </c>
      <c r="F305" t="s">
        <v>50</v>
      </c>
      <c r="G305" t="s">
        <v>15</v>
      </c>
      <c r="H305" t="s">
        <v>16</v>
      </c>
      <c r="I305">
        <v>619.75</v>
      </c>
      <c r="J305">
        <v>247.9</v>
      </c>
      <c r="K305">
        <v>371.85</v>
      </c>
    </row>
    <row r="306" spans="1:11" x14ac:dyDescent="0.25">
      <c r="A306" t="s">
        <v>346</v>
      </c>
      <c r="B306" s="1">
        <v>45894.228680555556</v>
      </c>
      <c r="C306" s="2" t="s">
        <v>18</v>
      </c>
      <c r="D306" t="s">
        <v>13</v>
      </c>
      <c r="E306">
        <v>198500</v>
      </c>
      <c r="F306" t="s">
        <v>14</v>
      </c>
      <c r="G306" t="s">
        <v>34</v>
      </c>
      <c r="H306" t="s">
        <v>16</v>
      </c>
      <c r="I306">
        <v>3672.25</v>
      </c>
      <c r="J306">
        <v>1468.9</v>
      </c>
      <c r="K306">
        <v>2203.35</v>
      </c>
    </row>
    <row r="307" spans="1:11" x14ac:dyDescent="0.25">
      <c r="A307" t="s">
        <v>347</v>
      </c>
      <c r="B307" s="1">
        <v>45844.069224537037</v>
      </c>
      <c r="C307" s="2" t="s">
        <v>32</v>
      </c>
      <c r="D307" t="s">
        <v>23</v>
      </c>
      <c r="E307">
        <v>3092</v>
      </c>
      <c r="F307" t="s">
        <v>14</v>
      </c>
      <c r="G307" t="s">
        <v>15</v>
      </c>
      <c r="H307" t="s">
        <v>16</v>
      </c>
      <c r="I307">
        <v>0</v>
      </c>
      <c r="J307">
        <v>0</v>
      </c>
      <c r="K307">
        <v>0</v>
      </c>
    </row>
    <row r="308" spans="1:11" x14ac:dyDescent="0.25">
      <c r="A308" t="s">
        <v>348</v>
      </c>
      <c r="B308" s="1">
        <v>46076.521284722221</v>
      </c>
      <c r="C308" s="2" t="s">
        <v>39</v>
      </c>
      <c r="D308" t="s">
        <v>45</v>
      </c>
      <c r="E308">
        <v>130274</v>
      </c>
      <c r="F308" t="s">
        <v>14</v>
      </c>
      <c r="G308" t="s">
        <v>34</v>
      </c>
      <c r="H308" t="s">
        <v>56</v>
      </c>
      <c r="I308">
        <v>1302.74</v>
      </c>
      <c r="J308">
        <v>0</v>
      </c>
      <c r="K308">
        <v>1302.74</v>
      </c>
    </row>
    <row r="309" spans="1:11" x14ac:dyDescent="0.25">
      <c r="A309" t="s">
        <v>349</v>
      </c>
      <c r="B309" s="1">
        <v>45899.242106481484</v>
      </c>
      <c r="C309" s="2" t="s">
        <v>29</v>
      </c>
      <c r="D309" t="s">
        <v>33</v>
      </c>
      <c r="E309">
        <v>20704</v>
      </c>
      <c r="F309" t="s">
        <v>14</v>
      </c>
      <c r="G309" t="s">
        <v>58</v>
      </c>
      <c r="H309" t="s">
        <v>16</v>
      </c>
      <c r="I309">
        <v>0</v>
      </c>
      <c r="J309">
        <v>0</v>
      </c>
      <c r="K309">
        <v>0</v>
      </c>
    </row>
    <row r="310" spans="1:11" x14ac:dyDescent="0.25">
      <c r="A310" t="s">
        <v>350</v>
      </c>
      <c r="B310" s="1">
        <v>45911.988749999997</v>
      </c>
      <c r="C310" s="2" t="s">
        <v>18</v>
      </c>
      <c r="D310" t="s">
        <v>33</v>
      </c>
      <c r="E310">
        <v>142641</v>
      </c>
      <c r="F310" t="s">
        <v>14</v>
      </c>
      <c r="G310" t="s">
        <v>84</v>
      </c>
      <c r="H310" t="s">
        <v>16</v>
      </c>
      <c r="I310">
        <v>0</v>
      </c>
      <c r="J310">
        <v>0</v>
      </c>
      <c r="K310">
        <v>0</v>
      </c>
    </row>
    <row r="311" spans="1:11" x14ac:dyDescent="0.25">
      <c r="A311" t="s">
        <v>351</v>
      </c>
      <c r="B311" s="1">
        <v>45902.861666666664</v>
      </c>
      <c r="C311" s="2" t="s">
        <v>32</v>
      </c>
      <c r="D311" t="s">
        <v>19</v>
      </c>
      <c r="E311">
        <v>95650</v>
      </c>
      <c r="F311" t="s">
        <v>14</v>
      </c>
      <c r="G311" t="s">
        <v>27</v>
      </c>
      <c r="H311" t="s">
        <v>16</v>
      </c>
      <c r="I311">
        <v>5</v>
      </c>
      <c r="J311">
        <v>0</v>
      </c>
      <c r="K311">
        <v>5</v>
      </c>
    </row>
    <row r="312" spans="1:11" x14ac:dyDescent="0.25">
      <c r="A312" t="s">
        <v>352</v>
      </c>
      <c r="B312" s="1">
        <v>45907.747199074074</v>
      </c>
      <c r="C312" s="2" t="s">
        <v>41</v>
      </c>
      <c r="D312" t="s">
        <v>23</v>
      </c>
      <c r="E312">
        <v>2765</v>
      </c>
      <c r="F312" t="s">
        <v>14</v>
      </c>
      <c r="G312" t="s">
        <v>34</v>
      </c>
      <c r="H312" t="s">
        <v>16</v>
      </c>
      <c r="I312">
        <v>0</v>
      </c>
      <c r="J312">
        <v>0</v>
      </c>
      <c r="K312">
        <v>0</v>
      </c>
    </row>
    <row r="313" spans="1:11" x14ac:dyDescent="0.25">
      <c r="A313" t="s">
        <v>353</v>
      </c>
      <c r="B313" s="1">
        <v>46049.899074074077</v>
      </c>
      <c r="C313" s="2" t="s">
        <v>22</v>
      </c>
      <c r="D313" t="s">
        <v>33</v>
      </c>
      <c r="E313">
        <v>4881</v>
      </c>
      <c r="F313" t="s">
        <v>14</v>
      </c>
      <c r="G313" t="s">
        <v>30</v>
      </c>
      <c r="H313" t="s">
        <v>16</v>
      </c>
      <c r="I313">
        <v>0</v>
      </c>
      <c r="J313">
        <v>0</v>
      </c>
      <c r="K313">
        <v>0</v>
      </c>
    </row>
    <row r="314" spans="1:11" x14ac:dyDescent="0.25">
      <c r="A314" t="s">
        <v>354</v>
      </c>
      <c r="B314" s="1">
        <v>46073.904976851853</v>
      </c>
      <c r="C314" s="2" t="s">
        <v>41</v>
      </c>
      <c r="D314" t="s">
        <v>33</v>
      </c>
      <c r="E314">
        <v>98433</v>
      </c>
      <c r="F314" t="s">
        <v>14</v>
      </c>
      <c r="G314" t="s">
        <v>20</v>
      </c>
      <c r="H314" t="s">
        <v>16</v>
      </c>
      <c r="I314">
        <v>0</v>
      </c>
      <c r="J314">
        <v>0</v>
      </c>
      <c r="K314">
        <v>0</v>
      </c>
    </row>
    <row r="315" spans="1:11" x14ac:dyDescent="0.25">
      <c r="A315" t="s">
        <v>355</v>
      </c>
      <c r="B315" s="1">
        <v>45791.937071759261</v>
      </c>
      <c r="C315" s="2" t="s">
        <v>12</v>
      </c>
      <c r="D315" t="s">
        <v>33</v>
      </c>
      <c r="E315">
        <v>58653</v>
      </c>
      <c r="F315" t="s">
        <v>14</v>
      </c>
      <c r="G315" t="s">
        <v>84</v>
      </c>
      <c r="H315" t="s">
        <v>16</v>
      </c>
      <c r="I315">
        <v>0</v>
      </c>
      <c r="J315">
        <v>0</v>
      </c>
      <c r="K315">
        <v>0</v>
      </c>
    </row>
    <row r="316" spans="1:11" x14ac:dyDescent="0.25">
      <c r="A316" t="s">
        <v>356</v>
      </c>
      <c r="B316" s="1">
        <v>45804.106493055559</v>
      </c>
      <c r="C316" s="2" t="s">
        <v>39</v>
      </c>
      <c r="D316" t="s">
        <v>23</v>
      </c>
      <c r="E316">
        <v>3020</v>
      </c>
      <c r="F316" t="s">
        <v>50</v>
      </c>
      <c r="G316" t="s">
        <v>51</v>
      </c>
      <c r="H316" t="s">
        <v>16</v>
      </c>
      <c r="I316">
        <v>0</v>
      </c>
      <c r="J316">
        <v>0</v>
      </c>
      <c r="K316">
        <v>0</v>
      </c>
    </row>
    <row r="317" spans="1:11" x14ac:dyDescent="0.25">
      <c r="A317" t="s">
        <v>357</v>
      </c>
      <c r="B317" s="1">
        <v>46020.357719907406</v>
      </c>
      <c r="C317" s="2" t="s">
        <v>12</v>
      </c>
      <c r="D317" t="s">
        <v>33</v>
      </c>
      <c r="E317">
        <v>91785</v>
      </c>
      <c r="F317" t="s">
        <v>14</v>
      </c>
      <c r="G317" t="s">
        <v>84</v>
      </c>
      <c r="H317" t="s">
        <v>16</v>
      </c>
      <c r="I317">
        <v>0</v>
      </c>
      <c r="J317">
        <v>0</v>
      </c>
      <c r="K317">
        <v>0</v>
      </c>
    </row>
    <row r="318" spans="1:11" x14ac:dyDescent="0.25">
      <c r="A318" t="s">
        <v>358</v>
      </c>
      <c r="B318" s="1">
        <v>45813.7809375</v>
      </c>
      <c r="C318" s="2" t="s">
        <v>39</v>
      </c>
      <c r="D318" t="s">
        <v>13</v>
      </c>
      <c r="E318">
        <v>88500</v>
      </c>
      <c r="F318" t="s">
        <v>14</v>
      </c>
      <c r="G318" t="s">
        <v>84</v>
      </c>
      <c r="H318" t="s">
        <v>16</v>
      </c>
      <c r="I318">
        <v>1637.25</v>
      </c>
      <c r="J318">
        <v>654.9</v>
      </c>
      <c r="K318">
        <v>982.35</v>
      </c>
    </row>
    <row r="319" spans="1:11" x14ac:dyDescent="0.25">
      <c r="A319" t="s">
        <v>359</v>
      </c>
      <c r="B319" s="1">
        <v>45842.899930555555</v>
      </c>
      <c r="C319" s="2" t="s">
        <v>39</v>
      </c>
      <c r="D319" t="s">
        <v>45</v>
      </c>
      <c r="E319">
        <v>111189</v>
      </c>
      <c r="F319" t="s">
        <v>14</v>
      </c>
      <c r="G319" t="s">
        <v>84</v>
      </c>
      <c r="H319" t="s">
        <v>46</v>
      </c>
      <c r="I319">
        <v>1111.8900000000001</v>
      </c>
      <c r="J319">
        <v>0</v>
      </c>
      <c r="K319">
        <v>1111.8900000000001</v>
      </c>
    </row>
    <row r="320" spans="1:11" x14ac:dyDescent="0.25">
      <c r="A320" t="s">
        <v>360</v>
      </c>
      <c r="B320" s="1">
        <v>46110.76390046296</v>
      </c>
      <c r="C320" s="2" t="s">
        <v>32</v>
      </c>
      <c r="D320" t="s">
        <v>33</v>
      </c>
      <c r="E320">
        <v>95197</v>
      </c>
      <c r="F320" t="s">
        <v>14</v>
      </c>
      <c r="G320" t="s">
        <v>20</v>
      </c>
      <c r="H320" t="s">
        <v>16</v>
      </c>
      <c r="I320">
        <v>0</v>
      </c>
      <c r="J320">
        <v>0</v>
      </c>
      <c r="K320">
        <v>0</v>
      </c>
    </row>
    <row r="321" spans="1:11" x14ac:dyDescent="0.25">
      <c r="A321" t="s">
        <v>361</v>
      </c>
      <c r="B321" s="1">
        <v>45957.560659722221</v>
      </c>
      <c r="C321" s="2" t="s">
        <v>32</v>
      </c>
      <c r="D321" t="s">
        <v>23</v>
      </c>
      <c r="E321">
        <v>1294</v>
      </c>
      <c r="F321" t="s">
        <v>50</v>
      </c>
      <c r="G321" t="s">
        <v>15</v>
      </c>
      <c r="H321" t="s">
        <v>16</v>
      </c>
      <c r="I321">
        <v>0</v>
      </c>
      <c r="J321">
        <v>0</v>
      </c>
      <c r="K321">
        <v>0</v>
      </c>
    </row>
    <row r="322" spans="1:11" x14ac:dyDescent="0.25">
      <c r="A322" t="s">
        <v>362</v>
      </c>
      <c r="B322" s="1">
        <v>45782.817754629628</v>
      </c>
      <c r="C322" s="2" t="s">
        <v>18</v>
      </c>
      <c r="D322" t="s">
        <v>19</v>
      </c>
      <c r="E322">
        <v>4579</v>
      </c>
      <c r="F322" t="s">
        <v>14</v>
      </c>
      <c r="G322" t="s">
        <v>20</v>
      </c>
      <c r="H322" t="s">
        <v>16</v>
      </c>
      <c r="I322">
        <v>5</v>
      </c>
      <c r="J322">
        <v>0</v>
      </c>
      <c r="K322">
        <v>5</v>
      </c>
    </row>
    <row r="323" spans="1:11" x14ac:dyDescent="0.25">
      <c r="A323" t="s">
        <v>363</v>
      </c>
      <c r="B323" s="1">
        <v>46018.975601851853</v>
      </c>
      <c r="C323" s="2" t="s">
        <v>18</v>
      </c>
      <c r="D323" t="s">
        <v>19</v>
      </c>
      <c r="E323">
        <v>113583</v>
      </c>
      <c r="F323" t="s">
        <v>14</v>
      </c>
      <c r="G323" t="s">
        <v>51</v>
      </c>
      <c r="H323" t="s">
        <v>16</v>
      </c>
      <c r="I323">
        <v>5</v>
      </c>
      <c r="J323">
        <v>0</v>
      </c>
      <c r="K323">
        <v>5</v>
      </c>
    </row>
    <row r="324" spans="1:11" x14ac:dyDescent="0.25">
      <c r="A324" t="s">
        <v>364</v>
      </c>
      <c r="B324" s="1">
        <v>45825.053067129629</v>
      </c>
      <c r="C324" s="2" t="s">
        <v>18</v>
      </c>
      <c r="D324" t="s">
        <v>19</v>
      </c>
      <c r="E324">
        <v>31441</v>
      </c>
      <c r="F324" t="s">
        <v>14</v>
      </c>
      <c r="G324" t="s">
        <v>27</v>
      </c>
      <c r="H324" t="s">
        <v>16</v>
      </c>
      <c r="I324">
        <v>5</v>
      </c>
      <c r="J324">
        <v>0</v>
      </c>
      <c r="K324">
        <v>5</v>
      </c>
    </row>
    <row r="325" spans="1:11" x14ac:dyDescent="0.25">
      <c r="A325" t="s">
        <v>365</v>
      </c>
      <c r="B325" s="1">
        <v>45954.722962962966</v>
      </c>
      <c r="C325" s="2" t="s">
        <v>18</v>
      </c>
      <c r="D325" t="s">
        <v>23</v>
      </c>
      <c r="E325">
        <v>3395</v>
      </c>
      <c r="F325" t="s">
        <v>14</v>
      </c>
      <c r="G325" t="s">
        <v>51</v>
      </c>
      <c r="H325" t="s">
        <v>16</v>
      </c>
      <c r="I325">
        <v>0</v>
      </c>
      <c r="J325">
        <v>0</v>
      </c>
      <c r="K325">
        <v>0</v>
      </c>
    </row>
    <row r="326" spans="1:11" x14ac:dyDescent="0.25">
      <c r="A326" t="s">
        <v>366</v>
      </c>
      <c r="B326" s="1">
        <v>46101.611527777779</v>
      </c>
      <c r="C326" s="2" t="s">
        <v>22</v>
      </c>
      <c r="D326" t="s">
        <v>13</v>
      </c>
      <c r="E326">
        <v>54000</v>
      </c>
      <c r="F326" t="s">
        <v>99</v>
      </c>
      <c r="G326" t="s">
        <v>15</v>
      </c>
      <c r="H326" t="s">
        <v>16</v>
      </c>
      <c r="I326">
        <v>999</v>
      </c>
      <c r="J326">
        <v>399.6</v>
      </c>
      <c r="K326">
        <v>599.4</v>
      </c>
    </row>
    <row r="327" spans="1:11" x14ac:dyDescent="0.25">
      <c r="A327" t="s">
        <v>367</v>
      </c>
      <c r="B327" s="1">
        <v>46032.851493055554</v>
      </c>
      <c r="C327" s="2" t="s">
        <v>26</v>
      </c>
      <c r="D327" t="s">
        <v>13</v>
      </c>
      <c r="E327">
        <v>226000</v>
      </c>
      <c r="F327" t="s">
        <v>50</v>
      </c>
      <c r="G327" t="s">
        <v>34</v>
      </c>
      <c r="H327" t="s">
        <v>16</v>
      </c>
      <c r="I327">
        <v>4181</v>
      </c>
      <c r="J327">
        <v>1672.4</v>
      </c>
      <c r="K327">
        <v>2508.6</v>
      </c>
    </row>
    <row r="328" spans="1:11" x14ac:dyDescent="0.25">
      <c r="A328" t="s">
        <v>368</v>
      </c>
      <c r="B328" s="1">
        <v>46036.542800925927</v>
      </c>
      <c r="C328" s="2" t="s">
        <v>22</v>
      </c>
      <c r="D328" t="s">
        <v>45</v>
      </c>
      <c r="E328">
        <v>143065</v>
      </c>
      <c r="F328" t="s">
        <v>50</v>
      </c>
      <c r="G328" t="s">
        <v>58</v>
      </c>
      <c r="H328" t="s">
        <v>178</v>
      </c>
      <c r="I328">
        <v>1430.65</v>
      </c>
      <c r="J328">
        <v>0</v>
      </c>
      <c r="K328">
        <v>1430.65</v>
      </c>
    </row>
    <row r="329" spans="1:11" x14ac:dyDescent="0.25">
      <c r="A329" t="s">
        <v>369</v>
      </c>
      <c r="B329" s="1">
        <v>45951.469351851854</v>
      </c>
      <c r="C329" s="2" t="s">
        <v>41</v>
      </c>
      <c r="D329" t="s">
        <v>13</v>
      </c>
      <c r="E329">
        <v>214000</v>
      </c>
      <c r="F329" t="s">
        <v>50</v>
      </c>
      <c r="G329" t="s">
        <v>51</v>
      </c>
      <c r="H329" t="s">
        <v>16</v>
      </c>
      <c r="I329">
        <v>3959</v>
      </c>
      <c r="J329">
        <v>1583.6</v>
      </c>
      <c r="K329">
        <v>2375.4</v>
      </c>
    </row>
    <row r="330" spans="1:11" x14ac:dyDescent="0.25">
      <c r="A330" t="s">
        <v>370</v>
      </c>
      <c r="B330" s="1">
        <v>46080.752789351849</v>
      </c>
      <c r="C330" s="2" t="s">
        <v>26</v>
      </c>
      <c r="D330" t="s">
        <v>19</v>
      </c>
      <c r="E330">
        <v>97164</v>
      </c>
      <c r="F330" t="s">
        <v>14</v>
      </c>
      <c r="G330" t="s">
        <v>51</v>
      </c>
      <c r="H330" t="s">
        <v>16</v>
      </c>
      <c r="I330">
        <v>5</v>
      </c>
      <c r="J330">
        <v>0</v>
      </c>
      <c r="K330">
        <v>5</v>
      </c>
    </row>
    <row r="331" spans="1:11" x14ac:dyDescent="0.25">
      <c r="A331" t="s">
        <v>371</v>
      </c>
      <c r="B331" s="1">
        <v>46114.735937500001</v>
      </c>
      <c r="C331" s="2" t="s">
        <v>29</v>
      </c>
      <c r="D331" t="s">
        <v>19</v>
      </c>
      <c r="E331">
        <v>119010</v>
      </c>
      <c r="F331" t="s">
        <v>14</v>
      </c>
      <c r="G331" t="s">
        <v>27</v>
      </c>
      <c r="H331" t="s">
        <v>16</v>
      </c>
      <c r="I331">
        <v>5</v>
      </c>
      <c r="J331">
        <v>0</v>
      </c>
      <c r="K331">
        <v>5</v>
      </c>
    </row>
    <row r="332" spans="1:11" x14ac:dyDescent="0.25">
      <c r="A332" t="s">
        <v>372</v>
      </c>
      <c r="B332" s="1">
        <v>46141.8828587963</v>
      </c>
      <c r="C332" s="2" t="s">
        <v>41</v>
      </c>
      <c r="D332" t="s">
        <v>33</v>
      </c>
      <c r="E332">
        <v>65668</v>
      </c>
      <c r="F332" t="s">
        <v>14</v>
      </c>
      <c r="G332" t="s">
        <v>15</v>
      </c>
      <c r="H332" t="s">
        <v>16</v>
      </c>
      <c r="I332">
        <v>0</v>
      </c>
      <c r="J332">
        <v>0</v>
      </c>
      <c r="K332">
        <v>0</v>
      </c>
    </row>
    <row r="333" spans="1:11" x14ac:dyDescent="0.25">
      <c r="A333" t="s">
        <v>373</v>
      </c>
      <c r="B333" s="1">
        <v>45929.382280092592</v>
      </c>
      <c r="C333" s="2" t="s">
        <v>41</v>
      </c>
      <c r="D333" t="s">
        <v>23</v>
      </c>
      <c r="E333">
        <v>2404</v>
      </c>
      <c r="F333" t="s">
        <v>50</v>
      </c>
      <c r="G333" t="s">
        <v>34</v>
      </c>
      <c r="H333" t="s">
        <v>16</v>
      </c>
      <c r="I333">
        <v>0</v>
      </c>
      <c r="J333">
        <v>0</v>
      </c>
      <c r="K333">
        <v>0</v>
      </c>
    </row>
    <row r="334" spans="1:11" x14ac:dyDescent="0.25">
      <c r="A334" t="s">
        <v>374</v>
      </c>
      <c r="B334" s="1">
        <v>45940.574629629627</v>
      </c>
      <c r="C334" s="2" t="s">
        <v>12</v>
      </c>
      <c r="D334" t="s">
        <v>23</v>
      </c>
      <c r="E334">
        <v>1602</v>
      </c>
      <c r="F334" t="s">
        <v>14</v>
      </c>
      <c r="G334" t="s">
        <v>24</v>
      </c>
      <c r="H334" t="s">
        <v>16</v>
      </c>
      <c r="I334">
        <v>0</v>
      </c>
      <c r="J334">
        <v>0</v>
      </c>
      <c r="K334">
        <v>0</v>
      </c>
    </row>
    <row r="335" spans="1:11" x14ac:dyDescent="0.25">
      <c r="A335" t="s">
        <v>375</v>
      </c>
      <c r="B335" s="1">
        <v>46118.98841435185</v>
      </c>
      <c r="C335" s="2" t="s">
        <v>32</v>
      </c>
      <c r="D335" t="s">
        <v>45</v>
      </c>
      <c r="E335">
        <v>144366</v>
      </c>
      <c r="F335" t="s">
        <v>14</v>
      </c>
      <c r="G335" t="s">
        <v>51</v>
      </c>
      <c r="H335" t="s">
        <v>71</v>
      </c>
      <c r="I335">
        <v>1443.66</v>
      </c>
      <c r="J335">
        <v>0</v>
      </c>
      <c r="K335">
        <v>1443.66</v>
      </c>
    </row>
    <row r="336" spans="1:11" x14ac:dyDescent="0.25">
      <c r="A336" t="s">
        <v>376</v>
      </c>
      <c r="B336" s="1">
        <v>46081.025937500002</v>
      </c>
      <c r="C336" s="2" t="s">
        <v>26</v>
      </c>
      <c r="D336" t="s">
        <v>23</v>
      </c>
      <c r="E336">
        <v>2852</v>
      </c>
      <c r="F336" t="s">
        <v>99</v>
      </c>
      <c r="G336" t="s">
        <v>84</v>
      </c>
      <c r="H336" t="s">
        <v>16</v>
      </c>
      <c r="I336">
        <v>0</v>
      </c>
      <c r="J336">
        <v>0</v>
      </c>
      <c r="K336">
        <v>0</v>
      </c>
    </row>
    <row r="337" spans="1:11" x14ac:dyDescent="0.25">
      <c r="A337" t="s">
        <v>377</v>
      </c>
      <c r="B337" s="1">
        <v>46110.572395833333</v>
      </c>
      <c r="C337" s="2" t="s">
        <v>29</v>
      </c>
      <c r="D337" t="s">
        <v>13</v>
      </c>
      <c r="E337">
        <v>130500</v>
      </c>
      <c r="F337" t="s">
        <v>14</v>
      </c>
      <c r="G337" t="s">
        <v>20</v>
      </c>
      <c r="H337" t="s">
        <v>16</v>
      </c>
      <c r="I337">
        <v>2414.25</v>
      </c>
      <c r="J337">
        <v>965.7</v>
      </c>
      <c r="K337">
        <v>1448.55</v>
      </c>
    </row>
    <row r="338" spans="1:11" x14ac:dyDescent="0.25">
      <c r="A338" t="s">
        <v>378</v>
      </c>
      <c r="B338" s="1">
        <v>45961.604467592595</v>
      </c>
      <c r="C338" s="2" t="s">
        <v>18</v>
      </c>
      <c r="D338" t="s">
        <v>33</v>
      </c>
      <c r="E338">
        <v>133585</v>
      </c>
      <c r="F338" t="s">
        <v>14</v>
      </c>
      <c r="G338" t="s">
        <v>27</v>
      </c>
      <c r="H338" t="s">
        <v>16</v>
      </c>
      <c r="I338">
        <v>0</v>
      </c>
      <c r="J338">
        <v>0</v>
      </c>
      <c r="K338">
        <v>0</v>
      </c>
    </row>
    <row r="339" spans="1:11" x14ac:dyDescent="0.25">
      <c r="A339" t="s">
        <v>379</v>
      </c>
      <c r="B339" s="1">
        <v>45838.942511574074</v>
      </c>
      <c r="C339" s="2" t="s">
        <v>12</v>
      </c>
      <c r="D339" t="s">
        <v>19</v>
      </c>
      <c r="E339">
        <v>104872</v>
      </c>
      <c r="F339" t="s">
        <v>50</v>
      </c>
      <c r="G339" t="s">
        <v>27</v>
      </c>
      <c r="H339" t="s">
        <v>16</v>
      </c>
      <c r="I339">
        <v>5</v>
      </c>
      <c r="J339">
        <v>0</v>
      </c>
      <c r="K339">
        <v>5</v>
      </c>
    </row>
    <row r="340" spans="1:11" x14ac:dyDescent="0.25">
      <c r="A340" t="s">
        <v>380</v>
      </c>
      <c r="B340" s="1">
        <v>45881.734780092593</v>
      </c>
      <c r="C340" s="2" t="s">
        <v>26</v>
      </c>
      <c r="D340" t="s">
        <v>19</v>
      </c>
      <c r="E340">
        <v>147915</v>
      </c>
      <c r="F340" t="s">
        <v>14</v>
      </c>
      <c r="G340" t="s">
        <v>58</v>
      </c>
      <c r="H340" t="s">
        <v>16</v>
      </c>
      <c r="I340">
        <v>5</v>
      </c>
      <c r="J340">
        <v>0</v>
      </c>
      <c r="K340">
        <v>5</v>
      </c>
    </row>
    <row r="341" spans="1:11" x14ac:dyDescent="0.25">
      <c r="A341" t="s">
        <v>381</v>
      </c>
      <c r="B341" s="1">
        <v>45915.280844907407</v>
      </c>
      <c r="C341" s="2" t="s">
        <v>18</v>
      </c>
      <c r="D341" t="s">
        <v>19</v>
      </c>
      <c r="E341">
        <v>59269</v>
      </c>
      <c r="F341" t="s">
        <v>99</v>
      </c>
      <c r="G341" t="s">
        <v>84</v>
      </c>
      <c r="H341" t="s">
        <v>16</v>
      </c>
      <c r="I341">
        <v>5</v>
      </c>
      <c r="J341">
        <v>0</v>
      </c>
      <c r="K341">
        <v>5</v>
      </c>
    </row>
    <row r="342" spans="1:11" x14ac:dyDescent="0.25">
      <c r="A342" t="s">
        <v>382</v>
      </c>
      <c r="B342" s="1">
        <v>45877.093668981484</v>
      </c>
      <c r="C342" s="2" t="s">
        <v>29</v>
      </c>
      <c r="D342" t="s">
        <v>33</v>
      </c>
      <c r="E342">
        <v>32034</v>
      </c>
      <c r="F342" t="s">
        <v>14</v>
      </c>
      <c r="G342" t="s">
        <v>51</v>
      </c>
      <c r="H342" t="s">
        <v>16</v>
      </c>
      <c r="I342">
        <v>0</v>
      </c>
      <c r="J342">
        <v>0</v>
      </c>
      <c r="K342">
        <v>0</v>
      </c>
    </row>
    <row r="343" spans="1:11" x14ac:dyDescent="0.25">
      <c r="A343" t="s">
        <v>383</v>
      </c>
      <c r="B343" s="1">
        <v>46006.867083333331</v>
      </c>
      <c r="C343" s="2" t="s">
        <v>39</v>
      </c>
      <c r="D343" t="s">
        <v>45</v>
      </c>
      <c r="E343">
        <v>19149</v>
      </c>
      <c r="F343" t="s">
        <v>14</v>
      </c>
      <c r="G343" t="s">
        <v>15</v>
      </c>
      <c r="H343" t="s">
        <v>71</v>
      </c>
      <c r="I343">
        <v>191.49</v>
      </c>
      <c r="J343">
        <v>0</v>
      </c>
      <c r="K343">
        <v>191.49</v>
      </c>
    </row>
    <row r="344" spans="1:11" x14ac:dyDescent="0.25">
      <c r="A344" t="s">
        <v>384</v>
      </c>
      <c r="B344" s="1">
        <v>46078.424143518518</v>
      </c>
      <c r="C344" s="2" t="s">
        <v>26</v>
      </c>
      <c r="D344" t="s">
        <v>19</v>
      </c>
      <c r="E344">
        <v>3235</v>
      </c>
      <c r="F344" t="s">
        <v>14</v>
      </c>
      <c r="G344" t="s">
        <v>84</v>
      </c>
      <c r="H344" t="s">
        <v>16</v>
      </c>
      <c r="I344">
        <v>5</v>
      </c>
      <c r="J344">
        <v>0</v>
      </c>
      <c r="K344">
        <v>5</v>
      </c>
    </row>
    <row r="345" spans="1:11" x14ac:dyDescent="0.25">
      <c r="A345" t="s">
        <v>385</v>
      </c>
      <c r="B345" s="1">
        <v>46109.443981481483</v>
      </c>
      <c r="C345" s="2" t="s">
        <v>22</v>
      </c>
      <c r="D345" t="s">
        <v>45</v>
      </c>
      <c r="E345">
        <v>5210</v>
      </c>
      <c r="F345" t="s">
        <v>14</v>
      </c>
      <c r="G345" t="s">
        <v>15</v>
      </c>
      <c r="H345" t="s">
        <v>56</v>
      </c>
      <c r="I345">
        <v>52.1</v>
      </c>
      <c r="J345">
        <v>0</v>
      </c>
      <c r="K345">
        <v>52.1</v>
      </c>
    </row>
    <row r="346" spans="1:11" x14ac:dyDescent="0.25">
      <c r="A346" t="s">
        <v>386</v>
      </c>
      <c r="B346" s="1">
        <v>46122.239664351851</v>
      </c>
      <c r="C346" s="2" t="s">
        <v>29</v>
      </c>
      <c r="D346" t="s">
        <v>23</v>
      </c>
      <c r="E346">
        <v>4005</v>
      </c>
      <c r="F346" t="s">
        <v>99</v>
      </c>
      <c r="G346" t="s">
        <v>27</v>
      </c>
      <c r="H346" t="s">
        <v>16</v>
      </c>
      <c r="I346">
        <v>0</v>
      </c>
      <c r="J346">
        <v>0</v>
      </c>
      <c r="K346">
        <v>0</v>
      </c>
    </row>
    <row r="347" spans="1:11" x14ac:dyDescent="0.25">
      <c r="A347" t="s">
        <v>387</v>
      </c>
      <c r="B347" s="1">
        <v>46047.068495370368</v>
      </c>
      <c r="C347" s="2" t="s">
        <v>26</v>
      </c>
      <c r="D347" t="s">
        <v>13</v>
      </c>
      <c r="E347">
        <v>175000</v>
      </c>
      <c r="F347" t="s">
        <v>14</v>
      </c>
      <c r="G347" t="s">
        <v>30</v>
      </c>
      <c r="H347" t="s">
        <v>16</v>
      </c>
      <c r="I347">
        <v>3237.5</v>
      </c>
      <c r="J347">
        <v>1295</v>
      </c>
      <c r="K347">
        <v>1942.5</v>
      </c>
    </row>
    <row r="348" spans="1:11" x14ac:dyDescent="0.25">
      <c r="A348" t="s">
        <v>388</v>
      </c>
      <c r="B348" s="1">
        <v>45833.564479166664</v>
      </c>
      <c r="C348" s="2" t="s">
        <v>41</v>
      </c>
      <c r="D348" t="s">
        <v>19</v>
      </c>
      <c r="E348">
        <v>49889</v>
      </c>
      <c r="F348" t="s">
        <v>50</v>
      </c>
      <c r="G348" t="s">
        <v>30</v>
      </c>
      <c r="H348" t="s">
        <v>16</v>
      </c>
      <c r="I348">
        <v>5</v>
      </c>
      <c r="J348">
        <v>0</v>
      </c>
      <c r="K348">
        <v>5</v>
      </c>
    </row>
    <row r="349" spans="1:11" x14ac:dyDescent="0.25">
      <c r="A349" t="s">
        <v>389</v>
      </c>
      <c r="B349" s="1">
        <v>45939.32439814815</v>
      </c>
      <c r="C349" s="2" t="s">
        <v>26</v>
      </c>
      <c r="D349" t="s">
        <v>45</v>
      </c>
      <c r="E349">
        <v>102058</v>
      </c>
      <c r="F349" t="s">
        <v>14</v>
      </c>
      <c r="G349" t="s">
        <v>15</v>
      </c>
      <c r="H349" t="s">
        <v>59</v>
      </c>
      <c r="I349">
        <v>1020.58</v>
      </c>
      <c r="J349">
        <v>0</v>
      </c>
      <c r="K349">
        <v>1020.58</v>
      </c>
    </row>
    <row r="350" spans="1:11" x14ac:dyDescent="0.25">
      <c r="A350" t="s">
        <v>390</v>
      </c>
      <c r="B350" s="1">
        <v>45911.073657407411</v>
      </c>
      <c r="C350" s="2" t="s">
        <v>22</v>
      </c>
      <c r="D350" t="s">
        <v>45</v>
      </c>
      <c r="E350">
        <v>76275</v>
      </c>
      <c r="F350" t="s">
        <v>14</v>
      </c>
      <c r="G350" t="s">
        <v>58</v>
      </c>
      <c r="H350" t="s">
        <v>46</v>
      </c>
      <c r="I350">
        <v>762.75</v>
      </c>
      <c r="J350">
        <v>0</v>
      </c>
      <c r="K350">
        <v>762.75</v>
      </c>
    </row>
    <row r="351" spans="1:11" x14ac:dyDescent="0.25">
      <c r="A351" t="s">
        <v>391</v>
      </c>
      <c r="B351" s="1">
        <v>46091.429745370369</v>
      </c>
      <c r="C351" s="2" t="s">
        <v>12</v>
      </c>
      <c r="D351" t="s">
        <v>45</v>
      </c>
      <c r="E351">
        <v>53231</v>
      </c>
      <c r="F351" t="s">
        <v>14</v>
      </c>
      <c r="G351" t="s">
        <v>34</v>
      </c>
      <c r="H351" t="s">
        <v>178</v>
      </c>
      <c r="I351">
        <v>532.30999999999995</v>
      </c>
      <c r="J351">
        <v>0</v>
      </c>
      <c r="K351">
        <v>532.30999999999995</v>
      </c>
    </row>
    <row r="352" spans="1:11" x14ac:dyDescent="0.25">
      <c r="A352" t="s">
        <v>392</v>
      </c>
      <c r="B352" s="1">
        <v>46142.365046296298</v>
      </c>
      <c r="C352" s="2" t="s">
        <v>26</v>
      </c>
      <c r="D352" t="s">
        <v>33</v>
      </c>
      <c r="E352">
        <v>33883</v>
      </c>
      <c r="F352" t="s">
        <v>14</v>
      </c>
      <c r="G352" t="s">
        <v>51</v>
      </c>
      <c r="H352" t="s">
        <v>16</v>
      </c>
      <c r="I352">
        <v>0</v>
      </c>
      <c r="J352">
        <v>0</v>
      </c>
      <c r="K352">
        <v>0</v>
      </c>
    </row>
    <row r="353" spans="1:11" x14ac:dyDescent="0.25">
      <c r="A353" t="s">
        <v>393</v>
      </c>
      <c r="B353" s="1">
        <v>46110.703298611108</v>
      </c>
      <c r="C353" s="2" t="s">
        <v>41</v>
      </c>
      <c r="D353" t="s">
        <v>19</v>
      </c>
      <c r="E353">
        <v>133483</v>
      </c>
      <c r="F353" t="s">
        <v>50</v>
      </c>
      <c r="G353" t="s">
        <v>34</v>
      </c>
      <c r="H353" t="s">
        <v>16</v>
      </c>
      <c r="I353">
        <v>5</v>
      </c>
      <c r="J353">
        <v>0</v>
      </c>
      <c r="K353">
        <v>5</v>
      </c>
    </row>
    <row r="354" spans="1:11" x14ac:dyDescent="0.25">
      <c r="A354" t="s">
        <v>394</v>
      </c>
      <c r="B354" s="1">
        <v>45921.815578703703</v>
      </c>
      <c r="C354" s="2" t="s">
        <v>12</v>
      </c>
      <c r="D354" t="s">
        <v>19</v>
      </c>
      <c r="E354">
        <v>143207</v>
      </c>
      <c r="F354" t="s">
        <v>14</v>
      </c>
      <c r="G354" t="s">
        <v>15</v>
      </c>
      <c r="H354" t="s">
        <v>16</v>
      </c>
      <c r="I354">
        <v>5</v>
      </c>
      <c r="J354">
        <v>0</v>
      </c>
      <c r="K354">
        <v>5</v>
      </c>
    </row>
    <row r="355" spans="1:11" x14ac:dyDescent="0.25">
      <c r="A355" t="s">
        <v>395</v>
      </c>
      <c r="B355" s="1">
        <v>45853.082766203705</v>
      </c>
      <c r="C355" s="2" t="s">
        <v>39</v>
      </c>
      <c r="D355" t="s">
        <v>19</v>
      </c>
      <c r="E355">
        <v>84573</v>
      </c>
      <c r="F355" t="s">
        <v>14</v>
      </c>
      <c r="G355" t="s">
        <v>20</v>
      </c>
      <c r="H355" t="s">
        <v>16</v>
      </c>
      <c r="I355">
        <v>5</v>
      </c>
      <c r="J355">
        <v>0</v>
      </c>
      <c r="K355">
        <v>5</v>
      </c>
    </row>
    <row r="356" spans="1:11" x14ac:dyDescent="0.25">
      <c r="A356" t="s">
        <v>396</v>
      </c>
      <c r="B356" s="1">
        <v>45988.995289351849</v>
      </c>
      <c r="C356" s="2" t="s">
        <v>26</v>
      </c>
      <c r="D356" t="s">
        <v>45</v>
      </c>
      <c r="E356">
        <v>25875</v>
      </c>
      <c r="F356" t="s">
        <v>14</v>
      </c>
      <c r="G356" t="s">
        <v>27</v>
      </c>
      <c r="H356" t="s">
        <v>59</v>
      </c>
      <c r="I356">
        <v>258.75</v>
      </c>
      <c r="J356">
        <v>0</v>
      </c>
      <c r="K356">
        <v>258.75</v>
      </c>
    </row>
    <row r="357" spans="1:11" x14ac:dyDescent="0.25">
      <c r="A357" t="s">
        <v>397</v>
      </c>
      <c r="B357" s="1">
        <v>45900.424907407411</v>
      </c>
      <c r="C357" s="2" t="s">
        <v>12</v>
      </c>
      <c r="D357" t="s">
        <v>19</v>
      </c>
      <c r="E357">
        <v>48063</v>
      </c>
      <c r="F357" t="s">
        <v>14</v>
      </c>
      <c r="G357" t="s">
        <v>34</v>
      </c>
      <c r="H357" t="s">
        <v>16</v>
      </c>
      <c r="I357">
        <v>5</v>
      </c>
      <c r="J357">
        <v>0</v>
      </c>
      <c r="K357">
        <v>5</v>
      </c>
    </row>
    <row r="358" spans="1:11" x14ac:dyDescent="0.25">
      <c r="A358" t="s">
        <v>398</v>
      </c>
      <c r="B358" s="1">
        <v>46119.284212962964</v>
      </c>
      <c r="C358" s="2" t="s">
        <v>12</v>
      </c>
      <c r="D358" t="s">
        <v>33</v>
      </c>
      <c r="E358">
        <v>10214</v>
      </c>
      <c r="F358" t="s">
        <v>14</v>
      </c>
      <c r="G358" t="s">
        <v>58</v>
      </c>
      <c r="H358" t="s">
        <v>16</v>
      </c>
      <c r="I358">
        <v>0</v>
      </c>
      <c r="J358">
        <v>0</v>
      </c>
      <c r="K358">
        <v>0</v>
      </c>
    </row>
    <row r="359" spans="1:11" x14ac:dyDescent="0.25">
      <c r="A359" t="s">
        <v>399</v>
      </c>
      <c r="B359" s="1">
        <v>46072.344861111109</v>
      </c>
      <c r="C359" s="2" t="s">
        <v>18</v>
      </c>
      <c r="D359" t="s">
        <v>19</v>
      </c>
      <c r="E359">
        <v>96902</v>
      </c>
      <c r="F359" t="s">
        <v>14</v>
      </c>
      <c r="G359" t="s">
        <v>24</v>
      </c>
      <c r="H359" t="s">
        <v>16</v>
      </c>
      <c r="I359">
        <v>5</v>
      </c>
      <c r="J359">
        <v>0</v>
      </c>
      <c r="K359">
        <v>5</v>
      </c>
    </row>
    <row r="360" spans="1:11" x14ac:dyDescent="0.25">
      <c r="A360" t="s">
        <v>400</v>
      </c>
      <c r="B360" s="1">
        <v>45905.425555555557</v>
      </c>
      <c r="C360" s="2" t="s">
        <v>18</v>
      </c>
      <c r="D360" t="s">
        <v>19</v>
      </c>
      <c r="E360">
        <v>146372</v>
      </c>
      <c r="F360" t="s">
        <v>14</v>
      </c>
      <c r="G360" t="s">
        <v>30</v>
      </c>
      <c r="H360" t="s">
        <v>16</v>
      </c>
      <c r="I360">
        <v>5</v>
      </c>
      <c r="J360">
        <v>0</v>
      </c>
      <c r="K360">
        <v>5</v>
      </c>
    </row>
    <row r="361" spans="1:11" x14ac:dyDescent="0.25">
      <c r="A361" t="s">
        <v>401</v>
      </c>
      <c r="B361" s="1">
        <v>46131.058703703704</v>
      </c>
      <c r="C361" s="2" t="s">
        <v>26</v>
      </c>
      <c r="D361" t="s">
        <v>45</v>
      </c>
      <c r="E361">
        <v>46524</v>
      </c>
      <c r="F361" t="s">
        <v>14</v>
      </c>
      <c r="G361" t="s">
        <v>34</v>
      </c>
      <c r="H361" t="s">
        <v>59</v>
      </c>
      <c r="I361">
        <v>465.24</v>
      </c>
      <c r="J361">
        <v>0</v>
      </c>
      <c r="K361">
        <v>465.24</v>
      </c>
    </row>
    <row r="362" spans="1:11" x14ac:dyDescent="0.25">
      <c r="A362" t="s">
        <v>402</v>
      </c>
      <c r="B362" s="1">
        <v>46036.790266203701</v>
      </c>
      <c r="C362" s="2" t="s">
        <v>22</v>
      </c>
      <c r="D362" t="s">
        <v>33</v>
      </c>
      <c r="E362">
        <v>118281</v>
      </c>
      <c r="F362" t="s">
        <v>14</v>
      </c>
      <c r="G362" t="s">
        <v>20</v>
      </c>
      <c r="H362" t="s">
        <v>16</v>
      </c>
      <c r="I362">
        <v>0</v>
      </c>
      <c r="J362">
        <v>0</v>
      </c>
      <c r="K362">
        <v>0</v>
      </c>
    </row>
    <row r="363" spans="1:11" x14ac:dyDescent="0.25">
      <c r="A363" t="s">
        <v>403</v>
      </c>
      <c r="B363" s="1">
        <v>45807.930879629632</v>
      </c>
      <c r="C363" s="2" t="s">
        <v>32</v>
      </c>
      <c r="D363" t="s">
        <v>45</v>
      </c>
      <c r="E363">
        <v>84292</v>
      </c>
      <c r="F363" t="s">
        <v>14</v>
      </c>
      <c r="G363" t="s">
        <v>27</v>
      </c>
      <c r="H363" t="s">
        <v>46</v>
      </c>
      <c r="I363">
        <v>842.92</v>
      </c>
      <c r="J363">
        <v>0</v>
      </c>
      <c r="K363">
        <v>842.92</v>
      </c>
    </row>
    <row r="364" spans="1:11" x14ac:dyDescent="0.25">
      <c r="A364" t="s">
        <v>404</v>
      </c>
      <c r="B364" s="1">
        <v>45901.167997685188</v>
      </c>
      <c r="C364" s="2" t="s">
        <v>39</v>
      </c>
      <c r="D364" t="s">
        <v>45</v>
      </c>
      <c r="E364">
        <v>119038</v>
      </c>
      <c r="F364" t="s">
        <v>14</v>
      </c>
      <c r="G364" t="s">
        <v>30</v>
      </c>
      <c r="H364" t="s">
        <v>71</v>
      </c>
      <c r="I364">
        <v>1190.3800000000001</v>
      </c>
      <c r="J364">
        <v>0</v>
      </c>
      <c r="K364">
        <v>1190.3800000000001</v>
      </c>
    </row>
    <row r="365" spans="1:11" x14ac:dyDescent="0.25">
      <c r="A365" t="s">
        <v>405</v>
      </c>
      <c r="B365" s="1">
        <v>46044.82534722222</v>
      </c>
      <c r="C365" s="2" t="s">
        <v>22</v>
      </c>
      <c r="D365" t="s">
        <v>45</v>
      </c>
      <c r="E365">
        <v>40969</v>
      </c>
      <c r="F365" t="s">
        <v>14</v>
      </c>
      <c r="G365" t="s">
        <v>51</v>
      </c>
      <c r="H365" t="s">
        <v>178</v>
      </c>
      <c r="I365">
        <v>409.69</v>
      </c>
      <c r="J365">
        <v>0</v>
      </c>
      <c r="K365">
        <v>409.69</v>
      </c>
    </row>
    <row r="366" spans="1:11" x14ac:dyDescent="0.25">
      <c r="A366" t="s">
        <v>406</v>
      </c>
      <c r="B366" s="1">
        <v>46090.945567129631</v>
      </c>
      <c r="C366" s="2" t="s">
        <v>29</v>
      </c>
      <c r="D366" t="s">
        <v>45</v>
      </c>
      <c r="E366">
        <v>14744</v>
      </c>
      <c r="F366" t="s">
        <v>50</v>
      </c>
      <c r="G366" t="s">
        <v>15</v>
      </c>
      <c r="H366" t="s">
        <v>46</v>
      </c>
      <c r="I366">
        <v>147.44</v>
      </c>
      <c r="J366">
        <v>0</v>
      </c>
      <c r="K366">
        <v>147.44</v>
      </c>
    </row>
    <row r="367" spans="1:11" x14ac:dyDescent="0.25">
      <c r="A367" t="s">
        <v>407</v>
      </c>
      <c r="B367" s="1">
        <v>46032.459953703707</v>
      </c>
      <c r="C367" s="2" t="s">
        <v>18</v>
      </c>
      <c r="D367" t="s">
        <v>13</v>
      </c>
      <c r="E367">
        <v>163500</v>
      </c>
      <c r="F367" t="s">
        <v>14</v>
      </c>
      <c r="G367" t="s">
        <v>15</v>
      </c>
      <c r="H367" t="s">
        <v>16</v>
      </c>
      <c r="I367">
        <v>3024.75</v>
      </c>
      <c r="J367">
        <v>1209.9000000000001</v>
      </c>
      <c r="K367">
        <v>1814.85</v>
      </c>
    </row>
    <row r="368" spans="1:11" x14ac:dyDescent="0.25">
      <c r="A368" t="s">
        <v>408</v>
      </c>
      <c r="B368" s="1">
        <v>46133.602847222224</v>
      </c>
      <c r="C368" s="2" t="s">
        <v>39</v>
      </c>
      <c r="D368" t="s">
        <v>45</v>
      </c>
      <c r="E368">
        <v>13837</v>
      </c>
      <c r="F368" t="s">
        <v>14</v>
      </c>
      <c r="G368" t="s">
        <v>24</v>
      </c>
      <c r="H368" t="s">
        <v>46</v>
      </c>
      <c r="I368">
        <v>138.37</v>
      </c>
      <c r="J368">
        <v>0</v>
      </c>
      <c r="K368">
        <v>138.37</v>
      </c>
    </row>
    <row r="369" spans="1:11" x14ac:dyDescent="0.25">
      <c r="A369" t="s">
        <v>409</v>
      </c>
      <c r="B369" s="1">
        <v>46067.272187499999</v>
      </c>
      <c r="C369" s="2" t="s">
        <v>22</v>
      </c>
      <c r="D369" t="s">
        <v>19</v>
      </c>
      <c r="E369">
        <v>19815</v>
      </c>
      <c r="F369" t="s">
        <v>14</v>
      </c>
      <c r="G369" t="s">
        <v>27</v>
      </c>
      <c r="H369" t="s">
        <v>16</v>
      </c>
      <c r="I369">
        <v>5</v>
      </c>
      <c r="J369">
        <v>0</v>
      </c>
      <c r="K369">
        <v>5</v>
      </c>
    </row>
    <row r="370" spans="1:11" x14ac:dyDescent="0.25">
      <c r="A370" t="s">
        <v>410</v>
      </c>
      <c r="B370" s="1">
        <v>45838.557812500003</v>
      </c>
      <c r="C370" s="2" t="s">
        <v>26</v>
      </c>
      <c r="D370" t="s">
        <v>13</v>
      </c>
      <c r="E370">
        <v>137000</v>
      </c>
      <c r="F370" t="s">
        <v>14</v>
      </c>
      <c r="G370" t="s">
        <v>58</v>
      </c>
      <c r="H370" t="s">
        <v>16</v>
      </c>
      <c r="I370">
        <v>2534.5</v>
      </c>
      <c r="J370">
        <v>1013.8</v>
      </c>
      <c r="K370">
        <v>1520.7</v>
      </c>
    </row>
    <row r="371" spans="1:11" x14ac:dyDescent="0.25">
      <c r="A371" t="s">
        <v>411</v>
      </c>
      <c r="B371" s="1">
        <v>45877.909918981481</v>
      </c>
      <c r="C371" s="2" t="s">
        <v>26</v>
      </c>
      <c r="D371" t="s">
        <v>13</v>
      </c>
      <c r="E371">
        <v>30500</v>
      </c>
      <c r="F371" t="s">
        <v>99</v>
      </c>
      <c r="G371" t="s">
        <v>58</v>
      </c>
      <c r="H371" t="s">
        <v>16</v>
      </c>
      <c r="I371">
        <v>564.25</v>
      </c>
      <c r="J371">
        <v>225.7</v>
      </c>
      <c r="K371">
        <v>338.55</v>
      </c>
    </row>
    <row r="372" spans="1:11" x14ac:dyDescent="0.25">
      <c r="A372" t="s">
        <v>412</v>
      </c>
      <c r="B372" s="1">
        <v>45789.722858796296</v>
      </c>
      <c r="C372" s="2" t="s">
        <v>26</v>
      </c>
      <c r="D372" t="s">
        <v>19</v>
      </c>
      <c r="E372">
        <v>25555</v>
      </c>
      <c r="F372" t="s">
        <v>50</v>
      </c>
      <c r="G372" t="s">
        <v>24</v>
      </c>
      <c r="H372" t="s">
        <v>16</v>
      </c>
      <c r="I372">
        <v>5</v>
      </c>
      <c r="J372">
        <v>0</v>
      </c>
      <c r="K372">
        <v>5</v>
      </c>
    </row>
    <row r="373" spans="1:11" x14ac:dyDescent="0.25">
      <c r="A373" t="s">
        <v>413</v>
      </c>
      <c r="B373" s="1">
        <v>46020.62972222222</v>
      </c>
      <c r="C373" s="2" t="s">
        <v>12</v>
      </c>
      <c r="D373" t="s">
        <v>23</v>
      </c>
      <c r="E373">
        <v>907</v>
      </c>
      <c r="F373" t="s">
        <v>50</v>
      </c>
      <c r="G373" t="s">
        <v>34</v>
      </c>
      <c r="H373" t="s">
        <v>16</v>
      </c>
      <c r="I373">
        <v>0</v>
      </c>
      <c r="J373">
        <v>0</v>
      </c>
      <c r="K373">
        <v>0</v>
      </c>
    </row>
    <row r="374" spans="1:11" x14ac:dyDescent="0.25">
      <c r="A374" t="s">
        <v>414</v>
      </c>
      <c r="B374" s="1">
        <v>46101.49496527778</v>
      </c>
      <c r="C374" s="2" t="s">
        <v>22</v>
      </c>
      <c r="D374" t="s">
        <v>33</v>
      </c>
      <c r="E374">
        <v>116384</v>
      </c>
      <c r="F374" t="s">
        <v>14</v>
      </c>
      <c r="G374" t="s">
        <v>34</v>
      </c>
      <c r="H374" t="s">
        <v>16</v>
      </c>
      <c r="I374">
        <v>0</v>
      </c>
      <c r="J374">
        <v>0</v>
      </c>
      <c r="K374">
        <v>0</v>
      </c>
    </row>
    <row r="375" spans="1:11" x14ac:dyDescent="0.25">
      <c r="A375" t="s">
        <v>415</v>
      </c>
      <c r="B375" s="1">
        <v>45951.664594907408</v>
      </c>
      <c r="C375" s="2" t="s">
        <v>26</v>
      </c>
      <c r="D375" t="s">
        <v>23</v>
      </c>
      <c r="E375">
        <v>1014</v>
      </c>
      <c r="F375" t="s">
        <v>14</v>
      </c>
      <c r="G375" t="s">
        <v>27</v>
      </c>
      <c r="H375" t="s">
        <v>16</v>
      </c>
      <c r="I375">
        <v>0</v>
      </c>
      <c r="J375">
        <v>0</v>
      </c>
      <c r="K375">
        <v>0</v>
      </c>
    </row>
    <row r="376" spans="1:11" x14ac:dyDescent="0.25">
      <c r="A376" t="s">
        <v>416</v>
      </c>
      <c r="B376" s="1">
        <v>45865.513668981483</v>
      </c>
      <c r="C376" s="2" t="s">
        <v>29</v>
      </c>
      <c r="D376" t="s">
        <v>23</v>
      </c>
      <c r="E376">
        <v>51</v>
      </c>
      <c r="F376" t="s">
        <v>14</v>
      </c>
      <c r="G376" t="s">
        <v>20</v>
      </c>
      <c r="H376" t="s">
        <v>16</v>
      </c>
      <c r="I376">
        <v>0</v>
      </c>
      <c r="J376">
        <v>0</v>
      </c>
      <c r="K376">
        <v>0</v>
      </c>
    </row>
    <row r="377" spans="1:11" x14ac:dyDescent="0.25">
      <c r="A377" t="s">
        <v>417</v>
      </c>
      <c r="B377" s="1">
        <v>45939.57540509259</v>
      </c>
      <c r="C377" s="2" t="s">
        <v>39</v>
      </c>
      <c r="D377" t="s">
        <v>13</v>
      </c>
      <c r="E377">
        <v>209000</v>
      </c>
      <c r="F377" t="s">
        <v>14</v>
      </c>
      <c r="G377" t="s">
        <v>34</v>
      </c>
      <c r="H377" t="s">
        <v>16</v>
      </c>
      <c r="I377">
        <v>3866.5</v>
      </c>
      <c r="J377">
        <v>1546.6</v>
      </c>
      <c r="K377">
        <v>2319.9</v>
      </c>
    </row>
    <row r="378" spans="1:11" x14ac:dyDescent="0.25">
      <c r="A378" t="s">
        <v>418</v>
      </c>
      <c r="B378" s="1">
        <v>45933.108240740738</v>
      </c>
      <c r="C378" s="2" t="s">
        <v>26</v>
      </c>
      <c r="D378" t="s">
        <v>19</v>
      </c>
      <c r="E378">
        <v>121109</v>
      </c>
      <c r="F378" t="s">
        <v>14</v>
      </c>
      <c r="G378" t="s">
        <v>30</v>
      </c>
      <c r="H378" t="s">
        <v>16</v>
      </c>
      <c r="I378">
        <v>5</v>
      </c>
      <c r="J378">
        <v>0</v>
      </c>
      <c r="K378">
        <v>5</v>
      </c>
    </row>
    <row r="379" spans="1:11" x14ac:dyDescent="0.25">
      <c r="A379" t="s">
        <v>419</v>
      </c>
      <c r="B379" s="1">
        <v>46024.291365740741</v>
      </c>
      <c r="C379" s="2" t="s">
        <v>32</v>
      </c>
      <c r="D379" t="s">
        <v>19</v>
      </c>
      <c r="E379">
        <v>135924</v>
      </c>
      <c r="F379" t="s">
        <v>14</v>
      </c>
      <c r="G379" t="s">
        <v>30</v>
      </c>
      <c r="H379" t="s">
        <v>16</v>
      </c>
      <c r="I379">
        <v>5</v>
      </c>
      <c r="J379">
        <v>0</v>
      </c>
      <c r="K379">
        <v>5</v>
      </c>
    </row>
    <row r="380" spans="1:11" x14ac:dyDescent="0.25">
      <c r="A380" t="s">
        <v>420</v>
      </c>
      <c r="B380" s="1">
        <v>46058.761701388888</v>
      </c>
      <c r="C380" s="2" t="s">
        <v>22</v>
      </c>
      <c r="D380" t="s">
        <v>23</v>
      </c>
      <c r="E380">
        <v>4470</v>
      </c>
      <c r="F380" t="s">
        <v>50</v>
      </c>
      <c r="G380" t="s">
        <v>24</v>
      </c>
      <c r="H380" t="s">
        <v>16</v>
      </c>
      <c r="I380">
        <v>0</v>
      </c>
      <c r="J380">
        <v>0</v>
      </c>
      <c r="K380">
        <v>0</v>
      </c>
    </row>
    <row r="381" spans="1:11" x14ac:dyDescent="0.25">
      <c r="A381" t="s">
        <v>421</v>
      </c>
      <c r="B381" s="1">
        <v>45955.910324074073</v>
      </c>
      <c r="C381" s="2" t="s">
        <v>18</v>
      </c>
      <c r="D381" t="s">
        <v>33</v>
      </c>
      <c r="E381">
        <v>41921</v>
      </c>
      <c r="F381" t="s">
        <v>14</v>
      </c>
      <c r="G381" t="s">
        <v>51</v>
      </c>
      <c r="H381" t="s">
        <v>16</v>
      </c>
      <c r="I381">
        <v>0</v>
      </c>
      <c r="J381">
        <v>0</v>
      </c>
      <c r="K381">
        <v>0</v>
      </c>
    </row>
    <row r="382" spans="1:11" x14ac:dyDescent="0.25">
      <c r="A382" t="s">
        <v>422</v>
      </c>
      <c r="B382" s="1">
        <v>46087.881006944444</v>
      </c>
      <c r="C382" s="2" t="s">
        <v>41</v>
      </c>
      <c r="D382" t="s">
        <v>23</v>
      </c>
      <c r="E382">
        <v>4282</v>
      </c>
      <c r="F382" t="s">
        <v>14</v>
      </c>
      <c r="G382" t="s">
        <v>27</v>
      </c>
      <c r="H382" t="s">
        <v>16</v>
      </c>
      <c r="I382">
        <v>0</v>
      </c>
      <c r="J382">
        <v>0</v>
      </c>
      <c r="K382">
        <v>0</v>
      </c>
    </row>
    <row r="383" spans="1:11" x14ac:dyDescent="0.25">
      <c r="A383" t="s">
        <v>423</v>
      </c>
      <c r="B383" s="1">
        <v>46121.650300925925</v>
      </c>
      <c r="C383" s="2" t="s">
        <v>32</v>
      </c>
      <c r="D383" t="s">
        <v>33</v>
      </c>
      <c r="E383">
        <v>15354</v>
      </c>
      <c r="F383" t="s">
        <v>14</v>
      </c>
      <c r="G383" t="s">
        <v>20</v>
      </c>
      <c r="H383" t="s">
        <v>16</v>
      </c>
      <c r="I383">
        <v>0</v>
      </c>
      <c r="J383">
        <v>0</v>
      </c>
      <c r="K383">
        <v>0</v>
      </c>
    </row>
    <row r="384" spans="1:11" x14ac:dyDescent="0.25">
      <c r="A384" t="s">
        <v>424</v>
      </c>
      <c r="B384" s="1">
        <v>45865.847777777781</v>
      </c>
      <c r="C384" s="2" t="s">
        <v>41</v>
      </c>
      <c r="D384" t="s">
        <v>33</v>
      </c>
      <c r="E384">
        <v>129298</v>
      </c>
      <c r="F384" t="s">
        <v>99</v>
      </c>
      <c r="G384" t="s">
        <v>30</v>
      </c>
      <c r="H384" t="s">
        <v>16</v>
      </c>
      <c r="I384">
        <v>0</v>
      </c>
      <c r="J384">
        <v>0</v>
      </c>
      <c r="K384">
        <v>0</v>
      </c>
    </row>
    <row r="385" spans="1:11" x14ac:dyDescent="0.25">
      <c r="A385" t="s">
        <v>425</v>
      </c>
      <c r="B385" s="1">
        <v>45846.454155092593</v>
      </c>
      <c r="C385" s="2" t="s">
        <v>12</v>
      </c>
      <c r="D385" t="s">
        <v>45</v>
      </c>
      <c r="E385">
        <v>146970</v>
      </c>
      <c r="F385" t="s">
        <v>50</v>
      </c>
      <c r="G385" t="s">
        <v>84</v>
      </c>
      <c r="H385" t="s">
        <v>56</v>
      </c>
      <c r="I385">
        <v>1469.7</v>
      </c>
      <c r="J385">
        <v>0</v>
      </c>
      <c r="K385">
        <v>1469.7</v>
      </c>
    </row>
    <row r="386" spans="1:11" x14ac:dyDescent="0.25">
      <c r="A386" t="s">
        <v>426</v>
      </c>
      <c r="B386" s="1">
        <v>45936.391608796293</v>
      </c>
      <c r="C386" s="2" t="s">
        <v>12</v>
      </c>
      <c r="D386" t="s">
        <v>19</v>
      </c>
      <c r="E386">
        <v>21193</v>
      </c>
      <c r="F386" t="s">
        <v>14</v>
      </c>
      <c r="G386" t="s">
        <v>34</v>
      </c>
      <c r="H386" t="s">
        <v>16</v>
      </c>
      <c r="I386">
        <v>5</v>
      </c>
      <c r="J386">
        <v>0</v>
      </c>
      <c r="K386">
        <v>5</v>
      </c>
    </row>
    <row r="387" spans="1:11" x14ac:dyDescent="0.25">
      <c r="A387" t="s">
        <v>427</v>
      </c>
      <c r="B387" s="1">
        <v>45871.429710648146</v>
      </c>
      <c r="C387" s="2" t="s">
        <v>18</v>
      </c>
      <c r="D387" t="s">
        <v>19</v>
      </c>
      <c r="E387">
        <v>33405</v>
      </c>
      <c r="F387" t="s">
        <v>50</v>
      </c>
      <c r="G387" t="s">
        <v>58</v>
      </c>
      <c r="H387" t="s">
        <v>16</v>
      </c>
      <c r="I387">
        <v>5</v>
      </c>
      <c r="J387">
        <v>0</v>
      </c>
      <c r="K387">
        <v>5</v>
      </c>
    </row>
    <row r="388" spans="1:11" x14ac:dyDescent="0.25">
      <c r="A388" t="s">
        <v>428</v>
      </c>
      <c r="B388" s="1">
        <v>45995.497928240744</v>
      </c>
      <c r="C388" s="2" t="s">
        <v>18</v>
      </c>
      <c r="D388" t="s">
        <v>33</v>
      </c>
      <c r="E388">
        <v>116846</v>
      </c>
      <c r="F388" t="s">
        <v>14</v>
      </c>
      <c r="G388" t="s">
        <v>27</v>
      </c>
      <c r="H388" t="s">
        <v>16</v>
      </c>
      <c r="I388">
        <v>0</v>
      </c>
      <c r="J388">
        <v>0</v>
      </c>
      <c r="K388">
        <v>0</v>
      </c>
    </row>
    <row r="389" spans="1:11" x14ac:dyDescent="0.25">
      <c r="A389" t="s">
        <v>429</v>
      </c>
      <c r="B389" s="1">
        <v>45778.908449074072</v>
      </c>
      <c r="C389" s="2" t="s">
        <v>41</v>
      </c>
      <c r="D389" t="s">
        <v>33</v>
      </c>
      <c r="E389">
        <v>57777</v>
      </c>
      <c r="F389" t="s">
        <v>14</v>
      </c>
      <c r="G389" t="s">
        <v>20</v>
      </c>
      <c r="H389" t="s">
        <v>16</v>
      </c>
      <c r="I389">
        <v>0</v>
      </c>
      <c r="J389">
        <v>0</v>
      </c>
      <c r="K389">
        <v>0</v>
      </c>
    </row>
    <row r="390" spans="1:11" x14ac:dyDescent="0.25">
      <c r="A390" t="s">
        <v>430</v>
      </c>
      <c r="B390" s="1">
        <v>45830.45585648148</v>
      </c>
      <c r="C390" s="2" t="s">
        <v>18</v>
      </c>
      <c r="D390" t="s">
        <v>23</v>
      </c>
      <c r="E390">
        <v>1879</v>
      </c>
      <c r="F390" t="s">
        <v>14</v>
      </c>
      <c r="G390" t="s">
        <v>84</v>
      </c>
      <c r="H390" t="s">
        <v>16</v>
      </c>
      <c r="I390">
        <v>0</v>
      </c>
      <c r="J390">
        <v>0</v>
      </c>
      <c r="K390">
        <v>0</v>
      </c>
    </row>
    <row r="391" spans="1:11" x14ac:dyDescent="0.25">
      <c r="A391" t="s">
        <v>431</v>
      </c>
      <c r="B391" s="1">
        <v>45830.763078703705</v>
      </c>
      <c r="C391" s="2" t="s">
        <v>29</v>
      </c>
      <c r="D391" t="s">
        <v>45</v>
      </c>
      <c r="E391">
        <v>129943</v>
      </c>
      <c r="F391" t="s">
        <v>14</v>
      </c>
      <c r="G391" t="s">
        <v>15</v>
      </c>
      <c r="H391" t="s">
        <v>178</v>
      </c>
      <c r="I391">
        <v>1299.43</v>
      </c>
      <c r="J391">
        <v>0</v>
      </c>
      <c r="K391">
        <v>1299.43</v>
      </c>
    </row>
    <row r="392" spans="1:11" x14ac:dyDescent="0.25">
      <c r="A392" t="s">
        <v>432</v>
      </c>
      <c r="B392" s="1">
        <v>45977.092800925922</v>
      </c>
      <c r="C392" s="2" t="s">
        <v>41</v>
      </c>
      <c r="D392" t="s">
        <v>13</v>
      </c>
      <c r="E392">
        <v>218000</v>
      </c>
      <c r="F392" t="s">
        <v>14</v>
      </c>
      <c r="G392" t="s">
        <v>34</v>
      </c>
      <c r="H392" t="s">
        <v>16</v>
      </c>
      <c r="I392">
        <v>4033</v>
      </c>
      <c r="J392">
        <v>1613.2</v>
      </c>
      <c r="K392">
        <v>2419.8000000000002</v>
      </c>
    </row>
    <row r="393" spans="1:11" x14ac:dyDescent="0.25">
      <c r="A393" t="s">
        <v>433</v>
      </c>
      <c r="B393" s="1">
        <v>46029.208437499998</v>
      </c>
      <c r="C393" s="2" t="s">
        <v>18</v>
      </c>
      <c r="D393" t="s">
        <v>23</v>
      </c>
      <c r="E393">
        <v>4843</v>
      </c>
      <c r="F393" t="s">
        <v>14</v>
      </c>
      <c r="G393" t="s">
        <v>34</v>
      </c>
      <c r="H393" t="s">
        <v>16</v>
      </c>
      <c r="I393">
        <v>0</v>
      </c>
      <c r="J393">
        <v>0</v>
      </c>
      <c r="K393">
        <v>0</v>
      </c>
    </row>
    <row r="394" spans="1:11" x14ac:dyDescent="0.25">
      <c r="A394" t="s">
        <v>434</v>
      </c>
      <c r="B394" s="1">
        <v>45902.106296296297</v>
      </c>
      <c r="C394" s="2" t="s">
        <v>32</v>
      </c>
      <c r="D394" t="s">
        <v>13</v>
      </c>
      <c r="E394">
        <v>180000</v>
      </c>
      <c r="F394" t="s">
        <v>14</v>
      </c>
      <c r="G394" t="s">
        <v>27</v>
      </c>
      <c r="H394" t="s">
        <v>16</v>
      </c>
      <c r="I394">
        <v>3330</v>
      </c>
      <c r="J394">
        <v>1332</v>
      </c>
      <c r="K394">
        <v>1998</v>
      </c>
    </row>
    <row r="395" spans="1:11" x14ac:dyDescent="0.25">
      <c r="A395" t="s">
        <v>435</v>
      </c>
      <c r="B395" s="1">
        <v>45870.474004629628</v>
      </c>
      <c r="C395" s="2" t="s">
        <v>29</v>
      </c>
      <c r="D395" t="s">
        <v>13</v>
      </c>
      <c r="E395">
        <v>7000</v>
      </c>
      <c r="F395" t="s">
        <v>14</v>
      </c>
      <c r="G395" t="s">
        <v>30</v>
      </c>
      <c r="H395" t="s">
        <v>16</v>
      </c>
      <c r="I395">
        <v>129.5</v>
      </c>
      <c r="J395">
        <v>51.8</v>
      </c>
      <c r="K395">
        <v>77.7</v>
      </c>
    </row>
    <row r="396" spans="1:11" x14ac:dyDescent="0.25">
      <c r="A396" t="s">
        <v>436</v>
      </c>
      <c r="B396" s="1">
        <v>46105.05909722222</v>
      </c>
      <c r="C396" s="2" t="s">
        <v>12</v>
      </c>
      <c r="D396" t="s">
        <v>45</v>
      </c>
      <c r="E396">
        <v>14394</v>
      </c>
      <c r="F396" t="s">
        <v>14</v>
      </c>
      <c r="G396" t="s">
        <v>24</v>
      </c>
      <c r="H396" t="s">
        <v>46</v>
      </c>
      <c r="I396">
        <v>143.94</v>
      </c>
      <c r="J396">
        <v>0</v>
      </c>
      <c r="K396">
        <v>143.94</v>
      </c>
    </row>
    <row r="397" spans="1:11" x14ac:dyDescent="0.25">
      <c r="A397" t="s">
        <v>437</v>
      </c>
      <c r="B397" s="1">
        <v>45780.206875000003</v>
      </c>
      <c r="C397" s="2" t="s">
        <v>18</v>
      </c>
      <c r="D397" t="s">
        <v>45</v>
      </c>
      <c r="E397">
        <v>120101</v>
      </c>
      <c r="F397" t="s">
        <v>14</v>
      </c>
      <c r="G397" t="s">
        <v>27</v>
      </c>
      <c r="H397" t="s">
        <v>178</v>
      </c>
      <c r="I397">
        <v>1201.01</v>
      </c>
      <c r="J397">
        <v>0</v>
      </c>
      <c r="K397">
        <v>1201.01</v>
      </c>
    </row>
    <row r="398" spans="1:11" x14ac:dyDescent="0.25">
      <c r="A398" t="s">
        <v>438</v>
      </c>
      <c r="B398" s="1">
        <v>46092.189467592594</v>
      </c>
      <c r="C398" s="2" t="s">
        <v>12</v>
      </c>
      <c r="D398" t="s">
        <v>45</v>
      </c>
      <c r="E398">
        <v>147434</v>
      </c>
      <c r="F398" t="s">
        <v>14</v>
      </c>
      <c r="G398" t="s">
        <v>24</v>
      </c>
      <c r="H398" t="s">
        <v>71</v>
      </c>
      <c r="I398">
        <v>1474.34</v>
      </c>
      <c r="J398">
        <v>0</v>
      </c>
      <c r="K398">
        <v>1474.34</v>
      </c>
    </row>
    <row r="399" spans="1:11" x14ac:dyDescent="0.25">
      <c r="A399" t="s">
        <v>439</v>
      </c>
      <c r="B399" s="1">
        <v>46041.257939814815</v>
      </c>
      <c r="C399" s="2" t="s">
        <v>26</v>
      </c>
      <c r="D399" t="s">
        <v>13</v>
      </c>
      <c r="E399">
        <v>190500</v>
      </c>
      <c r="F399" t="s">
        <v>14</v>
      </c>
      <c r="G399" t="s">
        <v>20</v>
      </c>
      <c r="H399" t="s">
        <v>16</v>
      </c>
      <c r="I399">
        <v>3524.25</v>
      </c>
      <c r="J399">
        <v>1409.7</v>
      </c>
      <c r="K399">
        <v>2114.5500000000002</v>
      </c>
    </row>
    <row r="400" spans="1:11" x14ac:dyDescent="0.25">
      <c r="A400" t="s">
        <v>440</v>
      </c>
      <c r="B400" s="1">
        <v>45785.825937499998</v>
      </c>
      <c r="C400" s="2" t="s">
        <v>22</v>
      </c>
      <c r="D400" t="s">
        <v>23</v>
      </c>
      <c r="E400">
        <v>899</v>
      </c>
      <c r="F400" t="s">
        <v>14</v>
      </c>
      <c r="G400" t="s">
        <v>34</v>
      </c>
      <c r="H400" t="s">
        <v>16</v>
      </c>
      <c r="I400">
        <v>0</v>
      </c>
      <c r="J400">
        <v>0</v>
      </c>
      <c r="K400">
        <v>0</v>
      </c>
    </row>
    <row r="401" spans="1:11" x14ac:dyDescent="0.25">
      <c r="A401" t="s">
        <v>441</v>
      </c>
      <c r="B401" s="1">
        <v>46115.383738425924</v>
      </c>
      <c r="C401" s="2" t="s">
        <v>22</v>
      </c>
      <c r="D401" t="s">
        <v>13</v>
      </c>
      <c r="E401">
        <v>49000</v>
      </c>
      <c r="F401" t="s">
        <v>14</v>
      </c>
      <c r="G401" t="s">
        <v>34</v>
      </c>
      <c r="H401" t="s">
        <v>16</v>
      </c>
      <c r="I401">
        <v>906.5</v>
      </c>
      <c r="J401">
        <v>362.6</v>
      </c>
      <c r="K401">
        <v>543.9</v>
      </c>
    </row>
    <row r="402" spans="1:11" x14ac:dyDescent="0.25">
      <c r="A402" t="s">
        <v>442</v>
      </c>
      <c r="B402" s="1">
        <v>46078.653981481482</v>
      </c>
      <c r="C402" s="2" t="s">
        <v>18</v>
      </c>
      <c r="D402" t="s">
        <v>33</v>
      </c>
      <c r="E402">
        <v>51262</v>
      </c>
      <c r="F402" t="s">
        <v>14</v>
      </c>
      <c r="G402" t="s">
        <v>20</v>
      </c>
      <c r="H402" t="s">
        <v>16</v>
      </c>
      <c r="I402">
        <v>0</v>
      </c>
      <c r="J402">
        <v>0</v>
      </c>
      <c r="K402">
        <v>0</v>
      </c>
    </row>
    <row r="403" spans="1:11" x14ac:dyDescent="0.25">
      <c r="A403" t="s">
        <v>443</v>
      </c>
      <c r="B403" s="1">
        <v>45980.869791666664</v>
      </c>
      <c r="C403" s="2" t="s">
        <v>26</v>
      </c>
      <c r="D403" t="s">
        <v>13</v>
      </c>
      <c r="E403">
        <v>51500</v>
      </c>
      <c r="F403" t="s">
        <v>14</v>
      </c>
      <c r="G403" t="s">
        <v>15</v>
      </c>
      <c r="H403" t="s">
        <v>16</v>
      </c>
      <c r="I403">
        <v>952.75</v>
      </c>
      <c r="J403">
        <v>381.1</v>
      </c>
      <c r="K403">
        <v>571.65</v>
      </c>
    </row>
    <row r="404" spans="1:11" x14ac:dyDescent="0.25">
      <c r="A404" t="s">
        <v>444</v>
      </c>
      <c r="B404" s="1">
        <v>46001.755127314813</v>
      </c>
      <c r="C404" s="2" t="s">
        <v>29</v>
      </c>
      <c r="D404" t="s">
        <v>19</v>
      </c>
      <c r="E404">
        <v>30956</v>
      </c>
      <c r="F404" t="s">
        <v>14</v>
      </c>
      <c r="G404" t="s">
        <v>51</v>
      </c>
      <c r="H404" t="s">
        <v>16</v>
      </c>
      <c r="I404">
        <v>5</v>
      </c>
      <c r="J404">
        <v>0</v>
      </c>
      <c r="K404">
        <v>5</v>
      </c>
    </row>
    <row r="405" spans="1:11" x14ac:dyDescent="0.25">
      <c r="A405" t="s">
        <v>445</v>
      </c>
      <c r="B405" s="1">
        <v>46064.118564814817</v>
      </c>
      <c r="C405" s="2" t="s">
        <v>26</v>
      </c>
      <c r="D405" t="s">
        <v>23</v>
      </c>
      <c r="E405">
        <v>3663</v>
      </c>
      <c r="F405" t="s">
        <v>14</v>
      </c>
      <c r="G405" t="s">
        <v>51</v>
      </c>
      <c r="H405" t="s">
        <v>16</v>
      </c>
      <c r="I405">
        <v>0</v>
      </c>
      <c r="J405">
        <v>0</v>
      </c>
      <c r="K405">
        <v>0</v>
      </c>
    </row>
    <row r="406" spans="1:11" x14ac:dyDescent="0.25">
      <c r="A406" t="s">
        <v>446</v>
      </c>
      <c r="B406" s="1">
        <v>45896.589780092596</v>
      </c>
      <c r="C406" s="2" t="s">
        <v>18</v>
      </c>
      <c r="D406" t="s">
        <v>23</v>
      </c>
      <c r="E406">
        <v>171</v>
      </c>
      <c r="F406" t="s">
        <v>14</v>
      </c>
      <c r="G406" t="s">
        <v>51</v>
      </c>
      <c r="H406" t="s">
        <v>16</v>
      </c>
      <c r="I406">
        <v>0</v>
      </c>
      <c r="J406">
        <v>0</v>
      </c>
      <c r="K406">
        <v>0</v>
      </c>
    </row>
    <row r="407" spans="1:11" x14ac:dyDescent="0.25">
      <c r="A407" t="s">
        <v>447</v>
      </c>
      <c r="B407" s="1">
        <v>45882.373437499999</v>
      </c>
      <c r="C407" s="2" t="s">
        <v>26</v>
      </c>
      <c r="D407" t="s">
        <v>33</v>
      </c>
      <c r="E407">
        <v>79131</v>
      </c>
      <c r="F407" t="s">
        <v>14</v>
      </c>
      <c r="G407" t="s">
        <v>84</v>
      </c>
      <c r="H407" t="s">
        <v>16</v>
      </c>
      <c r="I407">
        <v>0</v>
      </c>
      <c r="J407">
        <v>0</v>
      </c>
      <c r="K407">
        <v>0</v>
      </c>
    </row>
    <row r="408" spans="1:11" x14ac:dyDescent="0.25">
      <c r="A408" t="s">
        <v>448</v>
      </c>
      <c r="B408" s="1">
        <v>46065.634189814817</v>
      </c>
      <c r="C408" s="2" t="s">
        <v>32</v>
      </c>
      <c r="D408" t="s">
        <v>19</v>
      </c>
      <c r="E408">
        <v>99865</v>
      </c>
      <c r="F408" t="s">
        <v>14</v>
      </c>
      <c r="G408" t="s">
        <v>27</v>
      </c>
      <c r="H408" t="s">
        <v>16</v>
      </c>
      <c r="I408">
        <v>5</v>
      </c>
      <c r="J408">
        <v>0</v>
      </c>
      <c r="K408">
        <v>5</v>
      </c>
    </row>
    <row r="409" spans="1:11" x14ac:dyDescent="0.25">
      <c r="A409" t="s">
        <v>449</v>
      </c>
      <c r="B409" s="1">
        <v>46096.212858796294</v>
      </c>
      <c r="C409" s="2" t="s">
        <v>32</v>
      </c>
      <c r="D409" t="s">
        <v>45</v>
      </c>
      <c r="E409">
        <v>128155</v>
      </c>
      <c r="F409" t="s">
        <v>14</v>
      </c>
      <c r="G409" t="s">
        <v>27</v>
      </c>
      <c r="H409" t="s">
        <v>46</v>
      </c>
      <c r="I409">
        <v>1281.55</v>
      </c>
      <c r="J409">
        <v>0</v>
      </c>
      <c r="K409">
        <v>1281.55</v>
      </c>
    </row>
    <row r="410" spans="1:11" x14ac:dyDescent="0.25">
      <c r="A410" t="s">
        <v>450</v>
      </c>
      <c r="B410" s="1">
        <v>45971.962743055556</v>
      </c>
      <c r="C410" s="2" t="s">
        <v>22</v>
      </c>
      <c r="D410" t="s">
        <v>13</v>
      </c>
      <c r="E410">
        <v>183500</v>
      </c>
      <c r="F410" t="s">
        <v>99</v>
      </c>
      <c r="G410" t="s">
        <v>15</v>
      </c>
      <c r="H410" t="s">
        <v>16</v>
      </c>
      <c r="I410">
        <v>3394.75</v>
      </c>
      <c r="J410">
        <v>1357.9</v>
      </c>
      <c r="K410">
        <v>2036.85</v>
      </c>
    </row>
    <row r="411" spans="1:11" x14ac:dyDescent="0.25">
      <c r="A411" t="s">
        <v>451</v>
      </c>
      <c r="B411" s="1">
        <v>45820.384502314817</v>
      </c>
      <c r="C411" s="2" t="s">
        <v>32</v>
      </c>
      <c r="D411" t="s">
        <v>19</v>
      </c>
      <c r="E411">
        <v>124703</v>
      </c>
      <c r="F411" t="s">
        <v>14</v>
      </c>
      <c r="G411" t="s">
        <v>34</v>
      </c>
      <c r="H411" t="s">
        <v>16</v>
      </c>
      <c r="I411">
        <v>5</v>
      </c>
      <c r="J411">
        <v>0</v>
      </c>
      <c r="K411">
        <v>5</v>
      </c>
    </row>
    <row r="412" spans="1:11" x14ac:dyDescent="0.25">
      <c r="A412" t="s">
        <v>452</v>
      </c>
      <c r="B412" s="1">
        <v>45895.968518518515</v>
      </c>
      <c r="C412" s="2" t="s">
        <v>29</v>
      </c>
      <c r="D412" t="s">
        <v>19</v>
      </c>
      <c r="E412">
        <v>70930</v>
      </c>
      <c r="F412" t="s">
        <v>14</v>
      </c>
      <c r="G412" t="s">
        <v>20</v>
      </c>
      <c r="H412" t="s">
        <v>16</v>
      </c>
      <c r="I412">
        <v>5</v>
      </c>
      <c r="J412">
        <v>0</v>
      </c>
      <c r="K412">
        <v>5</v>
      </c>
    </row>
    <row r="413" spans="1:11" x14ac:dyDescent="0.25">
      <c r="A413" t="s">
        <v>453</v>
      </c>
      <c r="B413" s="1">
        <v>45960.576643518521</v>
      </c>
      <c r="C413" s="2" t="s">
        <v>39</v>
      </c>
      <c r="D413" t="s">
        <v>19</v>
      </c>
      <c r="E413">
        <v>3351</v>
      </c>
      <c r="F413" t="s">
        <v>14</v>
      </c>
      <c r="G413" t="s">
        <v>30</v>
      </c>
      <c r="H413" t="s">
        <v>16</v>
      </c>
      <c r="I413">
        <v>5</v>
      </c>
      <c r="J413">
        <v>0</v>
      </c>
      <c r="K413">
        <v>5</v>
      </c>
    </row>
    <row r="414" spans="1:11" x14ac:dyDescent="0.25">
      <c r="A414" t="s">
        <v>454</v>
      </c>
      <c r="B414" s="1">
        <v>45874.777037037034</v>
      </c>
      <c r="C414" s="2" t="s">
        <v>12</v>
      </c>
      <c r="D414" t="s">
        <v>13</v>
      </c>
      <c r="E414">
        <v>95500</v>
      </c>
      <c r="F414" t="s">
        <v>14</v>
      </c>
      <c r="G414" t="s">
        <v>15</v>
      </c>
      <c r="H414" t="s">
        <v>16</v>
      </c>
      <c r="I414">
        <v>1766.75</v>
      </c>
      <c r="J414">
        <v>706.7</v>
      </c>
      <c r="K414">
        <v>1060.05</v>
      </c>
    </row>
    <row r="415" spans="1:11" x14ac:dyDescent="0.25">
      <c r="A415" t="s">
        <v>455</v>
      </c>
      <c r="B415" s="1">
        <v>46033.560983796298</v>
      </c>
      <c r="C415" s="2" t="s">
        <v>26</v>
      </c>
      <c r="D415" t="s">
        <v>13</v>
      </c>
      <c r="E415">
        <v>179000</v>
      </c>
      <c r="F415" t="s">
        <v>14</v>
      </c>
      <c r="G415" t="s">
        <v>15</v>
      </c>
      <c r="H415" t="s">
        <v>16</v>
      </c>
      <c r="I415">
        <v>3311.5</v>
      </c>
      <c r="J415">
        <v>1324.6</v>
      </c>
      <c r="K415">
        <v>1986.9</v>
      </c>
    </row>
    <row r="416" spans="1:11" x14ac:dyDescent="0.25">
      <c r="A416" t="s">
        <v>456</v>
      </c>
      <c r="B416" s="1">
        <v>46006.522847222222</v>
      </c>
      <c r="C416" s="2" t="s">
        <v>32</v>
      </c>
      <c r="D416" t="s">
        <v>13</v>
      </c>
      <c r="E416">
        <v>54500</v>
      </c>
      <c r="F416" t="s">
        <v>14</v>
      </c>
      <c r="G416" t="s">
        <v>34</v>
      </c>
      <c r="H416" t="s">
        <v>16</v>
      </c>
      <c r="I416">
        <v>1008.25</v>
      </c>
      <c r="J416">
        <v>403.3</v>
      </c>
      <c r="K416">
        <v>604.95000000000005</v>
      </c>
    </row>
    <row r="417" spans="1:11" x14ac:dyDescent="0.25">
      <c r="A417" t="s">
        <v>457</v>
      </c>
      <c r="B417" s="1">
        <v>45898.370208333334</v>
      </c>
      <c r="C417" s="2" t="s">
        <v>18</v>
      </c>
      <c r="D417" t="s">
        <v>23</v>
      </c>
      <c r="E417">
        <v>3524</v>
      </c>
      <c r="F417" t="s">
        <v>14</v>
      </c>
      <c r="G417" t="s">
        <v>58</v>
      </c>
      <c r="H417" t="s">
        <v>16</v>
      </c>
      <c r="I417">
        <v>0</v>
      </c>
      <c r="J417">
        <v>0</v>
      </c>
      <c r="K417">
        <v>0</v>
      </c>
    </row>
    <row r="418" spans="1:11" x14ac:dyDescent="0.25">
      <c r="A418" t="s">
        <v>458</v>
      </c>
      <c r="B418" s="1">
        <v>46124.58284722222</v>
      </c>
      <c r="C418" s="2" t="s">
        <v>29</v>
      </c>
      <c r="D418" t="s">
        <v>33</v>
      </c>
      <c r="E418">
        <v>119730</v>
      </c>
      <c r="F418" t="s">
        <v>14</v>
      </c>
      <c r="G418" t="s">
        <v>51</v>
      </c>
      <c r="H418" t="s">
        <v>16</v>
      </c>
      <c r="I418">
        <v>0</v>
      </c>
      <c r="J418">
        <v>0</v>
      </c>
      <c r="K418">
        <v>0</v>
      </c>
    </row>
    <row r="419" spans="1:11" x14ac:dyDescent="0.25">
      <c r="A419" t="s">
        <v>459</v>
      </c>
      <c r="B419" s="1">
        <v>46095.702546296299</v>
      </c>
      <c r="C419" s="2" t="s">
        <v>26</v>
      </c>
      <c r="D419" t="s">
        <v>23</v>
      </c>
      <c r="E419">
        <v>4199</v>
      </c>
      <c r="F419" t="s">
        <v>14</v>
      </c>
      <c r="G419" t="s">
        <v>20</v>
      </c>
      <c r="H419" t="s">
        <v>16</v>
      </c>
      <c r="I419">
        <v>0</v>
      </c>
      <c r="J419">
        <v>0</v>
      </c>
      <c r="K419">
        <v>0</v>
      </c>
    </row>
    <row r="420" spans="1:11" x14ac:dyDescent="0.25">
      <c r="A420" t="s">
        <v>460</v>
      </c>
      <c r="B420" s="1">
        <v>46064.598981481482</v>
      </c>
      <c r="C420" s="2" t="s">
        <v>22</v>
      </c>
      <c r="D420" t="s">
        <v>19</v>
      </c>
      <c r="E420">
        <v>22915</v>
      </c>
      <c r="F420" t="s">
        <v>14</v>
      </c>
      <c r="G420" t="s">
        <v>34</v>
      </c>
      <c r="H420" t="s">
        <v>16</v>
      </c>
      <c r="I420">
        <v>5</v>
      </c>
      <c r="J420">
        <v>0</v>
      </c>
      <c r="K420">
        <v>5</v>
      </c>
    </row>
    <row r="421" spans="1:11" x14ac:dyDescent="0.25">
      <c r="A421" t="s">
        <v>461</v>
      </c>
      <c r="B421" s="1">
        <v>45841.010231481479</v>
      </c>
      <c r="C421" s="2" t="s">
        <v>18</v>
      </c>
      <c r="D421" t="s">
        <v>13</v>
      </c>
      <c r="E421">
        <v>217500</v>
      </c>
      <c r="F421" t="s">
        <v>14</v>
      </c>
      <c r="G421" t="s">
        <v>51</v>
      </c>
      <c r="H421" t="s">
        <v>16</v>
      </c>
      <c r="I421">
        <v>4023.75</v>
      </c>
      <c r="J421">
        <v>1609.5</v>
      </c>
      <c r="K421">
        <v>2414.25</v>
      </c>
    </row>
    <row r="422" spans="1:11" x14ac:dyDescent="0.25">
      <c r="A422" t="s">
        <v>462</v>
      </c>
      <c r="B422" s="1">
        <v>45900.50818287037</v>
      </c>
      <c r="C422" s="2" t="s">
        <v>41</v>
      </c>
      <c r="D422" t="s">
        <v>23</v>
      </c>
      <c r="E422">
        <v>4341</v>
      </c>
      <c r="F422" t="s">
        <v>99</v>
      </c>
      <c r="G422" t="s">
        <v>34</v>
      </c>
      <c r="H422" t="s">
        <v>16</v>
      </c>
      <c r="I422">
        <v>0</v>
      </c>
      <c r="J422">
        <v>0</v>
      </c>
      <c r="K422">
        <v>0</v>
      </c>
    </row>
    <row r="423" spans="1:11" x14ac:dyDescent="0.25">
      <c r="A423" t="s">
        <v>463</v>
      </c>
      <c r="B423" s="1">
        <v>45933.844108796293</v>
      </c>
      <c r="C423" s="2" t="s">
        <v>29</v>
      </c>
      <c r="D423" t="s">
        <v>13</v>
      </c>
      <c r="E423">
        <v>209000</v>
      </c>
      <c r="F423" t="s">
        <v>14</v>
      </c>
      <c r="G423" t="s">
        <v>27</v>
      </c>
      <c r="H423" t="s">
        <v>16</v>
      </c>
      <c r="I423">
        <v>3866.5</v>
      </c>
      <c r="J423">
        <v>1546.6</v>
      </c>
      <c r="K423">
        <v>2319.9</v>
      </c>
    </row>
    <row r="424" spans="1:11" x14ac:dyDescent="0.25">
      <c r="A424" t="s">
        <v>464</v>
      </c>
      <c r="B424" s="1">
        <v>45928.353263888886</v>
      </c>
      <c r="C424" s="2" t="s">
        <v>26</v>
      </c>
      <c r="D424" t="s">
        <v>19</v>
      </c>
      <c r="E424">
        <v>52270</v>
      </c>
      <c r="F424" t="s">
        <v>14</v>
      </c>
      <c r="G424" t="s">
        <v>27</v>
      </c>
      <c r="H424" t="s">
        <v>16</v>
      </c>
      <c r="I424">
        <v>5</v>
      </c>
      <c r="J424">
        <v>0</v>
      </c>
      <c r="K424">
        <v>5</v>
      </c>
    </row>
    <row r="425" spans="1:11" x14ac:dyDescent="0.25">
      <c r="A425" t="s">
        <v>465</v>
      </c>
      <c r="B425" s="1">
        <v>46055.953379629631</v>
      </c>
      <c r="C425" s="2" t="s">
        <v>22</v>
      </c>
      <c r="D425" t="s">
        <v>13</v>
      </c>
      <c r="E425">
        <v>122500</v>
      </c>
      <c r="F425" t="s">
        <v>50</v>
      </c>
      <c r="G425" t="s">
        <v>20</v>
      </c>
      <c r="H425" t="s">
        <v>16</v>
      </c>
      <c r="I425">
        <v>2266.25</v>
      </c>
      <c r="J425">
        <v>906.5</v>
      </c>
      <c r="K425">
        <v>1359.75</v>
      </c>
    </row>
    <row r="426" spans="1:11" x14ac:dyDescent="0.25">
      <c r="A426" t="s">
        <v>466</v>
      </c>
      <c r="B426" s="1">
        <v>46051.553067129629</v>
      </c>
      <c r="C426" s="2" t="s">
        <v>22</v>
      </c>
      <c r="D426" t="s">
        <v>45</v>
      </c>
      <c r="E426">
        <v>140101</v>
      </c>
      <c r="F426" t="s">
        <v>14</v>
      </c>
      <c r="G426" t="s">
        <v>51</v>
      </c>
      <c r="H426" t="s">
        <v>59</v>
      </c>
      <c r="I426">
        <v>1401.01</v>
      </c>
      <c r="J426">
        <v>0</v>
      </c>
      <c r="K426">
        <v>1401.01</v>
      </c>
    </row>
    <row r="427" spans="1:11" x14ac:dyDescent="0.25">
      <c r="A427" t="s">
        <v>467</v>
      </c>
      <c r="B427" s="1">
        <v>46002.79488425926</v>
      </c>
      <c r="C427" s="2" t="s">
        <v>22</v>
      </c>
      <c r="D427" t="s">
        <v>13</v>
      </c>
      <c r="E427">
        <v>217000</v>
      </c>
      <c r="F427" t="s">
        <v>50</v>
      </c>
      <c r="G427" t="s">
        <v>15</v>
      </c>
      <c r="H427" t="s">
        <v>16</v>
      </c>
      <c r="I427">
        <v>4014.5</v>
      </c>
      <c r="J427">
        <v>1605.8</v>
      </c>
      <c r="K427">
        <v>2408.6999999999998</v>
      </c>
    </row>
    <row r="428" spans="1:11" x14ac:dyDescent="0.25">
      <c r="A428" t="s">
        <v>468</v>
      </c>
      <c r="B428" s="1">
        <v>46032.926412037035</v>
      </c>
      <c r="C428" s="2" t="s">
        <v>12</v>
      </c>
      <c r="D428" t="s">
        <v>33</v>
      </c>
      <c r="E428">
        <v>104947</v>
      </c>
      <c r="F428" t="s">
        <v>14</v>
      </c>
      <c r="G428" t="s">
        <v>15</v>
      </c>
      <c r="H428" t="s">
        <v>16</v>
      </c>
      <c r="I428">
        <v>0</v>
      </c>
      <c r="J428">
        <v>0</v>
      </c>
      <c r="K428">
        <v>0</v>
      </c>
    </row>
    <row r="429" spans="1:11" x14ac:dyDescent="0.25">
      <c r="A429" t="s">
        <v>469</v>
      </c>
      <c r="B429" s="1">
        <v>45955.571574074071</v>
      </c>
      <c r="C429" s="2" t="s">
        <v>12</v>
      </c>
      <c r="D429" t="s">
        <v>33</v>
      </c>
      <c r="E429">
        <v>76162</v>
      </c>
      <c r="F429" t="s">
        <v>14</v>
      </c>
      <c r="G429" t="s">
        <v>15</v>
      </c>
      <c r="H429" t="s">
        <v>16</v>
      </c>
      <c r="I429">
        <v>0</v>
      </c>
      <c r="J429">
        <v>0</v>
      </c>
      <c r="K429">
        <v>0</v>
      </c>
    </row>
    <row r="430" spans="1:11" x14ac:dyDescent="0.25">
      <c r="A430" t="s">
        <v>470</v>
      </c>
      <c r="B430" s="1">
        <v>45912.557500000003</v>
      </c>
      <c r="C430" s="2" t="s">
        <v>32</v>
      </c>
      <c r="D430" t="s">
        <v>33</v>
      </c>
      <c r="E430">
        <v>66796</v>
      </c>
      <c r="F430" t="s">
        <v>14</v>
      </c>
      <c r="G430" t="s">
        <v>24</v>
      </c>
      <c r="H430" t="s">
        <v>16</v>
      </c>
      <c r="I430">
        <v>0</v>
      </c>
      <c r="J430">
        <v>0</v>
      </c>
      <c r="K430">
        <v>0</v>
      </c>
    </row>
    <row r="431" spans="1:11" x14ac:dyDescent="0.25">
      <c r="A431" t="s">
        <v>471</v>
      </c>
      <c r="B431" s="1">
        <v>45948.748784722222</v>
      </c>
      <c r="C431" s="2" t="s">
        <v>39</v>
      </c>
      <c r="D431" t="s">
        <v>13</v>
      </c>
      <c r="E431">
        <v>56500</v>
      </c>
      <c r="F431" t="s">
        <v>14</v>
      </c>
      <c r="G431" t="s">
        <v>34</v>
      </c>
      <c r="H431" t="s">
        <v>16</v>
      </c>
      <c r="I431">
        <v>1045.25</v>
      </c>
      <c r="J431">
        <v>418.1</v>
      </c>
      <c r="K431">
        <v>627.15</v>
      </c>
    </row>
    <row r="432" spans="1:11" x14ac:dyDescent="0.25">
      <c r="A432" t="s">
        <v>472</v>
      </c>
      <c r="B432" s="1">
        <v>46136.425000000003</v>
      </c>
      <c r="C432" s="2" t="s">
        <v>12</v>
      </c>
      <c r="D432" t="s">
        <v>23</v>
      </c>
      <c r="E432">
        <v>2297</v>
      </c>
      <c r="F432" t="s">
        <v>14</v>
      </c>
      <c r="G432" t="s">
        <v>27</v>
      </c>
      <c r="H432" t="s">
        <v>16</v>
      </c>
      <c r="I432">
        <v>0</v>
      </c>
      <c r="J432">
        <v>0</v>
      </c>
      <c r="K432">
        <v>0</v>
      </c>
    </row>
    <row r="433" spans="1:11" x14ac:dyDescent="0.25">
      <c r="A433" t="s">
        <v>473</v>
      </c>
      <c r="B433" s="1">
        <v>46081.391458333332</v>
      </c>
      <c r="C433" s="2" t="s">
        <v>41</v>
      </c>
      <c r="D433" t="s">
        <v>23</v>
      </c>
      <c r="E433">
        <v>4633</v>
      </c>
      <c r="F433" t="s">
        <v>14</v>
      </c>
      <c r="G433" t="s">
        <v>34</v>
      </c>
      <c r="H433" t="s">
        <v>16</v>
      </c>
      <c r="I433">
        <v>0</v>
      </c>
      <c r="J433">
        <v>0</v>
      </c>
      <c r="K433">
        <v>0</v>
      </c>
    </row>
    <row r="434" spans="1:11" x14ac:dyDescent="0.25">
      <c r="A434" t="s">
        <v>474</v>
      </c>
      <c r="B434" s="1">
        <v>46124.683993055558</v>
      </c>
      <c r="C434" s="2" t="s">
        <v>22</v>
      </c>
      <c r="D434" t="s">
        <v>33</v>
      </c>
      <c r="E434">
        <v>110438</v>
      </c>
      <c r="F434" t="s">
        <v>14</v>
      </c>
      <c r="G434" t="s">
        <v>27</v>
      </c>
      <c r="H434" t="s">
        <v>16</v>
      </c>
      <c r="I434">
        <v>0</v>
      </c>
      <c r="J434">
        <v>0</v>
      </c>
      <c r="K434">
        <v>0</v>
      </c>
    </row>
    <row r="435" spans="1:11" x14ac:dyDescent="0.25">
      <c r="A435" t="s">
        <v>475</v>
      </c>
      <c r="B435" s="1">
        <v>46077.674201388887</v>
      </c>
      <c r="C435" s="2" t="s">
        <v>26</v>
      </c>
      <c r="D435" t="s">
        <v>45</v>
      </c>
      <c r="E435">
        <v>91815</v>
      </c>
      <c r="F435" t="s">
        <v>14</v>
      </c>
      <c r="G435" t="s">
        <v>27</v>
      </c>
      <c r="H435" t="s">
        <v>178</v>
      </c>
      <c r="I435">
        <v>918.15</v>
      </c>
      <c r="J435">
        <v>0</v>
      </c>
      <c r="K435">
        <v>918.15</v>
      </c>
    </row>
    <row r="436" spans="1:11" x14ac:dyDescent="0.25">
      <c r="A436" t="s">
        <v>476</v>
      </c>
      <c r="B436" s="1">
        <v>45927.325254629628</v>
      </c>
      <c r="C436" s="2" t="s">
        <v>26</v>
      </c>
      <c r="D436" t="s">
        <v>45</v>
      </c>
      <c r="E436">
        <v>145973</v>
      </c>
      <c r="F436" t="s">
        <v>14</v>
      </c>
      <c r="G436" t="s">
        <v>15</v>
      </c>
      <c r="H436" t="s">
        <v>71</v>
      </c>
      <c r="I436">
        <v>1459.73</v>
      </c>
      <c r="J436">
        <v>0</v>
      </c>
      <c r="K436">
        <v>1459.73</v>
      </c>
    </row>
    <row r="437" spans="1:11" x14ac:dyDescent="0.25">
      <c r="A437" t="s">
        <v>477</v>
      </c>
      <c r="B437" s="1">
        <v>46059.530393518522</v>
      </c>
      <c r="C437" s="2" t="s">
        <v>18</v>
      </c>
      <c r="D437" t="s">
        <v>45</v>
      </c>
      <c r="E437">
        <v>118602</v>
      </c>
      <c r="F437" t="s">
        <v>14</v>
      </c>
      <c r="G437" t="s">
        <v>24</v>
      </c>
      <c r="H437" t="s">
        <v>46</v>
      </c>
      <c r="I437">
        <v>1186.02</v>
      </c>
      <c r="J437">
        <v>0</v>
      </c>
      <c r="K437">
        <v>1186.02</v>
      </c>
    </row>
    <row r="438" spans="1:11" x14ac:dyDescent="0.25">
      <c r="A438" t="s">
        <v>478</v>
      </c>
      <c r="B438" s="1">
        <v>45948.865173611113</v>
      </c>
      <c r="C438" s="2" t="s">
        <v>29</v>
      </c>
      <c r="D438" t="s">
        <v>33</v>
      </c>
      <c r="E438">
        <v>114538</v>
      </c>
      <c r="F438" t="s">
        <v>14</v>
      </c>
      <c r="G438" t="s">
        <v>58</v>
      </c>
      <c r="H438" t="s">
        <v>16</v>
      </c>
      <c r="I438">
        <v>0</v>
      </c>
      <c r="J438">
        <v>0</v>
      </c>
      <c r="K438">
        <v>0</v>
      </c>
    </row>
    <row r="439" spans="1:11" x14ac:dyDescent="0.25">
      <c r="A439" t="s">
        <v>479</v>
      </c>
      <c r="B439" s="1">
        <v>46010.666585648149</v>
      </c>
      <c r="C439" s="2" t="s">
        <v>32</v>
      </c>
      <c r="D439" t="s">
        <v>23</v>
      </c>
      <c r="E439">
        <v>4321</v>
      </c>
      <c r="F439" t="s">
        <v>14</v>
      </c>
      <c r="G439" t="s">
        <v>30</v>
      </c>
      <c r="H439" t="s">
        <v>16</v>
      </c>
      <c r="I439">
        <v>0</v>
      </c>
      <c r="J439">
        <v>0</v>
      </c>
      <c r="K439">
        <v>0</v>
      </c>
    </row>
    <row r="440" spans="1:11" x14ac:dyDescent="0.25">
      <c r="A440" t="s">
        <v>480</v>
      </c>
      <c r="B440" s="1">
        <v>45827.169687499998</v>
      </c>
      <c r="C440" s="2" t="s">
        <v>39</v>
      </c>
      <c r="D440" t="s">
        <v>45</v>
      </c>
      <c r="E440">
        <v>80988</v>
      </c>
      <c r="F440" t="s">
        <v>14</v>
      </c>
      <c r="G440" t="s">
        <v>15</v>
      </c>
      <c r="H440" t="s">
        <v>59</v>
      </c>
      <c r="I440">
        <v>809.88</v>
      </c>
      <c r="J440">
        <v>0</v>
      </c>
      <c r="K440">
        <v>809.88</v>
      </c>
    </row>
    <row r="441" spans="1:11" x14ac:dyDescent="0.25">
      <c r="A441" t="s">
        <v>481</v>
      </c>
      <c r="B441" s="1">
        <v>46119.460949074077</v>
      </c>
      <c r="C441" s="2" t="s">
        <v>12</v>
      </c>
      <c r="D441" t="s">
        <v>23</v>
      </c>
      <c r="E441">
        <v>1991</v>
      </c>
      <c r="F441" t="s">
        <v>14</v>
      </c>
      <c r="G441" t="s">
        <v>34</v>
      </c>
      <c r="H441" t="s">
        <v>16</v>
      </c>
      <c r="I441">
        <v>0</v>
      </c>
      <c r="J441">
        <v>0</v>
      </c>
      <c r="K441">
        <v>0</v>
      </c>
    </row>
    <row r="442" spans="1:11" x14ac:dyDescent="0.25">
      <c r="A442" t="s">
        <v>482</v>
      </c>
      <c r="B442" s="1">
        <v>45912.867395833331</v>
      </c>
      <c r="C442" s="2" t="s">
        <v>22</v>
      </c>
      <c r="D442" t="s">
        <v>13</v>
      </c>
      <c r="E442">
        <v>17500</v>
      </c>
      <c r="F442" t="s">
        <v>14</v>
      </c>
      <c r="G442" t="s">
        <v>34</v>
      </c>
      <c r="H442" t="s">
        <v>16</v>
      </c>
      <c r="I442">
        <v>323.75</v>
      </c>
      <c r="J442">
        <v>129.5</v>
      </c>
      <c r="K442">
        <v>194.25</v>
      </c>
    </row>
    <row r="443" spans="1:11" x14ac:dyDescent="0.25">
      <c r="A443" t="s">
        <v>483</v>
      </c>
      <c r="B443" s="1">
        <v>45903.881180555552</v>
      </c>
      <c r="C443" s="2" t="s">
        <v>18</v>
      </c>
      <c r="D443" t="s">
        <v>45</v>
      </c>
      <c r="E443">
        <v>110944</v>
      </c>
      <c r="F443" t="s">
        <v>14</v>
      </c>
      <c r="G443" t="s">
        <v>34</v>
      </c>
      <c r="H443" t="s">
        <v>46</v>
      </c>
      <c r="I443">
        <v>1109.44</v>
      </c>
      <c r="J443">
        <v>0</v>
      </c>
      <c r="K443">
        <v>1109.44</v>
      </c>
    </row>
    <row r="444" spans="1:11" x14ac:dyDescent="0.25">
      <c r="A444" t="s">
        <v>484</v>
      </c>
      <c r="B444" s="1">
        <v>45917.50304398148</v>
      </c>
      <c r="C444" s="2" t="s">
        <v>32</v>
      </c>
      <c r="D444" t="s">
        <v>33</v>
      </c>
      <c r="E444">
        <v>126372</v>
      </c>
      <c r="F444" t="s">
        <v>50</v>
      </c>
      <c r="G444" t="s">
        <v>24</v>
      </c>
      <c r="H444" t="s">
        <v>16</v>
      </c>
      <c r="I444">
        <v>0</v>
      </c>
      <c r="J444">
        <v>0</v>
      </c>
      <c r="K444">
        <v>0</v>
      </c>
    </row>
    <row r="445" spans="1:11" x14ac:dyDescent="0.25">
      <c r="A445" t="s">
        <v>485</v>
      </c>
      <c r="B445" s="1">
        <v>45840.139907407407</v>
      </c>
      <c r="C445" s="2" t="s">
        <v>32</v>
      </c>
      <c r="D445" t="s">
        <v>33</v>
      </c>
      <c r="E445">
        <v>148020</v>
      </c>
      <c r="F445" t="s">
        <v>14</v>
      </c>
      <c r="G445" t="s">
        <v>15</v>
      </c>
      <c r="H445" t="s">
        <v>16</v>
      </c>
      <c r="I445">
        <v>0</v>
      </c>
      <c r="J445">
        <v>0</v>
      </c>
      <c r="K445">
        <v>0</v>
      </c>
    </row>
    <row r="446" spans="1:11" x14ac:dyDescent="0.25">
      <c r="A446" t="s">
        <v>486</v>
      </c>
      <c r="B446" s="1">
        <v>45847.011030092595</v>
      </c>
      <c r="C446" s="2" t="s">
        <v>12</v>
      </c>
      <c r="D446" t="s">
        <v>45</v>
      </c>
      <c r="E446">
        <v>3573</v>
      </c>
      <c r="F446" t="s">
        <v>14</v>
      </c>
      <c r="G446" t="s">
        <v>30</v>
      </c>
      <c r="H446" t="s">
        <v>59</v>
      </c>
      <c r="I446">
        <v>35.729999999999997</v>
      </c>
      <c r="J446">
        <v>0</v>
      </c>
      <c r="K446">
        <v>35.729999999999997</v>
      </c>
    </row>
    <row r="447" spans="1:11" x14ac:dyDescent="0.25">
      <c r="A447" t="s">
        <v>487</v>
      </c>
      <c r="B447" s="1">
        <v>45946.059155092589</v>
      </c>
      <c r="C447" s="2" t="s">
        <v>22</v>
      </c>
      <c r="D447" t="s">
        <v>19</v>
      </c>
      <c r="E447">
        <v>54769</v>
      </c>
      <c r="F447" t="s">
        <v>14</v>
      </c>
      <c r="G447" t="s">
        <v>84</v>
      </c>
      <c r="H447" t="s">
        <v>16</v>
      </c>
      <c r="I447">
        <v>5</v>
      </c>
      <c r="J447">
        <v>0</v>
      </c>
      <c r="K447">
        <v>5</v>
      </c>
    </row>
    <row r="448" spans="1:11" x14ac:dyDescent="0.25">
      <c r="A448" t="s">
        <v>488</v>
      </c>
      <c r="B448" s="1">
        <v>45999.418923611112</v>
      </c>
      <c r="C448" s="2" t="s">
        <v>22</v>
      </c>
      <c r="D448" t="s">
        <v>19</v>
      </c>
      <c r="E448">
        <v>29556</v>
      </c>
      <c r="F448" t="s">
        <v>14</v>
      </c>
      <c r="G448" t="s">
        <v>27</v>
      </c>
      <c r="H448" t="s">
        <v>16</v>
      </c>
      <c r="I448">
        <v>5</v>
      </c>
      <c r="J448">
        <v>0</v>
      </c>
      <c r="K448">
        <v>5</v>
      </c>
    </row>
    <row r="449" spans="1:11" x14ac:dyDescent="0.25">
      <c r="A449" t="s">
        <v>489</v>
      </c>
      <c r="B449" s="1">
        <v>45794.436261574076</v>
      </c>
      <c r="C449" s="2" t="s">
        <v>39</v>
      </c>
      <c r="D449" t="s">
        <v>33</v>
      </c>
      <c r="E449">
        <v>119013</v>
      </c>
      <c r="F449" t="s">
        <v>14</v>
      </c>
      <c r="G449" t="s">
        <v>27</v>
      </c>
      <c r="H449" t="s">
        <v>16</v>
      </c>
      <c r="I449">
        <v>0</v>
      </c>
      <c r="J449">
        <v>0</v>
      </c>
      <c r="K449">
        <v>0</v>
      </c>
    </row>
    <row r="450" spans="1:11" x14ac:dyDescent="0.25">
      <c r="A450" t="s">
        <v>490</v>
      </c>
      <c r="B450" s="1">
        <v>46068.775648148148</v>
      </c>
      <c r="C450" s="2" t="s">
        <v>29</v>
      </c>
      <c r="D450" t="s">
        <v>23</v>
      </c>
      <c r="E450">
        <v>2171</v>
      </c>
      <c r="F450" t="s">
        <v>14</v>
      </c>
      <c r="G450" t="s">
        <v>15</v>
      </c>
      <c r="H450" t="s">
        <v>16</v>
      </c>
      <c r="I450">
        <v>0</v>
      </c>
      <c r="J450">
        <v>0</v>
      </c>
      <c r="K450">
        <v>0</v>
      </c>
    </row>
    <row r="451" spans="1:11" x14ac:dyDescent="0.25">
      <c r="A451" t="s">
        <v>491</v>
      </c>
      <c r="B451" s="1">
        <v>46097.66101851852</v>
      </c>
      <c r="C451" s="2" t="s">
        <v>39</v>
      </c>
      <c r="D451" t="s">
        <v>45</v>
      </c>
      <c r="E451">
        <v>149668</v>
      </c>
      <c r="F451" t="s">
        <v>14</v>
      </c>
      <c r="G451" t="s">
        <v>84</v>
      </c>
      <c r="H451" t="s">
        <v>46</v>
      </c>
      <c r="I451">
        <v>1496.68</v>
      </c>
      <c r="J451">
        <v>0</v>
      </c>
      <c r="K451">
        <v>1496.68</v>
      </c>
    </row>
    <row r="452" spans="1:11" x14ac:dyDescent="0.25">
      <c r="A452" t="s">
        <v>492</v>
      </c>
      <c r="B452" s="1">
        <v>46065.061041666668</v>
      </c>
      <c r="C452" s="2" t="s">
        <v>12</v>
      </c>
      <c r="D452" t="s">
        <v>33</v>
      </c>
      <c r="E452">
        <v>13689</v>
      </c>
      <c r="F452" t="s">
        <v>14</v>
      </c>
      <c r="G452" t="s">
        <v>84</v>
      </c>
      <c r="H452" t="s">
        <v>16</v>
      </c>
      <c r="I452">
        <v>0</v>
      </c>
      <c r="J452">
        <v>0</v>
      </c>
      <c r="K452">
        <v>0</v>
      </c>
    </row>
    <row r="453" spans="1:11" x14ac:dyDescent="0.25">
      <c r="A453" t="s">
        <v>493</v>
      </c>
      <c r="B453" s="1">
        <v>46049.804375</v>
      </c>
      <c r="C453" s="2" t="s">
        <v>12</v>
      </c>
      <c r="D453" t="s">
        <v>33</v>
      </c>
      <c r="E453">
        <v>146202</v>
      </c>
      <c r="F453" t="s">
        <v>14</v>
      </c>
      <c r="G453" t="s">
        <v>58</v>
      </c>
      <c r="H453" t="s">
        <v>16</v>
      </c>
      <c r="I453">
        <v>0</v>
      </c>
      <c r="J453">
        <v>0</v>
      </c>
      <c r="K453">
        <v>0</v>
      </c>
    </row>
    <row r="454" spans="1:11" x14ac:dyDescent="0.25">
      <c r="A454" t="s">
        <v>494</v>
      </c>
      <c r="B454" s="1">
        <v>45925.161921296298</v>
      </c>
      <c r="C454" s="2" t="s">
        <v>26</v>
      </c>
      <c r="D454" t="s">
        <v>13</v>
      </c>
      <c r="E454">
        <v>183500</v>
      </c>
      <c r="F454" t="s">
        <v>14</v>
      </c>
      <c r="G454" t="s">
        <v>30</v>
      </c>
      <c r="H454" t="s">
        <v>16</v>
      </c>
      <c r="I454">
        <v>3394.75</v>
      </c>
      <c r="J454">
        <v>1357.9</v>
      </c>
      <c r="K454">
        <v>2036.85</v>
      </c>
    </row>
    <row r="455" spans="1:11" x14ac:dyDescent="0.25">
      <c r="A455" t="s">
        <v>495</v>
      </c>
      <c r="B455" s="1">
        <v>45839.205000000002</v>
      </c>
      <c r="C455" s="2" t="s">
        <v>41</v>
      </c>
      <c r="D455" t="s">
        <v>13</v>
      </c>
      <c r="E455">
        <v>177500</v>
      </c>
      <c r="F455" t="s">
        <v>14</v>
      </c>
      <c r="G455" t="s">
        <v>27</v>
      </c>
      <c r="H455" t="s">
        <v>16</v>
      </c>
      <c r="I455">
        <v>3283.75</v>
      </c>
      <c r="J455">
        <v>1313.5</v>
      </c>
      <c r="K455">
        <v>1970.25</v>
      </c>
    </row>
    <row r="456" spans="1:11" x14ac:dyDescent="0.25">
      <c r="A456" t="s">
        <v>496</v>
      </c>
      <c r="B456" s="1">
        <v>45917.837337962963</v>
      </c>
      <c r="C456" s="2" t="s">
        <v>22</v>
      </c>
      <c r="D456" t="s">
        <v>19</v>
      </c>
      <c r="E456">
        <v>6126</v>
      </c>
      <c r="F456" t="s">
        <v>14</v>
      </c>
      <c r="G456" t="s">
        <v>84</v>
      </c>
      <c r="H456" t="s">
        <v>16</v>
      </c>
      <c r="I456">
        <v>5</v>
      </c>
      <c r="J456">
        <v>0</v>
      </c>
      <c r="K456">
        <v>5</v>
      </c>
    </row>
    <row r="457" spans="1:11" x14ac:dyDescent="0.25">
      <c r="A457" t="s">
        <v>497</v>
      </c>
      <c r="B457" s="1">
        <v>45845.337881944448</v>
      </c>
      <c r="C457" s="2" t="s">
        <v>22</v>
      </c>
      <c r="D457" t="s">
        <v>13</v>
      </c>
      <c r="E457">
        <v>165000</v>
      </c>
      <c r="F457" t="s">
        <v>50</v>
      </c>
      <c r="G457" t="s">
        <v>15</v>
      </c>
      <c r="H457" t="s">
        <v>16</v>
      </c>
      <c r="I457">
        <v>3052.5</v>
      </c>
      <c r="J457">
        <v>1221</v>
      </c>
      <c r="K457">
        <v>1831.5</v>
      </c>
    </row>
    <row r="458" spans="1:11" x14ac:dyDescent="0.25">
      <c r="A458" t="s">
        <v>498</v>
      </c>
      <c r="B458" s="1">
        <v>45957.119930555556</v>
      </c>
      <c r="C458" s="2" t="s">
        <v>39</v>
      </c>
      <c r="D458" t="s">
        <v>19</v>
      </c>
      <c r="E458">
        <v>109896</v>
      </c>
      <c r="F458" t="s">
        <v>14</v>
      </c>
      <c r="G458" t="s">
        <v>34</v>
      </c>
      <c r="H458" t="s">
        <v>16</v>
      </c>
      <c r="I458">
        <v>5</v>
      </c>
      <c r="J458">
        <v>0</v>
      </c>
      <c r="K458">
        <v>5</v>
      </c>
    </row>
    <row r="459" spans="1:11" x14ac:dyDescent="0.25">
      <c r="A459" t="s">
        <v>499</v>
      </c>
      <c r="B459" s="1">
        <v>45880.82885416667</v>
      </c>
      <c r="C459" s="2" t="s">
        <v>12</v>
      </c>
      <c r="D459" t="s">
        <v>33</v>
      </c>
      <c r="E459">
        <v>126898</v>
      </c>
      <c r="F459" t="s">
        <v>14</v>
      </c>
      <c r="G459" t="s">
        <v>34</v>
      </c>
      <c r="H459" t="s">
        <v>16</v>
      </c>
      <c r="I459">
        <v>0</v>
      </c>
      <c r="J459">
        <v>0</v>
      </c>
      <c r="K459">
        <v>0</v>
      </c>
    </row>
    <row r="460" spans="1:11" x14ac:dyDescent="0.25">
      <c r="A460" t="s">
        <v>500</v>
      </c>
      <c r="B460" s="1">
        <v>46142.617361111108</v>
      </c>
      <c r="C460" s="2" t="s">
        <v>41</v>
      </c>
      <c r="D460" t="s">
        <v>19</v>
      </c>
      <c r="E460">
        <v>63033</v>
      </c>
      <c r="F460" t="s">
        <v>99</v>
      </c>
      <c r="G460" t="s">
        <v>34</v>
      </c>
      <c r="H460" t="s">
        <v>16</v>
      </c>
      <c r="I460">
        <v>5</v>
      </c>
      <c r="J460">
        <v>0</v>
      </c>
      <c r="K460">
        <v>5</v>
      </c>
    </row>
    <row r="461" spans="1:11" x14ac:dyDescent="0.25">
      <c r="A461" t="s">
        <v>501</v>
      </c>
      <c r="B461" s="1">
        <v>45873.037164351852</v>
      </c>
      <c r="C461" s="2" t="s">
        <v>41</v>
      </c>
      <c r="D461" t="s">
        <v>23</v>
      </c>
      <c r="E461">
        <v>4318</v>
      </c>
      <c r="F461" t="s">
        <v>50</v>
      </c>
      <c r="G461" t="s">
        <v>58</v>
      </c>
      <c r="H461" t="s">
        <v>16</v>
      </c>
      <c r="I461">
        <v>0</v>
      </c>
      <c r="J461">
        <v>0</v>
      </c>
      <c r="K461">
        <v>0</v>
      </c>
    </row>
    <row r="462" spans="1:11" x14ac:dyDescent="0.25">
      <c r="A462" t="s">
        <v>502</v>
      </c>
      <c r="B462" s="1">
        <v>45810.949108796296</v>
      </c>
      <c r="C462" s="2" t="s">
        <v>32</v>
      </c>
      <c r="D462" t="s">
        <v>13</v>
      </c>
      <c r="E462">
        <v>25500</v>
      </c>
      <c r="F462" t="s">
        <v>14</v>
      </c>
      <c r="G462" t="s">
        <v>34</v>
      </c>
      <c r="H462" t="s">
        <v>16</v>
      </c>
      <c r="I462">
        <v>471.75</v>
      </c>
      <c r="J462">
        <v>188.7</v>
      </c>
      <c r="K462">
        <v>283.05</v>
      </c>
    </row>
    <row r="463" spans="1:11" x14ac:dyDescent="0.25">
      <c r="A463" t="s">
        <v>503</v>
      </c>
      <c r="B463" s="1">
        <v>45864.973483796297</v>
      </c>
      <c r="C463" s="2" t="s">
        <v>12</v>
      </c>
      <c r="D463" t="s">
        <v>45</v>
      </c>
      <c r="E463">
        <v>137533</v>
      </c>
      <c r="F463" t="s">
        <v>14</v>
      </c>
      <c r="G463" t="s">
        <v>58</v>
      </c>
      <c r="H463" t="s">
        <v>46</v>
      </c>
      <c r="I463">
        <v>1375.33</v>
      </c>
      <c r="J463">
        <v>0</v>
      </c>
      <c r="K463">
        <v>1375.33</v>
      </c>
    </row>
    <row r="464" spans="1:11" x14ac:dyDescent="0.25">
      <c r="A464" t="s">
        <v>504</v>
      </c>
      <c r="B464" s="1">
        <v>45862.193969907406</v>
      </c>
      <c r="C464" s="2" t="s">
        <v>29</v>
      </c>
      <c r="D464" t="s">
        <v>19</v>
      </c>
      <c r="E464">
        <v>95356</v>
      </c>
      <c r="F464" t="s">
        <v>14</v>
      </c>
      <c r="G464" t="s">
        <v>51</v>
      </c>
      <c r="H464" t="s">
        <v>16</v>
      </c>
      <c r="I464">
        <v>5</v>
      </c>
      <c r="J464">
        <v>0</v>
      </c>
      <c r="K464">
        <v>5</v>
      </c>
    </row>
    <row r="465" spans="1:11" x14ac:dyDescent="0.25">
      <c r="A465" t="s">
        <v>505</v>
      </c>
      <c r="B465" s="1">
        <v>45988.492951388886</v>
      </c>
      <c r="C465" s="2" t="s">
        <v>39</v>
      </c>
      <c r="D465" t="s">
        <v>19</v>
      </c>
      <c r="E465">
        <v>136193</v>
      </c>
      <c r="F465" t="s">
        <v>14</v>
      </c>
      <c r="G465" t="s">
        <v>24</v>
      </c>
      <c r="H465" t="s">
        <v>16</v>
      </c>
      <c r="I465">
        <v>5</v>
      </c>
      <c r="J465">
        <v>0</v>
      </c>
      <c r="K465">
        <v>5</v>
      </c>
    </row>
    <row r="466" spans="1:11" x14ac:dyDescent="0.25">
      <c r="A466" t="s">
        <v>506</v>
      </c>
      <c r="B466" s="1">
        <v>45809.019571759258</v>
      </c>
      <c r="C466" s="2" t="s">
        <v>12</v>
      </c>
      <c r="D466" t="s">
        <v>23</v>
      </c>
      <c r="E466">
        <v>2527</v>
      </c>
      <c r="F466" t="s">
        <v>14</v>
      </c>
      <c r="G466" t="s">
        <v>30</v>
      </c>
      <c r="H466" t="s">
        <v>16</v>
      </c>
      <c r="I466">
        <v>0</v>
      </c>
      <c r="J466">
        <v>0</v>
      </c>
      <c r="K466">
        <v>0</v>
      </c>
    </row>
    <row r="467" spans="1:11" x14ac:dyDescent="0.25">
      <c r="A467" t="s">
        <v>507</v>
      </c>
      <c r="B467" s="1">
        <v>45966.887476851851</v>
      </c>
      <c r="C467" s="2" t="s">
        <v>32</v>
      </c>
      <c r="D467" t="s">
        <v>13</v>
      </c>
      <c r="E467">
        <v>119000</v>
      </c>
      <c r="F467" t="s">
        <v>14</v>
      </c>
      <c r="G467" t="s">
        <v>34</v>
      </c>
      <c r="H467" t="s">
        <v>16</v>
      </c>
      <c r="I467">
        <v>2201.5</v>
      </c>
      <c r="J467">
        <v>880.6</v>
      </c>
      <c r="K467">
        <v>1320.9</v>
      </c>
    </row>
    <row r="468" spans="1:11" x14ac:dyDescent="0.25">
      <c r="A468" t="s">
        <v>508</v>
      </c>
      <c r="B468" s="1">
        <v>45823.435254629629</v>
      </c>
      <c r="C468" s="2" t="s">
        <v>22</v>
      </c>
      <c r="D468" t="s">
        <v>45</v>
      </c>
      <c r="E468">
        <v>6017</v>
      </c>
      <c r="F468" t="s">
        <v>14</v>
      </c>
      <c r="G468" t="s">
        <v>84</v>
      </c>
      <c r="H468" t="s">
        <v>178</v>
      </c>
      <c r="I468">
        <v>60.17</v>
      </c>
      <c r="J468">
        <v>0</v>
      </c>
      <c r="K468">
        <v>60.17</v>
      </c>
    </row>
    <row r="469" spans="1:11" x14ac:dyDescent="0.25">
      <c r="A469" t="s">
        <v>509</v>
      </c>
      <c r="B469" s="1">
        <v>46137.203159722223</v>
      </c>
      <c r="C469" s="2" t="s">
        <v>29</v>
      </c>
      <c r="D469" t="s">
        <v>13</v>
      </c>
      <c r="E469">
        <v>159500</v>
      </c>
      <c r="F469" t="s">
        <v>14</v>
      </c>
      <c r="G469" t="s">
        <v>24</v>
      </c>
      <c r="H469" t="s">
        <v>16</v>
      </c>
      <c r="I469">
        <v>2950.75</v>
      </c>
      <c r="J469">
        <v>1180.3</v>
      </c>
      <c r="K469">
        <v>1770.45</v>
      </c>
    </row>
    <row r="470" spans="1:11" x14ac:dyDescent="0.25">
      <c r="A470" t="s">
        <v>510</v>
      </c>
      <c r="B470" s="1">
        <v>45805.168043981481</v>
      </c>
      <c r="C470" s="2" t="s">
        <v>41</v>
      </c>
      <c r="D470" t="s">
        <v>33</v>
      </c>
      <c r="E470">
        <v>58085</v>
      </c>
      <c r="F470" t="s">
        <v>14</v>
      </c>
      <c r="G470" t="s">
        <v>30</v>
      </c>
      <c r="H470" t="s">
        <v>16</v>
      </c>
      <c r="I470">
        <v>0</v>
      </c>
      <c r="J470">
        <v>0</v>
      </c>
      <c r="K470">
        <v>0</v>
      </c>
    </row>
    <row r="471" spans="1:11" x14ac:dyDescent="0.25">
      <c r="A471" t="s">
        <v>511</v>
      </c>
      <c r="B471" s="1">
        <v>46110.531354166669</v>
      </c>
      <c r="C471" s="2" t="s">
        <v>41</v>
      </c>
      <c r="D471" t="s">
        <v>13</v>
      </c>
      <c r="E471">
        <v>215500</v>
      </c>
      <c r="F471" t="s">
        <v>14</v>
      </c>
      <c r="G471" t="s">
        <v>20</v>
      </c>
      <c r="H471" t="s">
        <v>16</v>
      </c>
      <c r="I471">
        <v>3986.75</v>
      </c>
      <c r="J471">
        <v>1594.7</v>
      </c>
      <c r="K471">
        <v>2392.0500000000002</v>
      </c>
    </row>
    <row r="472" spans="1:11" x14ac:dyDescent="0.25">
      <c r="A472" t="s">
        <v>512</v>
      </c>
      <c r="B472" s="1">
        <v>45787.973437499997</v>
      </c>
      <c r="C472" s="2" t="s">
        <v>18</v>
      </c>
      <c r="D472" t="s">
        <v>45</v>
      </c>
      <c r="E472">
        <v>22442</v>
      </c>
      <c r="F472" t="s">
        <v>14</v>
      </c>
      <c r="G472" t="s">
        <v>30</v>
      </c>
      <c r="H472" t="s">
        <v>46</v>
      </c>
      <c r="I472">
        <v>224.42</v>
      </c>
      <c r="J472">
        <v>0</v>
      </c>
      <c r="K472">
        <v>224.42</v>
      </c>
    </row>
    <row r="473" spans="1:11" x14ac:dyDescent="0.25">
      <c r="A473" t="s">
        <v>513</v>
      </c>
      <c r="B473" s="1">
        <v>46047.287291666667</v>
      </c>
      <c r="C473" s="2" t="s">
        <v>39</v>
      </c>
      <c r="D473" t="s">
        <v>45</v>
      </c>
      <c r="E473">
        <v>3803</v>
      </c>
      <c r="F473" t="s">
        <v>14</v>
      </c>
      <c r="G473" t="s">
        <v>34</v>
      </c>
      <c r="H473" t="s">
        <v>56</v>
      </c>
      <c r="I473">
        <v>38.03</v>
      </c>
      <c r="J473">
        <v>0</v>
      </c>
      <c r="K473">
        <v>38.03</v>
      </c>
    </row>
    <row r="474" spans="1:11" x14ac:dyDescent="0.25">
      <c r="A474" t="s">
        <v>514</v>
      </c>
      <c r="B474" s="1">
        <v>45878.641875000001</v>
      </c>
      <c r="C474" s="2" t="s">
        <v>26</v>
      </c>
      <c r="D474" t="s">
        <v>19</v>
      </c>
      <c r="E474">
        <v>92301</v>
      </c>
      <c r="F474" t="s">
        <v>14</v>
      </c>
      <c r="G474" t="s">
        <v>34</v>
      </c>
      <c r="H474" t="s">
        <v>16</v>
      </c>
      <c r="I474">
        <v>5</v>
      </c>
      <c r="J474">
        <v>0</v>
      </c>
      <c r="K474">
        <v>5</v>
      </c>
    </row>
    <row r="475" spans="1:11" x14ac:dyDescent="0.25">
      <c r="A475" t="s">
        <v>515</v>
      </c>
      <c r="B475" s="1">
        <v>46092.853032407409</v>
      </c>
      <c r="C475" s="2" t="s">
        <v>41</v>
      </c>
      <c r="D475" t="s">
        <v>13</v>
      </c>
      <c r="E475">
        <v>52000</v>
      </c>
      <c r="F475" t="s">
        <v>14</v>
      </c>
      <c r="G475" t="s">
        <v>58</v>
      </c>
      <c r="H475" t="s">
        <v>16</v>
      </c>
      <c r="I475">
        <v>962</v>
      </c>
      <c r="J475">
        <v>384.8</v>
      </c>
      <c r="K475">
        <v>577.20000000000005</v>
      </c>
    </row>
    <row r="476" spans="1:11" x14ac:dyDescent="0.25">
      <c r="A476" t="s">
        <v>516</v>
      </c>
      <c r="B476" s="1">
        <v>46062.097812499997</v>
      </c>
      <c r="C476" s="2" t="s">
        <v>12</v>
      </c>
      <c r="D476" t="s">
        <v>23</v>
      </c>
      <c r="E476">
        <v>1003</v>
      </c>
      <c r="F476" t="s">
        <v>50</v>
      </c>
      <c r="G476" t="s">
        <v>34</v>
      </c>
      <c r="H476" t="s">
        <v>16</v>
      </c>
      <c r="I476">
        <v>0</v>
      </c>
      <c r="J476">
        <v>0</v>
      </c>
      <c r="K476">
        <v>0</v>
      </c>
    </row>
    <row r="477" spans="1:11" x14ac:dyDescent="0.25">
      <c r="A477" t="s">
        <v>517</v>
      </c>
      <c r="B477" s="1">
        <v>45871.247523148151</v>
      </c>
      <c r="C477" s="2" t="s">
        <v>22</v>
      </c>
      <c r="D477" t="s">
        <v>23</v>
      </c>
      <c r="E477">
        <v>3657</v>
      </c>
      <c r="F477" t="s">
        <v>14</v>
      </c>
      <c r="G477" t="s">
        <v>15</v>
      </c>
      <c r="H477" t="s">
        <v>16</v>
      </c>
      <c r="I477">
        <v>0</v>
      </c>
      <c r="J477">
        <v>0</v>
      </c>
      <c r="K477">
        <v>0</v>
      </c>
    </row>
    <row r="478" spans="1:11" x14ac:dyDescent="0.25">
      <c r="A478" t="s">
        <v>518</v>
      </c>
      <c r="B478" s="1">
        <v>45899.940601851849</v>
      </c>
      <c r="C478" s="2" t="s">
        <v>41</v>
      </c>
      <c r="D478" t="s">
        <v>45</v>
      </c>
      <c r="E478">
        <v>24612</v>
      </c>
      <c r="F478" t="s">
        <v>14</v>
      </c>
      <c r="G478" t="s">
        <v>24</v>
      </c>
      <c r="H478" t="s">
        <v>59</v>
      </c>
      <c r="I478">
        <v>246.12</v>
      </c>
      <c r="J478">
        <v>0</v>
      </c>
      <c r="K478">
        <v>246.12</v>
      </c>
    </row>
    <row r="479" spans="1:11" x14ac:dyDescent="0.25">
      <c r="A479" t="s">
        <v>519</v>
      </c>
      <c r="B479" s="1">
        <v>45863.639756944445</v>
      </c>
      <c r="C479" s="2" t="s">
        <v>18</v>
      </c>
      <c r="D479" t="s">
        <v>23</v>
      </c>
      <c r="E479">
        <v>1987</v>
      </c>
      <c r="F479" t="s">
        <v>50</v>
      </c>
      <c r="G479" t="s">
        <v>30</v>
      </c>
      <c r="H479" t="s">
        <v>16</v>
      </c>
      <c r="I479">
        <v>0</v>
      </c>
      <c r="J479">
        <v>0</v>
      </c>
      <c r="K479">
        <v>0</v>
      </c>
    </row>
    <row r="480" spans="1:11" x14ac:dyDescent="0.25">
      <c r="A480" t="s">
        <v>520</v>
      </c>
      <c r="B480" s="1">
        <v>46008.559467592589</v>
      </c>
      <c r="C480" s="2" t="s">
        <v>12</v>
      </c>
      <c r="D480" t="s">
        <v>19</v>
      </c>
      <c r="E480">
        <v>79907</v>
      </c>
      <c r="F480" t="s">
        <v>14</v>
      </c>
      <c r="G480" t="s">
        <v>34</v>
      </c>
      <c r="H480" t="s">
        <v>16</v>
      </c>
      <c r="I480">
        <v>5</v>
      </c>
      <c r="J480">
        <v>0</v>
      </c>
      <c r="K480">
        <v>5</v>
      </c>
    </row>
    <row r="481" spans="1:11" x14ac:dyDescent="0.25">
      <c r="A481" t="s">
        <v>521</v>
      </c>
      <c r="B481" s="1">
        <v>45856.053298611114</v>
      </c>
      <c r="C481" s="2" t="s">
        <v>22</v>
      </c>
      <c r="D481" t="s">
        <v>45</v>
      </c>
      <c r="E481">
        <v>80252</v>
      </c>
      <c r="F481" t="s">
        <v>14</v>
      </c>
      <c r="G481" t="s">
        <v>58</v>
      </c>
      <c r="H481" t="s">
        <v>178</v>
      </c>
      <c r="I481">
        <v>802.52</v>
      </c>
      <c r="J481">
        <v>0</v>
      </c>
      <c r="K481">
        <v>802.52</v>
      </c>
    </row>
    <row r="482" spans="1:11" x14ac:dyDescent="0.25">
      <c r="A482" t="s">
        <v>522</v>
      </c>
      <c r="B482" s="1">
        <v>45830.308796296296</v>
      </c>
      <c r="C482" s="2" t="s">
        <v>22</v>
      </c>
      <c r="D482" t="s">
        <v>23</v>
      </c>
      <c r="E482">
        <v>1615</v>
      </c>
      <c r="F482" t="s">
        <v>14</v>
      </c>
      <c r="G482" t="s">
        <v>84</v>
      </c>
      <c r="H482" t="s">
        <v>16</v>
      </c>
      <c r="I482">
        <v>0</v>
      </c>
      <c r="J482">
        <v>0</v>
      </c>
      <c r="K482">
        <v>0</v>
      </c>
    </row>
    <row r="483" spans="1:11" x14ac:dyDescent="0.25">
      <c r="A483" t="s">
        <v>523</v>
      </c>
      <c r="B483" s="1">
        <v>46136.874513888892</v>
      </c>
      <c r="C483" s="2" t="s">
        <v>32</v>
      </c>
      <c r="D483" t="s">
        <v>33</v>
      </c>
      <c r="E483">
        <v>116900</v>
      </c>
      <c r="F483" t="s">
        <v>14</v>
      </c>
      <c r="G483" t="s">
        <v>51</v>
      </c>
      <c r="H483" t="s">
        <v>16</v>
      </c>
      <c r="I483">
        <v>0</v>
      </c>
      <c r="J483">
        <v>0</v>
      </c>
      <c r="K483">
        <v>0</v>
      </c>
    </row>
    <row r="484" spans="1:11" x14ac:dyDescent="0.25">
      <c r="A484" t="s">
        <v>524</v>
      </c>
      <c r="B484" s="1">
        <v>46007.243576388886</v>
      </c>
      <c r="C484" s="2" t="s">
        <v>22</v>
      </c>
      <c r="D484" t="s">
        <v>19</v>
      </c>
      <c r="E484">
        <v>130933</v>
      </c>
      <c r="F484" t="s">
        <v>50</v>
      </c>
      <c r="G484" t="s">
        <v>27</v>
      </c>
      <c r="H484" t="s">
        <v>16</v>
      </c>
      <c r="I484">
        <v>5</v>
      </c>
      <c r="J484">
        <v>0</v>
      </c>
      <c r="K484">
        <v>5</v>
      </c>
    </row>
    <row r="485" spans="1:11" x14ac:dyDescent="0.25">
      <c r="A485" t="s">
        <v>525</v>
      </c>
      <c r="B485" s="1">
        <v>45857.027442129627</v>
      </c>
      <c r="C485" s="2" t="s">
        <v>22</v>
      </c>
      <c r="D485" t="s">
        <v>45</v>
      </c>
      <c r="E485">
        <v>24131</v>
      </c>
      <c r="F485" t="s">
        <v>14</v>
      </c>
      <c r="G485" t="s">
        <v>24</v>
      </c>
      <c r="H485" t="s">
        <v>178</v>
      </c>
      <c r="I485">
        <v>241.31</v>
      </c>
      <c r="J485">
        <v>0</v>
      </c>
      <c r="K485">
        <v>241.31</v>
      </c>
    </row>
    <row r="486" spans="1:11" x14ac:dyDescent="0.25">
      <c r="A486" t="s">
        <v>526</v>
      </c>
      <c r="B486" s="1">
        <v>45815.007372685184</v>
      </c>
      <c r="C486" s="2" t="s">
        <v>41</v>
      </c>
      <c r="D486" t="s">
        <v>13</v>
      </c>
      <c r="E486">
        <v>204000</v>
      </c>
      <c r="F486" t="s">
        <v>50</v>
      </c>
      <c r="G486" t="s">
        <v>34</v>
      </c>
      <c r="H486" t="s">
        <v>16</v>
      </c>
      <c r="I486">
        <v>3774</v>
      </c>
      <c r="J486">
        <v>1509.6</v>
      </c>
      <c r="K486">
        <v>2264.4</v>
      </c>
    </row>
    <row r="487" spans="1:11" x14ac:dyDescent="0.25">
      <c r="A487" t="s">
        <v>527</v>
      </c>
      <c r="B487" s="1">
        <v>46010.715266203704</v>
      </c>
      <c r="C487" s="2" t="s">
        <v>32</v>
      </c>
      <c r="D487" t="s">
        <v>45</v>
      </c>
      <c r="E487">
        <v>133633</v>
      </c>
      <c r="F487" t="s">
        <v>14</v>
      </c>
      <c r="G487" t="s">
        <v>24</v>
      </c>
      <c r="H487" t="s">
        <v>59</v>
      </c>
      <c r="I487">
        <v>1336.33</v>
      </c>
      <c r="J487">
        <v>0</v>
      </c>
      <c r="K487">
        <v>1336.33</v>
      </c>
    </row>
    <row r="488" spans="1:11" x14ac:dyDescent="0.25">
      <c r="A488" t="s">
        <v>528</v>
      </c>
      <c r="B488" s="1">
        <v>46004.119143518517</v>
      </c>
      <c r="C488" s="2" t="s">
        <v>22</v>
      </c>
      <c r="D488" t="s">
        <v>33</v>
      </c>
      <c r="E488">
        <v>63001</v>
      </c>
      <c r="F488" t="s">
        <v>99</v>
      </c>
      <c r="G488" t="s">
        <v>34</v>
      </c>
      <c r="H488" t="s">
        <v>16</v>
      </c>
      <c r="I488">
        <v>0</v>
      </c>
      <c r="J488">
        <v>0</v>
      </c>
      <c r="K488">
        <v>0</v>
      </c>
    </row>
    <row r="489" spans="1:11" x14ac:dyDescent="0.25">
      <c r="A489" t="s">
        <v>529</v>
      </c>
      <c r="B489" s="1">
        <v>46015.492037037038</v>
      </c>
      <c r="C489" s="2" t="s">
        <v>29</v>
      </c>
      <c r="D489" t="s">
        <v>23</v>
      </c>
      <c r="E489">
        <v>2026</v>
      </c>
      <c r="F489" t="s">
        <v>50</v>
      </c>
      <c r="G489" t="s">
        <v>15</v>
      </c>
      <c r="H489" t="s">
        <v>16</v>
      </c>
      <c r="I489">
        <v>0</v>
      </c>
      <c r="J489">
        <v>0</v>
      </c>
      <c r="K489">
        <v>0</v>
      </c>
    </row>
    <row r="490" spans="1:11" x14ac:dyDescent="0.25">
      <c r="A490" t="s">
        <v>530</v>
      </c>
      <c r="B490" s="1">
        <v>46037.177453703705</v>
      </c>
      <c r="C490" s="2" t="s">
        <v>32</v>
      </c>
      <c r="D490" t="s">
        <v>33</v>
      </c>
      <c r="E490">
        <v>46308</v>
      </c>
      <c r="F490" t="s">
        <v>14</v>
      </c>
      <c r="G490" t="s">
        <v>34</v>
      </c>
      <c r="H490" t="s">
        <v>16</v>
      </c>
      <c r="I490">
        <v>0</v>
      </c>
      <c r="J490">
        <v>0</v>
      </c>
      <c r="K490">
        <v>0</v>
      </c>
    </row>
    <row r="491" spans="1:11" x14ac:dyDescent="0.25">
      <c r="A491" t="s">
        <v>531</v>
      </c>
      <c r="B491" s="1">
        <v>46038.631145833337</v>
      </c>
      <c r="C491" s="2" t="s">
        <v>22</v>
      </c>
      <c r="D491" t="s">
        <v>33</v>
      </c>
      <c r="E491">
        <v>26773</v>
      </c>
      <c r="F491" t="s">
        <v>99</v>
      </c>
      <c r="G491" t="s">
        <v>34</v>
      </c>
      <c r="H491" t="s">
        <v>16</v>
      </c>
      <c r="I491">
        <v>0</v>
      </c>
      <c r="J491">
        <v>0</v>
      </c>
      <c r="K491">
        <v>0</v>
      </c>
    </row>
    <row r="492" spans="1:11" x14ac:dyDescent="0.25">
      <c r="A492" t="s">
        <v>532</v>
      </c>
      <c r="B492" s="1">
        <v>45858.284085648149</v>
      </c>
      <c r="C492" s="2" t="s">
        <v>29</v>
      </c>
      <c r="D492" t="s">
        <v>23</v>
      </c>
      <c r="E492">
        <v>2852</v>
      </c>
      <c r="F492" t="s">
        <v>14</v>
      </c>
      <c r="G492" t="s">
        <v>20</v>
      </c>
      <c r="H492" t="s">
        <v>16</v>
      </c>
      <c r="I492">
        <v>0</v>
      </c>
      <c r="J492">
        <v>0</v>
      </c>
      <c r="K492">
        <v>0</v>
      </c>
    </row>
    <row r="493" spans="1:11" x14ac:dyDescent="0.25">
      <c r="A493" t="s">
        <v>533</v>
      </c>
      <c r="B493" s="1">
        <v>46035.954745370371</v>
      </c>
      <c r="C493" s="2" t="s">
        <v>41</v>
      </c>
      <c r="D493" t="s">
        <v>33</v>
      </c>
      <c r="E493">
        <v>177</v>
      </c>
      <c r="F493" t="s">
        <v>14</v>
      </c>
      <c r="G493" t="s">
        <v>34</v>
      </c>
      <c r="H493" t="s">
        <v>16</v>
      </c>
      <c r="I493">
        <v>0</v>
      </c>
      <c r="J493">
        <v>0</v>
      </c>
      <c r="K493">
        <v>0</v>
      </c>
    </row>
    <row r="494" spans="1:11" x14ac:dyDescent="0.25">
      <c r="A494" t="s">
        <v>534</v>
      </c>
      <c r="B494" s="1">
        <v>45787.848252314812</v>
      </c>
      <c r="C494" s="2" t="s">
        <v>39</v>
      </c>
      <c r="D494" t="s">
        <v>13</v>
      </c>
      <c r="E494">
        <v>38500</v>
      </c>
      <c r="F494" t="s">
        <v>14</v>
      </c>
      <c r="G494" t="s">
        <v>20</v>
      </c>
      <c r="H494" t="s">
        <v>16</v>
      </c>
      <c r="I494">
        <v>712.25</v>
      </c>
      <c r="J494">
        <v>284.89999999999998</v>
      </c>
      <c r="K494">
        <v>427.35</v>
      </c>
    </row>
    <row r="495" spans="1:11" x14ac:dyDescent="0.25">
      <c r="A495" t="s">
        <v>535</v>
      </c>
      <c r="B495" s="1">
        <v>45927.694074074076</v>
      </c>
      <c r="C495" s="2" t="s">
        <v>41</v>
      </c>
      <c r="D495" t="s">
        <v>33</v>
      </c>
      <c r="E495">
        <v>148154</v>
      </c>
      <c r="F495" t="s">
        <v>14</v>
      </c>
      <c r="G495" t="s">
        <v>27</v>
      </c>
      <c r="H495" t="s">
        <v>16</v>
      </c>
      <c r="I495">
        <v>0</v>
      </c>
      <c r="J495">
        <v>0</v>
      </c>
      <c r="K495">
        <v>0</v>
      </c>
    </row>
    <row r="496" spans="1:11" x14ac:dyDescent="0.25">
      <c r="A496" t="s">
        <v>536</v>
      </c>
      <c r="B496" s="1">
        <v>46012.933032407411</v>
      </c>
      <c r="C496" s="2" t="s">
        <v>26</v>
      </c>
      <c r="D496" t="s">
        <v>13</v>
      </c>
      <c r="E496">
        <v>159500</v>
      </c>
      <c r="F496" t="s">
        <v>50</v>
      </c>
      <c r="G496" t="s">
        <v>34</v>
      </c>
      <c r="H496" t="s">
        <v>16</v>
      </c>
      <c r="I496">
        <v>2950.75</v>
      </c>
      <c r="J496">
        <v>1180.3</v>
      </c>
      <c r="K496">
        <v>1770.45</v>
      </c>
    </row>
    <row r="497" spans="1:11" x14ac:dyDescent="0.25">
      <c r="A497" t="s">
        <v>537</v>
      </c>
      <c r="B497" s="1">
        <v>46028.601365740738</v>
      </c>
      <c r="C497" s="2" t="s">
        <v>32</v>
      </c>
      <c r="D497" t="s">
        <v>19</v>
      </c>
      <c r="E497">
        <v>8710</v>
      </c>
      <c r="F497" t="s">
        <v>14</v>
      </c>
      <c r="G497" t="s">
        <v>34</v>
      </c>
      <c r="H497" t="s">
        <v>16</v>
      </c>
      <c r="I497">
        <v>5</v>
      </c>
      <c r="J497">
        <v>0</v>
      </c>
      <c r="K497">
        <v>5</v>
      </c>
    </row>
    <row r="498" spans="1:11" x14ac:dyDescent="0.25">
      <c r="A498" t="s">
        <v>538</v>
      </c>
      <c r="B498" s="1">
        <v>46079.079282407409</v>
      </c>
      <c r="C498" s="2" t="s">
        <v>29</v>
      </c>
      <c r="D498" t="s">
        <v>33</v>
      </c>
      <c r="E498">
        <v>127197</v>
      </c>
      <c r="F498" t="s">
        <v>14</v>
      </c>
      <c r="G498" t="s">
        <v>27</v>
      </c>
      <c r="H498" t="s">
        <v>16</v>
      </c>
      <c r="I498">
        <v>0</v>
      </c>
      <c r="J498">
        <v>0</v>
      </c>
      <c r="K498">
        <v>0</v>
      </c>
    </row>
    <row r="499" spans="1:11" x14ac:dyDescent="0.25">
      <c r="A499" t="s">
        <v>539</v>
      </c>
      <c r="B499" s="1">
        <v>46088.848379629628</v>
      </c>
      <c r="C499" s="2" t="s">
        <v>32</v>
      </c>
      <c r="D499" t="s">
        <v>23</v>
      </c>
      <c r="E499">
        <v>4081</v>
      </c>
      <c r="F499" t="s">
        <v>14</v>
      </c>
      <c r="G499" t="s">
        <v>27</v>
      </c>
      <c r="H499" t="s">
        <v>16</v>
      </c>
      <c r="I499">
        <v>0</v>
      </c>
      <c r="J499">
        <v>0</v>
      </c>
      <c r="K499">
        <v>0</v>
      </c>
    </row>
    <row r="500" spans="1:11" x14ac:dyDescent="0.25">
      <c r="A500" t="s">
        <v>540</v>
      </c>
      <c r="B500" s="1">
        <v>45867.956643518519</v>
      </c>
      <c r="C500" s="2" t="s">
        <v>26</v>
      </c>
      <c r="D500" t="s">
        <v>33</v>
      </c>
      <c r="E500">
        <v>32449</v>
      </c>
      <c r="F500" t="s">
        <v>14</v>
      </c>
      <c r="G500" t="s">
        <v>34</v>
      </c>
      <c r="H500" t="s">
        <v>16</v>
      </c>
      <c r="I500">
        <v>0</v>
      </c>
      <c r="J500">
        <v>0</v>
      </c>
      <c r="K500">
        <v>0</v>
      </c>
    </row>
    <row r="501" spans="1:11" x14ac:dyDescent="0.25">
      <c r="A501" t="s">
        <v>541</v>
      </c>
      <c r="B501" s="1">
        <v>45783.234097222223</v>
      </c>
      <c r="C501" s="2" t="s">
        <v>41</v>
      </c>
      <c r="D501" t="s">
        <v>13</v>
      </c>
      <c r="E501">
        <v>143000</v>
      </c>
      <c r="F501" t="s">
        <v>14</v>
      </c>
      <c r="G501" t="s">
        <v>34</v>
      </c>
      <c r="H501" t="s">
        <v>16</v>
      </c>
      <c r="I501">
        <v>2645.5</v>
      </c>
      <c r="J501">
        <v>1058.2</v>
      </c>
      <c r="K501">
        <v>1587.3</v>
      </c>
    </row>
    <row r="502" spans="1:11" x14ac:dyDescent="0.25">
      <c r="A502" t="s">
        <v>542</v>
      </c>
      <c r="B502" s="1">
        <v>46121.11991898148</v>
      </c>
      <c r="C502" s="2" t="s">
        <v>32</v>
      </c>
      <c r="D502" t="s">
        <v>23</v>
      </c>
      <c r="E502">
        <v>1248</v>
      </c>
      <c r="F502" t="s">
        <v>14</v>
      </c>
      <c r="G502" t="s">
        <v>84</v>
      </c>
      <c r="H502" t="s">
        <v>16</v>
      </c>
      <c r="I502">
        <v>0</v>
      </c>
      <c r="J502">
        <v>0</v>
      </c>
      <c r="K502">
        <v>0</v>
      </c>
    </row>
    <row r="503" spans="1:11" x14ac:dyDescent="0.25">
      <c r="A503" t="s">
        <v>543</v>
      </c>
      <c r="B503" s="1">
        <v>45839.210219907407</v>
      </c>
      <c r="C503" s="2" t="s">
        <v>18</v>
      </c>
      <c r="D503" t="s">
        <v>45</v>
      </c>
      <c r="E503">
        <v>11158</v>
      </c>
      <c r="F503" t="s">
        <v>14</v>
      </c>
      <c r="G503" t="s">
        <v>30</v>
      </c>
      <c r="H503" t="s">
        <v>71</v>
      </c>
      <c r="I503">
        <v>111.58</v>
      </c>
      <c r="J503">
        <v>0</v>
      </c>
      <c r="K503">
        <v>111.58</v>
      </c>
    </row>
    <row r="504" spans="1:11" x14ac:dyDescent="0.25">
      <c r="A504" t="s">
        <v>544</v>
      </c>
      <c r="B504" s="1">
        <v>46132.966747685183</v>
      </c>
      <c r="C504" s="2" t="s">
        <v>18</v>
      </c>
      <c r="D504" t="s">
        <v>45</v>
      </c>
      <c r="E504">
        <v>58849</v>
      </c>
      <c r="F504" t="s">
        <v>99</v>
      </c>
      <c r="G504" t="s">
        <v>34</v>
      </c>
      <c r="H504" t="s">
        <v>178</v>
      </c>
      <c r="I504">
        <v>588.49</v>
      </c>
      <c r="J504">
        <v>0</v>
      </c>
      <c r="K504">
        <v>588.49</v>
      </c>
    </row>
    <row r="505" spans="1:11" x14ac:dyDescent="0.25">
      <c r="A505" t="s">
        <v>545</v>
      </c>
      <c r="B505" s="1">
        <v>45980.888321759259</v>
      </c>
      <c r="C505" s="2" t="s">
        <v>22</v>
      </c>
      <c r="D505" t="s">
        <v>33</v>
      </c>
      <c r="E505">
        <v>104083</v>
      </c>
      <c r="F505" t="s">
        <v>14</v>
      </c>
      <c r="G505" t="s">
        <v>24</v>
      </c>
      <c r="H505" t="s">
        <v>16</v>
      </c>
      <c r="I505">
        <v>0</v>
      </c>
      <c r="J505">
        <v>0</v>
      </c>
      <c r="K505">
        <v>0</v>
      </c>
    </row>
    <row r="506" spans="1:11" x14ac:dyDescent="0.25">
      <c r="A506" t="s">
        <v>546</v>
      </c>
      <c r="B506" s="1">
        <v>45963.335995370369</v>
      </c>
      <c r="C506" s="2" t="s">
        <v>32</v>
      </c>
      <c r="D506" t="s">
        <v>45</v>
      </c>
      <c r="E506">
        <v>57234</v>
      </c>
      <c r="F506" t="s">
        <v>14</v>
      </c>
      <c r="G506" t="s">
        <v>24</v>
      </c>
      <c r="H506" t="s">
        <v>46</v>
      </c>
      <c r="I506">
        <v>572.34</v>
      </c>
      <c r="J506">
        <v>0</v>
      </c>
      <c r="K506">
        <v>572.34</v>
      </c>
    </row>
    <row r="507" spans="1:11" x14ac:dyDescent="0.25">
      <c r="A507" t="s">
        <v>547</v>
      </c>
      <c r="B507" s="1">
        <v>45895.367083333331</v>
      </c>
      <c r="C507" s="2" t="s">
        <v>26</v>
      </c>
      <c r="D507" t="s">
        <v>23</v>
      </c>
      <c r="E507">
        <v>988</v>
      </c>
      <c r="F507" t="s">
        <v>14</v>
      </c>
      <c r="G507" t="s">
        <v>84</v>
      </c>
      <c r="H507" t="s">
        <v>16</v>
      </c>
      <c r="I507">
        <v>0</v>
      </c>
      <c r="J507">
        <v>0</v>
      </c>
      <c r="K507">
        <v>0</v>
      </c>
    </row>
    <row r="508" spans="1:11" x14ac:dyDescent="0.25">
      <c r="A508" t="s">
        <v>548</v>
      </c>
      <c r="B508" s="1">
        <v>46072.736018518517</v>
      </c>
      <c r="C508" s="2" t="s">
        <v>18</v>
      </c>
      <c r="D508" t="s">
        <v>19</v>
      </c>
      <c r="E508">
        <v>129905</v>
      </c>
      <c r="F508" t="s">
        <v>14</v>
      </c>
      <c r="G508" t="s">
        <v>27</v>
      </c>
      <c r="H508" t="s">
        <v>16</v>
      </c>
      <c r="I508">
        <v>5</v>
      </c>
      <c r="J508">
        <v>0</v>
      </c>
      <c r="K508">
        <v>5</v>
      </c>
    </row>
    <row r="509" spans="1:11" x14ac:dyDescent="0.25">
      <c r="A509" t="s">
        <v>549</v>
      </c>
      <c r="B509" s="1">
        <v>46062.374664351853</v>
      </c>
      <c r="C509" s="2" t="s">
        <v>41</v>
      </c>
      <c r="D509" t="s">
        <v>45</v>
      </c>
      <c r="E509">
        <v>19152</v>
      </c>
      <c r="F509" t="s">
        <v>14</v>
      </c>
      <c r="G509" t="s">
        <v>58</v>
      </c>
      <c r="H509" t="s">
        <v>46</v>
      </c>
      <c r="I509">
        <v>191.52</v>
      </c>
      <c r="J509">
        <v>0</v>
      </c>
      <c r="K509">
        <v>191.52</v>
      </c>
    </row>
    <row r="510" spans="1:11" x14ac:dyDescent="0.25">
      <c r="A510" t="s">
        <v>550</v>
      </c>
      <c r="B510" s="1">
        <v>46107.252835648149</v>
      </c>
      <c r="C510" s="2" t="s">
        <v>41</v>
      </c>
      <c r="D510" t="s">
        <v>23</v>
      </c>
      <c r="E510">
        <v>700</v>
      </c>
      <c r="F510" t="s">
        <v>14</v>
      </c>
      <c r="G510" t="s">
        <v>30</v>
      </c>
      <c r="H510" t="s">
        <v>16</v>
      </c>
      <c r="I510">
        <v>0</v>
      </c>
      <c r="J510">
        <v>0</v>
      </c>
      <c r="K510">
        <v>0</v>
      </c>
    </row>
    <row r="511" spans="1:11" x14ac:dyDescent="0.25">
      <c r="A511" t="s">
        <v>551</v>
      </c>
      <c r="B511" s="1">
        <v>45856.021377314813</v>
      </c>
      <c r="C511" s="2" t="s">
        <v>39</v>
      </c>
      <c r="D511" t="s">
        <v>33</v>
      </c>
      <c r="E511">
        <v>112028</v>
      </c>
      <c r="F511" t="s">
        <v>14</v>
      </c>
      <c r="G511" t="s">
        <v>24</v>
      </c>
      <c r="H511" t="s">
        <v>16</v>
      </c>
      <c r="I511">
        <v>0</v>
      </c>
      <c r="J511">
        <v>0</v>
      </c>
      <c r="K511">
        <v>0</v>
      </c>
    </row>
    <row r="512" spans="1:11" x14ac:dyDescent="0.25">
      <c r="A512" t="s">
        <v>552</v>
      </c>
      <c r="B512" s="1">
        <v>46135.922974537039</v>
      </c>
      <c r="C512" s="2" t="s">
        <v>12</v>
      </c>
      <c r="D512" t="s">
        <v>45</v>
      </c>
      <c r="E512">
        <v>86318</v>
      </c>
      <c r="F512" t="s">
        <v>50</v>
      </c>
      <c r="G512" t="s">
        <v>34</v>
      </c>
      <c r="H512" t="s">
        <v>46</v>
      </c>
      <c r="I512">
        <v>863.18</v>
      </c>
      <c r="J512">
        <v>0</v>
      </c>
      <c r="K512">
        <v>863.18</v>
      </c>
    </row>
    <row r="513" spans="1:11" x14ac:dyDescent="0.25">
      <c r="A513" t="s">
        <v>553</v>
      </c>
      <c r="B513" s="1">
        <v>45875.610277777778</v>
      </c>
      <c r="C513" s="2" t="s">
        <v>12</v>
      </c>
      <c r="D513" t="s">
        <v>23</v>
      </c>
      <c r="E513">
        <v>3426</v>
      </c>
      <c r="F513" t="s">
        <v>14</v>
      </c>
      <c r="G513" t="s">
        <v>34</v>
      </c>
      <c r="H513" t="s">
        <v>16</v>
      </c>
      <c r="I513">
        <v>0</v>
      </c>
      <c r="J513">
        <v>0</v>
      </c>
      <c r="K513">
        <v>0</v>
      </c>
    </row>
    <row r="514" spans="1:11" x14ac:dyDescent="0.25">
      <c r="A514" t="s">
        <v>554</v>
      </c>
      <c r="B514" s="1">
        <v>46111.625011574077</v>
      </c>
      <c r="C514" s="2" t="s">
        <v>18</v>
      </c>
      <c r="D514" t="s">
        <v>33</v>
      </c>
      <c r="E514">
        <v>101767</v>
      </c>
      <c r="F514" t="s">
        <v>14</v>
      </c>
      <c r="G514" t="s">
        <v>34</v>
      </c>
      <c r="H514" t="s">
        <v>16</v>
      </c>
      <c r="I514">
        <v>0</v>
      </c>
      <c r="J514">
        <v>0</v>
      </c>
      <c r="K514">
        <v>0</v>
      </c>
    </row>
    <row r="515" spans="1:11" x14ac:dyDescent="0.25">
      <c r="A515" t="s">
        <v>555</v>
      </c>
      <c r="B515" s="1">
        <v>46081.451562499999</v>
      </c>
      <c r="C515" s="2" t="s">
        <v>22</v>
      </c>
      <c r="D515" t="s">
        <v>23</v>
      </c>
      <c r="E515">
        <v>3953</v>
      </c>
      <c r="F515" t="s">
        <v>99</v>
      </c>
      <c r="G515" t="s">
        <v>34</v>
      </c>
      <c r="H515" t="s">
        <v>16</v>
      </c>
      <c r="I515">
        <v>0</v>
      </c>
      <c r="J515">
        <v>0</v>
      </c>
      <c r="K515">
        <v>0</v>
      </c>
    </row>
    <row r="516" spans="1:11" x14ac:dyDescent="0.25">
      <c r="A516" t="s">
        <v>556</v>
      </c>
      <c r="B516" s="1">
        <v>46127.087083333332</v>
      </c>
      <c r="C516" s="2" t="s">
        <v>22</v>
      </c>
      <c r="D516" t="s">
        <v>19</v>
      </c>
      <c r="E516">
        <v>138466</v>
      </c>
      <c r="F516" t="s">
        <v>14</v>
      </c>
      <c r="G516" t="s">
        <v>30</v>
      </c>
      <c r="H516" t="s">
        <v>16</v>
      </c>
      <c r="I516">
        <v>5</v>
      </c>
      <c r="J516">
        <v>0</v>
      </c>
      <c r="K516">
        <v>5</v>
      </c>
    </row>
    <row r="517" spans="1:11" x14ac:dyDescent="0.25">
      <c r="A517" t="s">
        <v>557</v>
      </c>
      <c r="B517" s="1">
        <v>45823.872499999998</v>
      </c>
      <c r="C517" s="2" t="s">
        <v>12</v>
      </c>
      <c r="D517" t="s">
        <v>13</v>
      </c>
      <c r="E517">
        <v>137000</v>
      </c>
      <c r="F517" t="s">
        <v>14</v>
      </c>
      <c r="G517" t="s">
        <v>51</v>
      </c>
      <c r="H517" t="s">
        <v>16</v>
      </c>
      <c r="I517">
        <v>2534.5</v>
      </c>
      <c r="J517">
        <v>1013.8</v>
      </c>
      <c r="K517">
        <v>1520.7</v>
      </c>
    </row>
    <row r="518" spans="1:11" x14ac:dyDescent="0.25">
      <c r="A518" t="s">
        <v>558</v>
      </c>
      <c r="B518" s="1">
        <v>45809.516111111108</v>
      </c>
      <c r="C518" s="2" t="s">
        <v>12</v>
      </c>
      <c r="D518" t="s">
        <v>33</v>
      </c>
      <c r="E518">
        <v>57488</v>
      </c>
      <c r="F518" t="s">
        <v>14</v>
      </c>
      <c r="G518" t="s">
        <v>27</v>
      </c>
      <c r="H518" t="s">
        <v>16</v>
      </c>
      <c r="I518">
        <v>0</v>
      </c>
      <c r="J518">
        <v>0</v>
      </c>
      <c r="K518">
        <v>0</v>
      </c>
    </row>
    <row r="519" spans="1:11" x14ac:dyDescent="0.25">
      <c r="A519" t="s">
        <v>559</v>
      </c>
      <c r="B519" s="1">
        <v>45915.329479166663</v>
      </c>
      <c r="C519" s="2" t="s">
        <v>26</v>
      </c>
      <c r="D519" t="s">
        <v>45</v>
      </c>
      <c r="E519">
        <v>134563</v>
      </c>
      <c r="F519" t="s">
        <v>14</v>
      </c>
      <c r="G519" t="s">
        <v>15</v>
      </c>
      <c r="H519" t="s">
        <v>71</v>
      </c>
      <c r="I519">
        <v>1345.63</v>
      </c>
      <c r="J519">
        <v>0</v>
      </c>
      <c r="K519">
        <v>1345.63</v>
      </c>
    </row>
    <row r="520" spans="1:11" x14ac:dyDescent="0.25">
      <c r="A520" t="s">
        <v>560</v>
      </c>
      <c r="B520" s="1">
        <v>45788.693159722221</v>
      </c>
      <c r="C520" s="2" t="s">
        <v>12</v>
      </c>
      <c r="D520" t="s">
        <v>45</v>
      </c>
      <c r="E520">
        <v>141919</v>
      </c>
      <c r="F520" t="s">
        <v>14</v>
      </c>
      <c r="G520" t="s">
        <v>27</v>
      </c>
      <c r="H520" t="s">
        <v>46</v>
      </c>
      <c r="I520">
        <v>1419.19</v>
      </c>
      <c r="J520">
        <v>0</v>
      </c>
      <c r="K520">
        <v>1419.19</v>
      </c>
    </row>
    <row r="521" spans="1:11" x14ac:dyDescent="0.25">
      <c r="A521" t="s">
        <v>561</v>
      </c>
      <c r="B521" s="1">
        <v>45802.524097222224</v>
      </c>
      <c r="C521" s="2" t="s">
        <v>12</v>
      </c>
      <c r="D521" t="s">
        <v>13</v>
      </c>
      <c r="E521">
        <v>66000</v>
      </c>
      <c r="F521" t="s">
        <v>14</v>
      </c>
      <c r="G521" t="s">
        <v>34</v>
      </c>
      <c r="H521" t="s">
        <v>16</v>
      </c>
      <c r="I521">
        <v>1221</v>
      </c>
      <c r="J521">
        <v>488.4</v>
      </c>
      <c r="K521">
        <v>732.6</v>
      </c>
    </row>
    <row r="522" spans="1:11" x14ac:dyDescent="0.25">
      <c r="A522" t="s">
        <v>562</v>
      </c>
      <c r="B522" s="1">
        <v>46008.942974537036</v>
      </c>
      <c r="C522" s="2" t="s">
        <v>29</v>
      </c>
      <c r="D522" t="s">
        <v>19</v>
      </c>
      <c r="E522">
        <v>121017</v>
      </c>
      <c r="F522" t="s">
        <v>14</v>
      </c>
      <c r="G522" t="s">
        <v>15</v>
      </c>
      <c r="H522" t="s">
        <v>16</v>
      </c>
      <c r="I522">
        <v>5</v>
      </c>
      <c r="J522">
        <v>0</v>
      </c>
      <c r="K522">
        <v>5</v>
      </c>
    </row>
    <row r="523" spans="1:11" x14ac:dyDescent="0.25">
      <c r="A523" t="s">
        <v>563</v>
      </c>
      <c r="B523" s="1">
        <v>46038.170775462961</v>
      </c>
      <c r="C523" s="2" t="s">
        <v>22</v>
      </c>
      <c r="D523" t="s">
        <v>33</v>
      </c>
      <c r="E523">
        <v>32894</v>
      </c>
      <c r="F523" t="s">
        <v>14</v>
      </c>
      <c r="G523" t="s">
        <v>84</v>
      </c>
      <c r="H523" t="s">
        <v>16</v>
      </c>
      <c r="I523">
        <v>0</v>
      </c>
      <c r="J523">
        <v>0</v>
      </c>
      <c r="K523">
        <v>0</v>
      </c>
    </row>
    <row r="524" spans="1:11" x14ac:dyDescent="0.25">
      <c r="A524" t="s">
        <v>564</v>
      </c>
      <c r="B524" s="1">
        <v>45933.568402777775</v>
      </c>
      <c r="C524" s="2" t="s">
        <v>32</v>
      </c>
      <c r="D524" t="s">
        <v>19</v>
      </c>
      <c r="E524">
        <v>8381</v>
      </c>
      <c r="F524" t="s">
        <v>14</v>
      </c>
      <c r="G524" t="s">
        <v>30</v>
      </c>
      <c r="H524" t="s">
        <v>16</v>
      </c>
      <c r="I524">
        <v>5</v>
      </c>
      <c r="J524">
        <v>0</v>
      </c>
      <c r="K524">
        <v>5</v>
      </c>
    </row>
    <row r="525" spans="1:11" x14ac:dyDescent="0.25">
      <c r="A525" t="s">
        <v>565</v>
      </c>
      <c r="B525" s="1">
        <v>45860.447766203702</v>
      </c>
      <c r="C525" s="2" t="s">
        <v>18</v>
      </c>
      <c r="D525" t="s">
        <v>45</v>
      </c>
      <c r="E525">
        <v>74393</v>
      </c>
      <c r="F525" t="s">
        <v>50</v>
      </c>
      <c r="G525" t="s">
        <v>34</v>
      </c>
      <c r="H525" t="s">
        <v>46</v>
      </c>
      <c r="I525">
        <v>743.93</v>
      </c>
      <c r="J525">
        <v>0</v>
      </c>
      <c r="K525">
        <v>743.93</v>
      </c>
    </row>
    <row r="526" spans="1:11" x14ac:dyDescent="0.25">
      <c r="A526" t="s">
        <v>566</v>
      </c>
      <c r="B526" s="1">
        <v>46037.887789351851</v>
      </c>
      <c r="C526" s="2" t="s">
        <v>18</v>
      </c>
      <c r="D526" t="s">
        <v>23</v>
      </c>
      <c r="E526">
        <v>3112</v>
      </c>
      <c r="F526" t="s">
        <v>14</v>
      </c>
      <c r="G526" t="s">
        <v>15</v>
      </c>
      <c r="H526" t="s">
        <v>16</v>
      </c>
      <c r="I526">
        <v>0</v>
      </c>
      <c r="J526">
        <v>0</v>
      </c>
      <c r="K526">
        <v>0</v>
      </c>
    </row>
    <row r="527" spans="1:11" x14ac:dyDescent="0.25">
      <c r="A527" t="s">
        <v>567</v>
      </c>
      <c r="B527" s="1">
        <v>45984.389421296299</v>
      </c>
      <c r="C527" s="2" t="s">
        <v>26</v>
      </c>
      <c r="D527" t="s">
        <v>19</v>
      </c>
      <c r="E527">
        <v>134477</v>
      </c>
      <c r="F527" t="s">
        <v>14</v>
      </c>
      <c r="G527" t="s">
        <v>34</v>
      </c>
      <c r="H527" t="s">
        <v>16</v>
      </c>
      <c r="I527">
        <v>5</v>
      </c>
      <c r="J527">
        <v>0</v>
      </c>
      <c r="K527">
        <v>5</v>
      </c>
    </row>
    <row r="528" spans="1:11" x14ac:dyDescent="0.25">
      <c r="A528" t="s">
        <v>568</v>
      </c>
      <c r="B528" s="1">
        <v>46087.200925925928</v>
      </c>
      <c r="C528" s="2" t="s">
        <v>26</v>
      </c>
      <c r="D528" t="s">
        <v>19</v>
      </c>
      <c r="E528">
        <v>50726</v>
      </c>
      <c r="F528" t="s">
        <v>14</v>
      </c>
      <c r="G528" t="s">
        <v>15</v>
      </c>
      <c r="H528" t="s">
        <v>16</v>
      </c>
      <c r="I528">
        <v>5</v>
      </c>
      <c r="J528">
        <v>0</v>
      </c>
      <c r="K528">
        <v>5</v>
      </c>
    </row>
    <row r="529" spans="1:11" x14ac:dyDescent="0.25">
      <c r="A529" t="s">
        <v>569</v>
      </c>
      <c r="B529" s="1">
        <v>46065.901597222219</v>
      </c>
      <c r="C529" s="2" t="s">
        <v>18</v>
      </c>
      <c r="D529" t="s">
        <v>19</v>
      </c>
      <c r="E529">
        <v>91781</v>
      </c>
      <c r="F529" t="s">
        <v>99</v>
      </c>
      <c r="G529" t="s">
        <v>30</v>
      </c>
      <c r="H529" t="s">
        <v>16</v>
      </c>
      <c r="I529">
        <v>5</v>
      </c>
      <c r="J529">
        <v>0</v>
      </c>
      <c r="K529">
        <v>5</v>
      </c>
    </row>
    <row r="530" spans="1:11" x14ac:dyDescent="0.25">
      <c r="A530" t="s">
        <v>570</v>
      </c>
      <c r="B530" s="1">
        <v>45826.971365740741</v>
      </c>
      <c r="C530" s="2" t="s">
        <v>18</v>
      </c>
      <c r="D530" t="s">
        <v>19</v>
      </c>
      <c r="E530">
        <v>71369</v>
      </c>
      <c r="F530" t="s">
        <v>14</v>
      </c>
      <c r="G530" t="s">
        <v>24</v>
      </c>
      <c r="H530" t="s">
        <v>16</v>
      </c>
      <c r="I530">
        <v>5</v>
      </c>
      <c r="J530">
        <v>0</v>
      </c>
      <c r="K530">
        <v>5</v>
      </c>
    </row>
    <row r="531" spans="1:11" x14ac:dyDescent="0.25">
      <c r="A531" t="s">
        <v>571</v>
      </c>
      <c r="B531" s="1">
        <v>45891.625462962962</v>
      </c>
      <c r="C531" s="2" t="s">
        <v>22</v>
      </c>
      <c r="D531" t="s">
        <v>19</v>
      </c>
      <c r="E531">
        <v>142940</v>
      </c>
      <c r="F531" t="s">
        <v>14</v>
      </c>
      <c r="G531" t="s">
        <v>34</v>
      </c>
      <c r="H531" t="s">
        <v>16</v>
      </c>
      <c r="I531">
        <v>5</v>
      </c>
      <c r="J531">
        <v>0</v>
      </c>
      <c r="K531">
        <v>5</v>
      </c>
    </row>
    <row r="532" spans="1:11" x14ac:dyDescent="0.25">
      <c r="A532" t="s">
        <v>572</v>
      </c>
      <c r="B532" s="1">
        <v>46028.720775462964</v>
      </c>
      <c r="C532" s="2" t="s">
        <v>32</v>
      </c>
      <c r="D532" t="s">
        <v>13</v>
      </c>
      <c r="E532">
        <v>113000</v>
      </c>
      <c r="F532" t="s">
        <v>14</v>
      </c>
      <c r="G532" t="s">
        <v>27</v>
      </c>
      <c r="H532" t="s">
        <v>16</v>
      </c>
      <c r="I532">
        <v>2090.5</v>
      </c>
      <c r="J532">
        <v>836.2</v>
      </c>
      <c r="K532">
        <v>1254.3</v>
      </c>
    </row>
    <row r="533" spans="1:11" x14ac:dyDescent="0.25">
      <c r="A533" t="s">
        <v>573</v>
      </c>
      <c r="B533" s="1">
        <v>45851.006249999999</v>
      </c>
      <c r="C533" s="2" t="s">
        <v>41</v>
      </c>
      <c r="D533" t="s">
        <v>45</v>
      </c>
      <c r="E533">
        <v>148816</v>
      </c>
      <c r="F533" t="s">
        <v>14</v>
      </c>
      <c r="G533" t="s">
        <v>34</v>
      </c>
      <c r="H533" t="s">
        <v>59</v>
      </c>
      <c r="I533">
        <v>1488.16</v>
      </c>
      <c r="J533">
        <v>0</v>
      </c>
      <c r="K533">
        <v>1488.16</v>
      </c>
    </row>
    <row r="534" spans="1:11" x14ac:dyDescent="0.25">
      <c r="A534" t="s">
        <v>574</v>
      </c>
      <c r="B534" s="1">
        <v>46005.291377314818</v>
      </c>
      <c r="C534" s="2" t="s">
        <v>12</v>
      </c>
      <c r="D534" t="s">
        <v>19</v>
      </c>
      <c r="E534">
        <v>105686</v>
      </c>
      <c r="F534" t="s">
        <v>14</v>
      </c>
      <c r="G534" t="s">
        <v>20</v>
      </c>
      <c r="H534" t="s">
        <v>16</v>
      </c>
      <c r="I534">
        <v>5</v>
      </c>
      <c r="J534">
        <v>0</v>
      </c>
      <c r="K534">
        <v>5</v>
      </c>
    </row>
    <row r="535" spans="1:11" x14ac:dyDescent="0.25">
      <c r="A535" t="s">
        <v>575</v>
      </c>
      <c r="B535" s="1">
        <v>46068.041435185187</v>
      </c>
      <c r="C535" s="2" t="s">
        <v>22</v>
      </c>
      <c r="D535" t="s">
        <v>19</v>
      </c>
      <c r="E535">
        <v>132811</v>
      </c>
      <c r="F535" t="s">
        <v>14</v>
      </c>
      <c r="G535" t="s">
        <v>58</v>
      </c>
      <c r="H535" t="s">
        <v>16</v>
      </c>
      <c r="I535">
        <v>5</v>
      </c>
      <c r="J535">
        <v>0</v>
      </c>
      <c r="K535">
        <v>5</v>
      </c>
    </row>
    <row r="536" spans="1:11" x14ac:dyDescent="0.25">
      <c r="A536" t="s">
        <v>576</v>
      </c>
      <c r="B536" s="1">
        <v>45874.522326388891</v>
      </c>
      <c r="C536" s="2" t="s">
        <v>18</v>
      </c>
      <c r="D536" t="s">
        <v>13</v>
      </c>
      <c r="E536">
        <v>134000</v>
      </c>
      <c r="F536" t="s">
        <v>14</v>
      </c>
      <c r="G536" t="s">
        <v>34</v>
      </c>
      <c r="H536" t="s">
        <v>16</v>
      </c>
      <c r="I536">
        <v>2479</v>
      </c>
      <c r="J536">
        <v>991.6</v>
      </c>
      <c r="K536">
        <v>1487.4</v>
      </c>
    </row>
    <row r="537" spans="1:11" x14ac:dyDescent="0.25">
      <c r="A537" t="s">
        <v>577</v>
      </c>
      <c r="B537" s="1">
        <v>45842.653553240743</v>
      </c>
      <c r="C537" s="2" t="s">
        <v>41</v>
      </c>
      <c r="D537" t="s">
        <v>45</v>
      </c>
      <c r="E537">
        <v>29782</v>
      </c>
      <c r="F537" t="s">
        <v>14</v>
      </c>
      <c r="G537" t="s">
        <v>34</v>
      </c>
      <c r="H537" t="s">
        <v>46</v>
      </c>
      <c r="I537">
        <v>297.82</v>
      </c>
      <c r="J537">
        <v>0</v>
      </c>
      <c r="K537">
        <v>297.82</v>
      </c>
    </row>
    <row r="538" spans="1:11" x14ac:dyDescent="0.25">
      <c r="A538" t="s">
        <v>578</v>
      </c>
      <c r="B538" s="1">
        <v>45900.832812499997</v>
      </c>
      <c r="C538" s="2" t="s">
        <v>22</v>
      </c>
      <c r="D538" t="s">
        <v>19</v>
      </c>
      <c r="E538">
        <v>120026</v>
      </c>
      <c r="F538" t="s">
        <v>14</v>
      </c>
      <c r="G538" t="s">
        <v>24</v>
      </c>
      <c r="H538" t="s">
        <v>16</v>
      </c>
      <c r="I538">
        <v>5</v>
      </c>
      <c r="J538">
        <v>0</v>
      </c>
      <c r="K538">
        <v>5</v>
      </c>
    </row>
    <row r="539" spans="1:11" x14ac:dyDescent="0.25">
      <c r="A539" t="s">
        <v>579</v>
      </c>
      <c r="B539" s="1">
        <v>45826.038900462961</v>
      </c>
      <c r="C539" s="2" t="s">
        <v>12</v>
      </c>
      <c r="D539" t="s">
        <v>45</v>
      </c>
      <c r="E539">
        <v>23014</v>
      </c>
      <c r="F539" t="s">
        <v>14</v>
      </c>
      <c r="G539" t="s">
        <v>58</v>
      </c>
      <c r="H539" t="s">
        <v>71</v>
      </c>
      <c r="I539">
        <v>230.14</v>
      </c>
      <c r="J539">
        <v>0</v>
      </c>
      <c r="K539">
        <v>230.14</v>
      </c>
    </row>
    <row r="540" spans="1:11" x14ac:dyDescent="0.25">
      <c r="A540" t="s">
        <v>580</v>
      </c>
      <c r="B540" s="1">
        <v>46076.208252314813</v>
      </c>
      <c r="C540" s="2" t="s">
        <v>26</v>
      </c>
      <c r="D540" t="s">
        <v>23</v>
      </c>
      <c r="E540">
        <v>3434</v>
      </c>
      <c r="F540" t="s">
        <v>14</v>
      </c>
      <c r="G540" t="s">
        <v>34</v>
      </c>
      <c r="H540" t="s">
        <v>16</v>
      </c>
      <c r="I540">
        <v>0</v>
      </c>
      <c r="J540">
        <v>0</v>
      </c>
      <c r="K540">
        <v>0</v>
      </c>
    </row>
    <row r="541" spans="1:11" x14ac:dyDescent="0.25">
      <c r="A541" t="s">
        <v>581</v>
      </c>
      <c r="B541" s="1">
        <v>45924.075509259259</v>
      </c>
      <c r="C541" s="2" t="s">
        <v>26</v>
      </c>
      <c r="D541" t="s">
        <v>13</v>
      </c>
      <c r="E541">
        <v>36000</v>
      </c>
      <c r="F541" t="s">
        <v>14</v>
      </c>
      <c r="G541" t="s">
        <v>51</v>
      </c>
      <c r="H541" t="s">
        <v>16</v>
      </c>
      <c r="I541">
        <v>666</v>
      </c>
      <c r="J541">
        <v>266.39999999999998</v>
      </c>
      <c r="K541">
        <v>399.6</v>
      </c>
    </row>
    <row r="542" spans="1:11" x14ac:dyDescent="0.25">
      <c r="A542" t="s">
        <v>582</v>
      </c>
      <c r="B542" s="1">
        <v>45903.812974537039</v>
      </c>
      <c r="C542" s="2" t="s">
        <v>18</v>
      </c>
      <c r="D542" t="s">
        <v>45</v>
      </c>
      <c r="E542">
        <v>47719</v>
      </c>
      <c r="F542" t="s">
        <v>14</v>
      </c>
      <c r="G542" t="s">
        <v>24</v>
      </c>
      <c r="H542" t="s">
        <v>59</v>
      </c>
      <c r="I542">
        <v>477.19</v>
      </c>
      <c r="J542">
        <v>0</v>
      </c>
      <c r="K542">
        <v>477.19</v>
      </c>
    </row>
    <row r="543" spans="1:11" x14ac:dyDescent="0.25">
      <c r="A543" t="s">
        <v>583</v>
      </c>
      <c r="B543" s="1">
        <v>46047.738541666666</v>
      </c>
      <c r="C543" s="2" t="s">
        <v>26</v>
      </c>
      <c r="D543" t="s">
        <v>23</v>
      </c>
      <c r="E543">
        <v>4671</v>
      </c>
      <c r="F543" t="s">
        <v>14</v>
      </c>
      <c r="G543" t="s">
        <v>30</v>
      </c>
      <c r="H543" t="s">
        <v>16</v>
      </c>
      <c r="I543">
        <v>0</v>
      </c>
      <c r="J543">
        <v>0</v>
      </c>
      <c r="K543">
        <v>0</v>
      </c>
    </row>
    <row r="544" spans="1:11" x14ac:dyDescent="0.25">
      <c r="A544" t="s">
        <v>584</v>
      </c>
      <c r="B544" s="1">
        <v>45808.366296296299</v>
      </c>
      <c r="C544" s="2" t="s">
        <v>39</v>
      </c>
      <c r="D544" t="s">
        <v>23</v>
      </c>
      <c r="E544">
        <v>4873</v>
      </c>
      <c r="F544" t="s">
        <v>14</v>
      </c>
      <c r="G544" t="s">
        <v>15</v>
      </c>
      <c r="H544" t="s">
        <v>16</v>
      </c>
      <c r="I544">
        <v>0</v>
      </c>
      <c r="J544">
        <v>0</v>
      </c>
      <c r="K544">
        <v>0</v>
      </c>
    </row>
    <row r="545" spans="1:11" x14ac:dyDescent="0.25">
      <c r="A545" t="s">
        <v>585</v>
      </c>
      <c r="B545" s="1">
        <v>45917.086458333331</v>
      </c>
      <c r="C545" s="2" t="s">
        <v>18</v>
      </c>
      <c r="D545" t="s">
        <v>33</v>
      </c>
      <c r="E545">
        <v>8378</v>
      </c>
      <c r="F545" t="s">
        <v>14</v>
      </c>
      <c r="G545" t="s">
        <v>34</v>
      </c>
      <c r="H545" t="s">
        <v>16</v>
      </c>
      <c r="I545">
        <v>0</v>
      </c>
      <c r="J545">
        <v>0</v>
      </c>
      <c r="K545">
        <v>0</v>
      </c>
    </row>
    <row r="546" spans="1:11" x14ac:dyDescent="0.25">
      <c r="A546" t="s">
        <v>586</v>
      </c>
      <c r="B546" s="1">
        <v>45856.64162037037</v>
      </c>
      <c r="C546" s="2" t="s">
        <v>32</v>
      </c>
      <c r="D546" t="s">
        <v>33</v>
      </c>
      <c r="E546">
        <v>114380</v>
      </c>
      <c r="F546" t="s">
        <v>50</v>
      </c>
      <c r="G546" t="s">
        <v>84</v>
      </c>
      <c r="H546" t="s">
        <v>16</v>
      </c>
      <c r="I546">
        <v>0</v>
      </c>
      <c r="J546">
        <v>0</v>
      </c>
      <c r="K546">
        <v>0</v>
      </c>
    </row>
    <row r="547" spans="1:11" x14ac:dyDescent="0.25">
      <c r="A547" t="s">
        <v>587</v>
      </c>
      <c r="B547" s="1">
        <v>45806.374583333331</v>
      </c>
      <c r="C547" s="2" t="s">
        <v>41</v>
      </c>
      <c r="D547" t="s">
        <v>45</v>
      </c>
      <c r="E547">
        <v>99727</v>
      </c>
      <c r="F547" t="s">
        <v>14</v>
      </c>
      <c r="G547" t="s">
        <v>51</v>
      </c>
      <c r="H547" t="s">
        <v>71</v>
      </c>
      <c r="I547">
        <v>997.27</v>
      </c>
      <c r="J547">
        <v>0</v>
      </c>
      <c r="K547">
        <v>997.27</v>
      </c>
    </row>
    <row r="548" spans="1:11" x14ac:dyDescent="0.25">
      <c r="A548" t="s">
        <v>588</v>
      </c>
      <c r="B548" s="1">
        <v>46023.115717592591</v>
      </c>
      <c r="C548" s="2" t="s">
        <v>39</v>
      </c>
      <c r="D548" t="s">
        <v>45</v>
      </c>
      <c r="E548">
        <v>83489</v>
      </c>
      <c r="F548" t="s">
        <v>14</v>
      </c>
      <c r="G548" t="s">
        <v>30</v>
      </c>
      <c r="H548" t="s">
        <v>46</v>
      </c>
      <c r="I548">
        <v>834.89</v>
      </c>
      <c r="J548">
        <v>0</v>
      </c>
      <c r="K548">
        <v>834.89</v>
      </c>
    </row>
    <row r="549" spans="1:11" x14ac:dyDescent="0.25">
      <c r="A549" t="s">
        <v>589</v>
      </c>
      <c r="B549" s="1">
        <v>46134.608888888892</v>
      </c>
      <c r="C549" s="2" t="s">
        <v>29</v>
      </c>
      <c r="D549" t="s">
        <v>33</v>
      </c>
      <c r="E549">
        <v>108768</v>
      </c>
      <c r="F549" t="s">
        <v>14</v>
      </c>
      <c r="G549" t="s">
        <v>20</v>
      </c>
      <c r="H549" t="s">
        <v>16</v>
      </c>
      <c r="I549">
        <v>0</v>
      </c>
      <c r="J549">
        <v>0</v>
      </c>
      <c r="K549">
        <v>0</v>
      </c>
    </row>
    <row r="550" spans="1:11" x14ac:dyDescent="0.25">
      <c r="A550" t="s">
        <v>590</v>
      </c>
      <c r="B550" s="1">
        <v>46079.455833333333</v>
      </c>
      <c r="C550" s="2" t="s">
        <v>26</v>
      </c>
      <c r="D550" t="s">
        <v>13</v>
      </c>
      <c r="E550">
        <v>185000</v>
      </c>
      <c r="F550" t="s">
        <v>50</v>
      </c>
      <c r="G550" t="s">
        <v>27</v>
      </c>
      <c r="H550" t="s">
        <v>16</v>
      </c>
      <c r="I550">
        <v>3422.5</v>
      </c>
      <c r="J550">
        <v>1369</v>
      </c>
      <c r="K550">
        <v>2053.5</v>
      </c>
    </row>
    <row r="551" spans="1:11" x14ac:dyDescent="0.25">
      <c r="A551" t="s">
        <v>591</v>
      </c>
      <c r="B551" s="1">
        <v>45923.571296296293</v>
      </c>
      <c r="C551" s="2" t="s">
        <v>12</v>
      </c>
      <c r="D551" t="s">
        <v>13</v>
      </c>
      <c r="E551">
        <v>91000</v>
      </c>
      <c r="F551" t="s">
        <v>14</v>
      </c>
      <c r="G551" t="s">
        <v>20</v>
      </c>
      <c r="H551" t="s">
        <v>16</v>
      </c>
      <c r="I551">
        <v>1683.5</v>
      </c>
      <c r="J551">
        <v>673.4</v>
      </c>
      <c r="K551">
        <v>1010.1</v>
      </c>
    </row>
    <row r="552" spans="1:11" x14ac:dyDescent="0.25">
      <c r="A552" t="s">
        <v>592</v>
      </c>
      <c r="B552" s="1">
        <v>45970.292314814818</v>
      </c>
      <c r="C552" s="2" t="s">
        <v>41</v>
      </c>
      <c r="D552" t="s">
        <v>45</v>
      </c>
      <c r="E552">
        <v>65083</v>
      </c>
      <c r="F552" t="s">
        <v>14</v>
      </c>
      <c r="G552" t="s">
        <v>34</v>
      </c>
      <c r="H552" t="s">
        <v>178</v>
      </c>
      <c r="I552">
        <v>650.83000000000004</v>
      </c>
      <c r="J552">
        <v>0</v>
      </c>
      <c r="K552">
        <v>650.83000000000004</v>
      </c>
    </row>
    <row r="553" spans="1:11" x14ac:dyDescent="0.25">
      <c r="A553" t="s">
        <v>593</v>
      </c>
      <c r="B553" s="1">
        <v>46005.851875</v>
      </c>
      <c r="C553" s="2" t="s">
        <v>41</v>
      </c>
      <c r="D553" t="s">
        <v>45</v>
      </c>
      <c r="E553">
        <v>55087</v>
      </c>
      <c r="F553" t="s">
        <v>14</v>
      </c>
      <c r="G553" t="s">
        <v>24</v>
      </c>
      <c r="H553" t="s">
        <v>46</v>
      </c>
      <c r="I553">
        <v>550.87</v>
      </c>
      <c r="J553">
        <v>0</v>
      </c>
      <c r="K553">
        <v>550.87</v>
      </c>
    </row>
    <row r="554" spans="1:11" x14ac:dyDescent="0.25">
      <c r="A554" t="s">
        <v>594</v>
      </c>
      <c r="B554" s="1">
        <v>46073.743043981478</v>
      </c>
      <c r="C554" s="2" t="s">
        <v>26</v>
      </c>
      <c r="D554" t="s">
        <v>23</v>
      </c>
      <c r="E554">
        <v>1422</v>
      </c>
      <c r="F554" t="s">
        <v>14</v>
      </c>
      <c r="G554" t="s">
        <v>34</v>
      </c>
      <c r="H554" t="s">
        <v>16</v>
      </c>
      <c r="I554">
        <v>0</v>
      </c>
      <c r="J554">
        <v>0</v>
      </c>
      <c r="K554">
        <v>0</v>
      </c>
    </row>
    <row r="555" spans="1:11" x14ac:dyDescent="0.25">
      <c r="A555" t="s">
        <v>595</v>
      </c>
      <c r="B555" s="1">
        <v>45999.306319444448</v>
      </c>
      <c r="C555" s="2" t="s">
        <v>39</v>
      </c>
      <c r="D555" t="s">
        <v>45</v>
      </c>
      <c r="E555">
        <v>15179</v>
      </c>
      <c r="F555" t="s">
        <v>14</v>
      </c>
      <c r="G555" t="s">
        <v>51</v>
      </c>
      <c r="H555" t="s">
        <v>71</v>
      </c>
      <c r="I555">
        <v>151.79</v>
      </c>
      <c r="J555">
        <v>0</v>
      </c>
      <c r="K555">
        <v>151.79</v>
      </c>
    </row>
    <row r="556" spans="1:11" x14ac:dyDescent="0.25">
      <c r="A556" t="s">
        <v>596</v>
      </c>
      <c r="B556" s="1">
        <v>46042.62771990741</v>
      </c>
      <c r="C556" s="2" t="s">
        <v>22</v>
      </c>
      <c r="D556" t="s">
        <v>45</v>
      </c>
      <c r="E556">
        <v>44248</v>
      </c>
      <c r="F556" t="s">
        <v>14</v>
      </c>
      <c r="G556" t="s">
        <v>24</v>
      </c>
      <c r="H556" t="s">
        <v>59</v>
      </c>
      <c r="I556">
        <v>442.48</v>
      </c>
      <c r="J556">
        <v>0</v>
      </c>
      <c r="K556">
        <v>442.48</v>
      </c>
    </row>
    <row r="557" spans="1:11" x14ac:dyDescent="0.25">
      <c r="A557" t="s">
        <v>597</v>
      </c>
      <c r="B557" s="1">
        <v>45973.164837962962</v>
      </c>
      <c r="C557" s="2" t="s">
        <v>29</v>
      </c>
      <c r="D557" t="s">
        <v>23</v>
      </c>
      <c r="E557">
        <v>1101</v>
      </c>
      <c r="F557" t="s">
        <v>14</v>
      </c>
      <c r="G557" t="s">
        <v>15</v>
      </c>
      <c r="H557" t="s">
        <v>16</v>
      </c>
      <c r="I557">
        <v>0</v>
      </c>
      <c r="J557">
        <v>0</v>
      </c>
      <c r="K557">
        <v>0</v>
      </c>
    </row>
    <row r="558" spans="1:11" x14ac:dyDescent="0.25">
      <c r="A558" t="s">
        <v>598</v>
      </c>
      <c r="B558" s="1">
        <v>45966.849351851852</v>
      </c>
      <c r="C558" s="2" t="s">
        <v>26</v>
      </c>
      <c r="D558" t="s">
        <v>45</v>
      </c>
      <c r="E558">
        <v>17580</v>
      </c>
      <c r="F558" t="s">
        <v>14</v>
      </c>
      <c r="G558" t="s">
        <v>20</v>
      </c>
      <c r="H558" t="s">
        <v>59</v>
      </c>
      <c r="I558">
        <v>175.8</v>
      </c>
      <c r="J558">
        <v>0</v>
      </c>
      <c r="K558">
        <v>175.8</v>
      </c>
    </row>
    <row r="559" spans="1:11" x14ac:dyDescent="0.25">
      <c r="A559" t="s">
        <v>599</v>
      </c>
      <c r="B559" s="1">
        <v>45875.272349537037</v>
      </c>
      <c r="C559" s="2" t="s">
        <v>32</v>
      </c>
      <c r="D559" t="s">
        <v>13</v>
      </c>
      <c r="E559">
        <v>136500</v>
      </c>
      <c r="F559" t="s">
        <v>50</v>
      </c>
      <c r="G559" t="s">
        <v>34</v>
      </c>
      <c r="H559" t="s">
        <v>16</v>
      </c>
      <c r="I559">
        <v>2525.25</v>
      </c>
      <c r="J559">
        <v>1010.1</v>
      </c>
      <c r="K559">
        <v>1515.15</v>
      </c>
    </row>
    <row r="560" spans="1:11" x14ac:dyDescent="0.25">
      <c r="A560" t="s">
        <v>600</v>
      </c>
      <c r="B560" s="1">
        <v>46038.271793981483</v>
      </c>
      <c r="C560" s="2" t="s">
        <v>12</v>
      </c>
      <c r="D560" t="s">
        <v>45</v>
      </c>
      <c r="E560">
        <v>68728</v>
      </c>
      <c r="F560" t="s">
        <v>14</v>
      </c>
      <c r="G560" t="s">
        <v>58</v>
      </c>
      <c r="H560" t="s">
        <v>71</v>
      </c>
      <c r="I560">
        <v>687.28</v>
      </c>
      <c r="J560">
        <v>0</v>
      </c>
      <c r="K560">
        <v>687.28</v>
      </c>
    </row>
    <row r="561" spans="1:11" x14ac:dyDescent="0.25">
      <c r="A561" t="s">
        <v>601</v>
      </c>
      <c r="B561" s="1">
        <v>45821.22729166667</v>
      </c>
      <c r="C561" s="2" t="s">
        <v>12</v>
      </c>
      <c r="D561" t="s">
        <v>45</v>
      </c>
      <c r="E561">
        <v>112364</v>
      </c>
      <c r="F561" t="s">
        <v>14</v>
      </c>
      <c r="G561" t="s">
        <v>20</v>
      </c>
      <c r="H561" t="s">
        <v>59</v>
      </c>
      <c r="I561">
        <v>1123.6400000000001</v>
      </c>
      <c r="J561">
        <v>0</v>
      </c>
      <c r="K561">
        <v>1123.6400000000001</v>
      </c>
    </row>
    <row r="562" spans="1:11" x14ac:dyDescent="0.25">
      <c r="A562" t="s">
        <v>602</v>
      </c>
      <c r="B562" s="1">
        <v>45876.203344907408</v>
      </c>
      <c r="C562" s="2" t="s">
        <v>18</v>
      </c>
      <c r="D562" t="s">
        <v>13</v>
      </c>
      <c r="E562">
        <v>22500</v>
      </c>
      <c r="F562" t="s">
        <v>14</v>
      </c>
      <c r="G562" t="s">
        <v>24</v>
      </c>
      <c r="H562" t="s">
        <v>16</v>
      </c>
      <c r="I562">
        <v>416.25</v>
      </c>
      <c r="J562">
        <v>166.5</v>
      </c>
      <c r="K562">
        <v>249.75</v>
      </c>
    </row>
    <row r="563" spans="1:11" x14ac:dyDescent="0.25">
      <c r="A563" t="s">
        <v>603</v>
      </c>
      <c r="B563" s="1">
        <v>46016.314097222225</v>
      </c>
      <c r="C563" s="2" t="s">
        <v>41</v>
      </c>
      <c r="D563" t="s">
        <v>19</v>
      </c>
      <c r="E563">
        <v>20825</v>
      </c>
      <c r="F563" t="s">
        <v>50</v>
      </c>
      <c r="G563" t="s">
        <v>84</v>
      </c>
      <c r="H563" t="s">
        <v>16</v>
      </c>
      <c r="I563">
        <v>5</v>
      </c>
      <c r="J563">
        <v>0</v>
      </c>
      <c r="K563">
        <v>5</v>
      </c>
    </row>
    <row r="564" spans="1:11" x14ac:dyDescent="0.25">
      <c r="A564" t="s">
        <v>604</v>
      </c>
      <c r="B564" s="1">
        <v>45875.354664351849</v>
      </c>
      <c r="C564" s="2" t="s">
        <v>22</v>
      </c>
      <c r="D564" t="s">
        <v>33</v>
      </c>
      <c r="E564">
        <v>93727</v>
      </c>
      <c r="F564" t="s">
        <v>14</v>
      </c>
      <c r="G564" t="s">
        <v>34</v>
      </c>
      <c r="H564" t="s">
        <v>16</v>
      </c>
      <c r="I564">
        <v>0</v>
      </c>
      <c r="J564">
        <v>0</v>
      </c>
      <c r="K564">
        <v>0</v>
      </c>
    </row>
    <row r="565" spans="1:11" x14ac:dyDescent="0.25">
      <c r="A565" t="s">
        <v>605</v>
      </c>
      <c r="B565" s="1">
        <v>46036.431354166663</v>
      </c>
      <c r="C565" s="2" t="s">
        <v>12</v>
      </c>
      <c r="D565" t="s">
        <v>19</v>
      </c>
      <c r="E565">
        <v>42035</v>
      </c>
      <c r="F565" t="s">
        <v>14</v>
      </c>
      <c r="G565" t="s">
        <v>84</v>
      </c>
      <c r="H565" t="s">
        <v>16</v>
      </c>
      <c r="I565">
        <v>5</v>
      </c>
      <c r="J565">
        <v>0</v>
      </c>
      <c r="K565">
        <v>5</v>
      </c>
    </row>
    <row r="566" spans="1:11" x14ac:dyDescent="0.25">
      <c r="A566" t="s">
        <v>606</v>
      </c>
      <c r="B566" s="1">
        <v>45931.565150462964</v>
      </c>
      <c r="C566" s="2" t="s">
        <v>32</v>
      </c>
      <c r="D566" t="s">
        <v>33</v>
      </c>
      <c r="E566">
        <v>10279</v>
      </c>
      <c r="F566" t="s">
        <v>14</v>
      </c>
      <c r="G566" t="s">
        <v>24</v>
      </c>
      <c r="H566" t="s">
        <v>16</v>
      </c>
      <c r="I566">
        <v>0</v>
      </c>
      <c r="J566">
        <v>0</v>
      </c>
      <c r="K566">
        <v>0</v>
      </c>
    </row>
    <row r="567" spans="1:11" x14ac:dyDescent="0.25">
      <c r="A567" t="s">
        <v>607</v>
      </c>
      <c r="B567" s="1">
        <v>46120.320810185185</v>
      </c>
      <c r="C567" s="2" t="s">
        <v>26</v>
      </c>
      <c r="D567" t="s">
        <v>13</v>
      </c>
      <c r="E567">
        <v>64500</v>
      </c>
      <c r="F567" t="s">
        <v>14</v>
      </c>
      <c r="G567" t="s">
        <v>34</v>
      </c>
      <c r="H567" t="s">
        <v>16</v>
      </c>
      <c r="I567">
        <v>1193.25</v>
      </c>
      <c r="J567">
        <v>477.3</v>
      </c>
      <c r="K567">
        <v>715.95</v>
      </c>
    </row>
    <row r="568" spans="1:11" x14ac:dyDescent="0.25">
      <c r="A568" t="s">
        <v>608</v>
      </c>
      <c r="B568" s="1">
        <v>46096.018761574072</v>
      </c>
      <c r="C568" s="2" t="s">
        <v>29</v>
      </c>
      <c r="D568" t="s">
        <v>45</v>
      </c>
      <c r="E568">
        <v>69655</v>
      </c>
      <c r="F568" t="s">
        <v>14</v>
      </c>
      <c r="G568" t="s">
        <v>34</v>
      </c>
      <c r="H568" t="s">
        <v>56</v>
      </c>
      <c r="I568">
        <v>696.55</v>
      </c>
      <c r="J568">
        <v>0</v>
      </c>
      <c r="K568">
        <v>696.55</v>
      </c>
    </row>
    <row r="569" spans="1:11" x14ac:dyDescent="0.25">
      <c r="A569" t="s">
        <v>609</v>
      </c>
      <c r="B569" s="1">
        <v>45802.475613425922</v>
      </c>
      <c r="C569" s="2" t="s">
        <v>26</v>
      </c>
      <c r="D569" t="s">
        <v>23</v>
      </c>
      <c r="E569">
        <v>2726</v>
      </c>
      <c r="F569" t="s">
        <v>14</v>
      </c>
      <c r="G569" t="s">
        <v>15</v>
      </c>
      <c r="H569" t="s">
        <v>16</v>
      </c>
      <c r="I569">
        <v>0</v>
      </c>
      <c r="J569">
        <v>0</v>
      </c>
      <c r="K569">
        <v>0</v>
      </c>
    </row>
    <row r="570" spans="1:11" x14ac:dyDescent="0.25">
      <c r="A570" t="s">
        <v>610</v>
      </c>
      <c r="B570" s="1">
        <v>45852.550208333334</v>
      </c>
      <c r="C570" s="2" t="s">
        <v>41</v>
      </c>
      <c r="D570" t="s">
        <v>23</v>
      </c>
      <c r="E570">
        <v>2869</v>
      </c>
      <c r="F570" t="s">
        <v>50</v>
      </c>
      <c r="G570" t="s">
        <v>58</v>
      </c>
      <c r="H570" t="s">
        <v>16</v>
      </c>
      <c r="I570">
        <v>0</v>
      </c>
      <c r="J570">
        <v>0</v>
      </c>
      <c r="K570">
        <v>0</v>
      </c>
    </row>
    <row r="571" spans="1:11" x14ac:dyDescent="0.25">
      <c r="A571" t="s">
        <v>611</v>
      </c>
      <c r="B571" s="1">
        <v>45951.281215277777</v>
      </c>
      <c r="C571" s="2" t="s">
        <v>32</v>
      </c>
      <c r="D571" t="s">
        <v>33</v>
      </c>
      <c r="E571">
        <v>51168</v>
      </c>
      <c r="F571" t="s">
        <v>14</v>
      </c>
      <c r="G571" t="s">
        <v>58</v>
      </c>
      <c r="H571" t="s">
        <v>16</v>
      </c>
      <c r="I571">
        <v>0</v>
      </c>
      <c r="J571">
        <v>0</v>
      </c>
      <c r="K571">
        <v>0</v>
      </c>
    </row>
    <row r="572" spans="1:11" x14ac:dyDescent="0.25">
      <c r="A572" t="s">
        <v>612</v>
      </c>
      <c r="B572" s="1">
        <v>45999.756782407407</v>
      </c>
      <c r="C572" s="2" t="s">
        <v>12</v>
      </c>
      <c r="D572" t="s">
        <v>33</v>
      </c>
      <c r="E572">
        <v>44464</v>
      </c>
      <c r="F572" t="s">
        <v>14</v>
      </c>
      <c r="G572" t="s">
        <v>27</v>
      </c>
      <c r="H572" t="s">
        <v>16</v>
      </c>
      <c r="I572">
        <v>0</v>
      </c>
      <c r="J572">
        <v>0</v>
      </c>
      <c r="K572">
        <v>0</v>
      </c>
    </row>
    <row r="573" spans="1:11" x14ac:dyDescent="0.25">
      <c r="A573" t="s">
        <v>613</v>
      </c>
      <c r="B573" s="1">
        <v>45991.86991898148</v>
      </c>
      <c r="C573" s="2" t="s">
        <v>39</v>
      </c>
      <c r="D573" t="s">
        <v>19</v>
      </c>
      <c r="E573">
        <v>70879</v>
      </c>
      <c r="F573" t="s">
        <v>14</v>
      </c>
      <c r="G573" t="s">
        <v>51</v>
      </c>
      <c r="H573" t="s">
        <v>16</v>
      </c>
      <c r="I573">
        <v>5</v>
      </c>
      <c r="J573">
        <v>0</v>
      </c>
      <c r="K573">
        <v>5</v>
      </c>
    </row>
    <row r="574" spans="1:11" x14ac:dyDescent="0.25">
      <c r="A574" t="s">
        <v>614</v>
      </c>
      <c r="B574" s="1">
        <v>45890.808321759258</v>
      </c>
      <c r="C574" s="2" t="s">
        <v>39</v>
      </c>
      <c r="D574" t="s">
        <v>13</v>
      </c>
      <c r="E574">
        <v>192500</v>
      </c>
      <c r="F574" t="s">
        <v>14</v>
      </c>
      <c r="G574" t="s">
        <v>27</v>
      </c>
      <c r="H574" t="s">
        <v>16</v>
      </c>
      <c r="I574">
        <v>3561.25</v>
      </c>
      <c r="J574">
        <v>1424.5</v>
      </c>
      <c r="K574">
        <v>2136.75</v>
      </c>
    </row>
    <row r="575" spans="1:11" x14ac:dyDescent="0.25">
      <c r="A575" t="s">
        <v>615</v>
      </c>
      <c r="B575" s="1">
        <v>46087.451516203706</v>
      </c>
      <c r="C575" s="2" t="s">
        <v>41</v>
      </c>
      <c r="D575" t="s">
        <v>13</v>
      </c>
      <c r="E575">
        <v>115000</v>
      </c>
      <c r="F575" t="s">
        <v>14</v>
      </c>
      <c r="G575" t="s">
        <v>27</v>
      </c>
      <c r="H575" t="s">
        <v>16</v>
      </c>
      <c r="I575">
        <v>2127.5</v>
      </c>
      <c r="J575">
        <v>851</v>
      </c>
      <c r="K575">
        <v>1276.5</v>
      </c>
    </row>
    <row r="576" spans="1:11" x14ac:dyDescent="0.25">
      <c r="A576" t="s">
        <v>616</v>
      </c>
      <c r="B576" s="1">
        <v>46082.718124999999</v>
      </c>
      <c r="C576" s="2" t="s">
        <v>12</v>
      </c>
      <c r="D576" t="s">
        <v>45</v>
      </c>
      <c r="E576">
        <v>31004</v>
      </c>
      <c r="F576" t="s">
        <v>14</v>
      </c>
      <c r="G576" t="s">
        <v>84</v>
      </c>
      <c r="H576" t="s">
        <v>46</v>
      </c>
      <c r="I576">
        <v>310.04000000000002</v>
      </c>
      <c r="J576">
        <v>0</v>
      </c>
      <c r="K576">
        <v>310.04000000000002</v>
      </c>
    </row>
    <row r="577" spans="1:11" x14ac:dyDescent="0.25">
      <c r="A577" t="s">
        <v>617</v>
      </c>
      <c r="B577" s="1">
        <v>45814.390925925924</v>
      </c>
      <c r="C577" s="2" t="s">
        <v>18</v>
      </c>
      <c r="D577" t="s">
        <v>45</v>
      </c>
      <c r="E577">
        <v>148436</v>
      </c>
      <c r="F577" t="s">
        <v>14</v>
      </c>
      <c r="G577" t="s">
        <v>20</v>
      </c>
      <c r="H577" t="s">
        <v>71</v>
      </c>
      <c r="I577">
        <v>1484.36</v>
      </c>
      <c r="J577">
        <v>0</v>
      </c>
      <c r="K577">
        <v>1484.36</v>
      </c>
    </row>
    <row r="578" spans="1:11" x14ac:dyDescent="0.25">
      <c r="A578" t="s">
        <v>618</v>
      </c>
      <c r="B578" s="1">
        <v>45946.270960648151</v>
      </c>
      <c r="C578" s="2" t="s">
        <v>26</v>
      </c>
      <c r="D578" t="s">
        <v>23</v>
      </c>
      <c r="E578">
        <v>589</v>
      </c>
      <c r="F578" t="s">
        <v>14</v>
      </c>
      <c r="G578" t="s">
        <v>34</v>
      </c>
      <c r="H578" t="s">
        <v>16</v>
      </c>
      <c r="I578">
        <v>0</v>
      </c>
      <c r="J578">
        <v>0</v>
      </c>
      <c r="K578">
        <v>0</v>
      </c>
    </row>
    <row r="579" spans="1:11" x14ac:dyDescent="0.25">
      <c r="A579" t="s">
        <v>619</v>
      </c>
      <c r="B579" s="1">
        <v>46086.414722222224</v>
      </c>
      <c r="C579" s="2" t="s">
        <v>29</v>
      </c>
      <c r="D579" t="s">
        <v>23</v>
      </c>
      <c r="E579">
        <v>3611</v>
      </c>
      <c r="F579" t="s">
        <v>14</v>
      </c>
      <c r="G579" t="s">
        <v>27</v>
      </c>
      <c r="H579" t="s">
        <v>16</v>
      </c>
      <c r="I579">
        <v>0</v>
      </c>
      <c r="J579">
        <v>0</v>
      </c>
      <c r="K579">
        <v>0</v>
      </c>
    </row>
    <row r="580" spans="1:11" x14ac:dyDescent="0.25">
      <c r="A580" t="s">
        <v>620</v>
      </c>
      <c r="B580" s="1">
        <v>45998.547337962962</v>
      </c>
      <c r="C580" s="2" t="s">
        <v>39</v>
      </c>
      <c r="D580" t="s">
        <v>23</v>
      </c>
      <c r="E580">
        <v>1509</v>
      </c>
      <c r="F580" t="s">
        <v>14</v>
      </c>
      <c r="G580" t="s">
        <v>20</v>
      </c>
      <c r="H580" t="s">
        <v>16</v>
      </c>
      <c r="I580">
        <v>0</v>
      </c>
      <c r="J580">
        <v>0</v>
      </c>
      <c r="K580">
        <v>0</v>
      </c>
    </row>
    <row r="581" spans="1:11" x14ac:dyDescent="0.25">
      <c r="A581" t="s">
        <v>621</v>
      </c>
      <c r="B581" s="1">
        <v>45950.942384259259</v>
      </c>
      <c r="C581" s="2" t="s">
        <v>12</v>
      </c>
      <c r="D581" t="s">
        <v>45</v>
      </c>
      <c r="E581">
        <v>144831</v>
      </c>
      <c r="F581" t="s">
        <v>14</v>
      </c>
      <c r="G581" t="s">
        <v>34</v>
      </c>
      <c r="H581" t="s">
        <v>71</v>
      </c>
      <c r="I581">
        <v>1448.31</v>
      </c>
      <c r="J581">
        <v>0</v>
      </c>
      <c r="K581">
        <v>1448.31</v>
      </c>
    </row>
    <row r="582" spans="1:11" x14ac:dyDescent="0.25">
      <c r="A582" t="s">
        <v>622</v>
      </c>
      <c r="B582" s="1">
        <v>45907.218958333331</v>
      </c>
      <c r="C582" s="2" t="s">
        <v>32</v>
      </c>
      <c r="D582" t="s">
        <v>13</v>
      </c>
      <c r="E582">
        <v>227500</v>
      </c>
      <c r="F582" t="s">
        <v>14</v>
      </c>
      <c r="G582" t="s">
        <v>15</v>
      </c>
      <c r="H582" t="s">
        <v>16</v>
      </c>
      <c r="I582">
        <v>4208.75</v>
      </c>
      <c r="J582">
        <v>1683.5</v>
      </c>
      <c r="K582">
        <v>2525.25</v>
      </c>
    </row>
    <row r="583" spans="1:11" x14ac:dyDescent="0.25">
      <c r="A583" t="s">
        <v>623</v>
      </c>
      <c r="B583" s="1">
        <v>45875.084351851852</v>
      </c>
      <c r="C583" s="2" t="s">
        <v>29</v>
      </c>
      <c r="D583" t="s">
        <v>45</v>
      </c>
      <c r="E583">
        <v>26051</v>
      </c>
      <c r="F583" t="s">
        <v>14</v>
      </c>
      <c r="G583" t="s">
        <v>51</v>
      </c>
      <c r="H583" t="s">
        <v>71</v>
      </c>
      <c r="I583">
        <v>260.51</v>
      </c>
      <c r="J583">
        <v>0</v>
      </c>
      <c r="K583">
        <v>260.51</v>
      </c>
    </row>
    <row r="584" spans="1:11" x14ac:dyDescent="0.25">
      <c r="A584" t="s">
        <v>624</v>
      </c>
      <c r="B584" s="1">
        <v>45780.867326388892</v>
      </c>
      <c r="C584" s="2" t="s">
        <v>41</v>
      </c>
      <c r="D584" t="s">
        <v>33</v>
      </c>
      <c r="E584">
        <v>50494</v>
      </c>
      <c r="F584" t="s">
        <v>50</v>
      </c>
      <c r="G584" t="s">
        <v>27</v>
      </c>
      <c r="H584" t="s">
        <v>16</v>
      </c>
      <c r="I584">
        <v>0</v>
      </c>
      <c r="J584">
        <v>0</v>
      </c>
      <c r="K584">
        <v>0</v>
      </c>
    </row>
    <row r="585" spans="1:11" x14ac:dyDescent="0.25">
      <c r="A585" t="s">
        <v>625</v>
      </c>
      <c r="B585" s="1">
        <v>45878.292361111111</v>
      </c>
      <c r="C585" s="2" t="s">
        <v>29</v>
      </c>
      <c r="D585" t="s">
        <v>13</v>
      </c>
      <c r="E585">
        <v>248500</v>
      </c>
      <c r="F585" t="s">
        <v>14</v>
      </c>
      <c r="G585" t="s">
        <v>34</v>
      </c>
      <c r="H585" t="s">
        <v>16</v>
      </c>
      <c r="I585">
        <v>4597.25</v>
      </c>
      <c r="J585">
        <v>1838.9</v>
      </c>
      <c r="K585">
        <v>2758.35</v>
      </c>
    </row>
    <row r="586" spans="1:11" x14ac:dyDescent="0.25">
      <c r="A586" t="s">
        <v>626</v>
      </c>
      <c r="B586" s="1">
        <v>45865.481689814813</v>
      </c>
      <c r="C586" s="2" t="s">
        <v>39</v>
      </c>
      <c r="D586" t="s">
        <v>13</v>
      </c>
      <c r="E586">
        <v>249000</v>
      </c>
      <c r="F586" t="s">
        <v>50</v>
      </c>
      <c r="G586" t="s">
        <v>34</v>
      </c>
      <c r="H586" t="s">
        <v>16</v>
      </c>
      <c r="I586">
        <v>4606.5</v>
      </c>
      <c r="J586">
        <v>1842.6</v>
      </c>
      <c r="K586">
        <v>2763.9</v>
      </c>
    </row>
    <row r="587" spans="1:11" x14ac:dyDescent="0.25">
      <c r="A587" t="s">
        <v>627</v>
      </c>
      <c r="B587" s="1">
        <v>45974.650960648149</v>
      </c>
      <c r="C587" s="2" t="s">
        <v>39</v>
      </c>
      <c r="D587" t="s">
        <v>23</v>
      </c>
      <c r="E587">
        <v>945</v>
      </c>
      <c r="F587" t="s">
        <v>14</v>
      </c>
      <c r="G587" t="s">
        <v>84</v>
      </c>
      <c r="H587" t="s">
        <v>16</v>
      </c>
      <c r="I587">
        <v>0</v>
      </c>
      <c r="J587">
        <v>0</v>
      </c>
      <c r="K587">
        <v>0</v>
      </c>
    </row>
    <row r="588" spans="1:11" x14ac:dyDescent="0.25">
      <c r="A588" t="s">
        <v>628</v>
      </c>
      <c r="B588" s="1">
        <v>46083.899780092594</v>
      </c>
      <c r="C588" s="2" t="s">
        <v>41</v>
      </c>
      <c r="D588" t="s">
        <v>23</v>
      </c>
      <c r="E588">
        <v>3608</v>
      </c>
      <c r="F588" t="s">
        <v>99</v>
      </c>
      <c r="G588" t="s">
        <v>84</v>
      </c>
      <c r="H588" t="s">
        <v>16</v>
      </c>
      <c r="I588">
        <v>0</v>
      </c>
      <c r="J588">
        <v>0</v>
      </c>
      <c r="K588">
        <v>0</v>
      </c>
    </row>
    <row r="589" spans="1:11" x14ac:dyDescent="0.25">
      <c r="A589" t="s">
        <v>629</v>
      </c>
      <c r="B589" s="1">
        <v>46052.421817129631</v>
      </c>
      <c r="C589" s="2" t="s">
        <v>39</v>
      </c>
      <c r="D589" t="s">
        <v>33</v>
      </c>
      <c r="E589">
        <v>120025</v>
      </c>
      <c r="F589" t="s">
        <v>14</v>
      </c>
      <c r="G589" t="s">
        <v>15</v>
      </c>
      <c r="H589" t="s">
        <v>16</v>
      </c>
      <c r="I589">
        <v>0</v>
      </c>
      <c r="J589">
        <v>0</v>
      </c>
      <c r="K589">
        <v>0</v>
      </c>
    </row>
    <row r="590" spans="1:11" x14ac:dyDescent="0.25">
      <c r="A590" t="s">
        <v>630</v>
      </c>
      <c r="B590" s="1">
        <v>45813.588148148148</v>
      </c>
      <c r="C590" s="2" t="s">
        <v>18</v>
      </c>
      <c r="D590" t="s">
        <v>33</v>
      </c>
      <c r="E590">
        <v>6806</v>
      </c>
      <c r="F590" t="s">
        <v>14</v>
      </c>
      <c r="G590" t="s">
        <v>20</v>
      </c>
      <c r="H590" t="s">
        <v>16</v>
      </c>
      <c r="I590">
        <v>0</v>
      </c>
      <c r="J590">
        <v>0</v>
      </c>
      <c r="K590">
        <v>0</v>
      </c>
    </row>
    <row r="591" spans="1:11" x14ac:dyDescent="0.25">
      <c r="A591" t="s">
        <v>631</v>
      </c>
      <c r="B591" s="1">
        <v>46093.525706018518</v>
      </c>
      <c r="C591" s="2" t="s">
        <v>41</v>
      </c>
      <c r="D591" t="s">
        <v>45</v>
      </c>
      <c r="E591">
        <v>149373</v>
      </c>
      <c r="F591" t="s">
        <v>14</v>
      </c>
      <c r="G591" t="s">
        <v>34</v>
      </c>
      <c r="H591" t="s">
        <v>59</v>
      </c>
      <c r="I591">
        <v>1493.73</v>
      </c>
      <c r="J591">
        <v>0</v>
      </c>
      <c r="K591">
        <v>1493.73</v>
      </c>
    </row>
    <row r="592" spans="1:11" x14ac:dyDescent="0.25">
      <c r="A592" t="s">
        <v>632</v>
      </c>
      <c r="B592" s="1">
        <v>45997.759386574071</v>
      </c>
      <c r="C592" s="2" t="s">
        <v>39</v>
      </c>
      <c r="D592" t="s">
        <v>23</v>
      </c>
      <c r="E592">
        <v>1678</v>
      </c>
      <c r="F592" t="s">
        <v>14</v>
      </c>
      <c r="G592" t="s">
        <v>30</v>
      </c>
      <c r="H592" t="s">
        <v>16</v>
      </c>
      <c r="I592">
        <v>0</v>
      </c>
      <c r="J592">
        <v>0</v>
      </c>
      <c r="K592">
        <v>0</v>
      </c>
    </row>
    <row r="593" spans="1:11" x14ac:dyDescent="0.25">
      <c r="A593" t="s">
        <v>633</v>
      </c>
      <c r="B593" s="1">
        <v>46040.015381944446</v>
      </c>
      <c r="C593" s="2" t="s">
        <v>12</v>
      </c>
      <c r="D593" t="s">
        <v>23</v>
      </c>
      <c r="E593">
        <v>1361</v>
      </c>
      <c r="F593" t="s">
        <v>14</v>
      </c>
      <c r="G593" t="s">
        <v>84</v>
      </c>
      <c r="H593" t="s">
        <v>16</v>
      </c>
      <c r="I593">
        <v>0</v>
      </c>
      <c r="J593">
        <v>0</v>
      </c>
      <c r="K593">
        <v>0</v>
      </c>
    </row>
    <row r="594" spans="1:11" x14ac:dyDescent="0.25">
      <c r="A594" t="s">
        <v>634</v>
      </c>
      <c r="B594" s="1">
        <v>45851.415347222224</v>
      </c>
      <c r="C594" s="2" t="s">
        <v>22</v>
      </c>
      <c r="D594" t="s">
        <v>23</v>
      </c>
      <c r="E594">
        <v>2576</v>
      </c>
      <c r="F594" t="s">
        <v>14</v>
      </c>
      <c r="G594" t="s">
        <v>34</v>
      </c>
      <c r="H594" t="s">
        <v>16</v>
      </c>
      <c r="I594">
        <v>0</v>
      </c>
      <c r="J594">
        <v>0</v>
      </c>
      <c r="K594">
        <v>0</v>
      </c>
    </row>
    <row r="595" spans="1:11" x14ac:dyDescent="0.25">
      <c r="A595" t="s">
        <v>635</v>
      </c>
      <c r="B595" s="1">
        <v>46064.024097222224</v>
      </c>
      <c r="C595" s="2" t="s">
        <v>22</v>
      </c>
      <c r="D595" t="s">
        <v>45</v>
      </c>
      <c r="E595">
        <v>11781</v>
      </c>
      <c r="F595" t="s">
        <v>50</v>
      </c>
      <c r="G595" t="s">
        <v>15</v>
      </c>
      <c r="H595" t="s">
        <v>56</v>
      </c>
      <c r="I595">
        <v>117.81</v>
      </c>
      <c r="J595">
        <v>0</v>
      </c>
      <c r="K595">
        <v>117.81</v>
      </c>
    </row>
    <row r="596" spans="1:11" x14ac:dyDescent="0.25">
      <c r="A596" t="s">
        <v>636</v>
      </c>
      <c r="B596" s="1">
        <v>45961.396736111114</v>
      </c>
      <c r="C596" s="2" t="s">
        <v>18</v>
      </c>
      <c r="D596" t="s">
        <v>13</v>
      </c>
      <c r="E596">
        <v>27000</v>
      </c>
      <c r="F596" t="s">
        <v>14</v>
      </c>
      <c r="G596" t="s">
        <v>15</v>
      </c>
      <c r="H596" t="s">
        <v>16</v>
      </c>
      <c r="I596">
        <v>499.5</v>
      </c>
      <c r="J596">
        <v>199.8</v>
      </c>
      <c r="K596">
        <v>299.7</v>
      </c>
    </row>
    <row r="597" spans="1:11" x14ac:dyDescent="0.25">
      <c r="A597" t="s">
        <v>637</v>
      </c>
      <c r="B597" s="1">
        <v>45993.463935185187</v>
      </c>
      <c r="C597" s="2" t="s">
        <v>39</v>
      </c>
      <c r="D597" t="s">
        <v>33</v>
      </c>
      <c r="E597">
        <v>21410</v>
      </c>
      <c r="F597" t="s">
        <v>14</v>
      </c>
      <c r="G597" t="s">
        <v>34</v>
      </c>
      <c r="H597" t="s">
        <v>16</v>
      </c>
      <c r="I597">
        <v>0</v>
      </c>
      <c r="J597">
        <v>0</v>
      </c>
      <c r="K597">
        <v>0</v>
      </c>
    </row>
    <row r="598" spans="1:11" x14ac:dyDescent="0.25">
      <c r="A598" t="s">
        <v>638</v>
      </c>
      <c r="B598" s="1">
        <v>45854.44903935185</v>
      </c>
      <c r="C598" s="2" t="s">
        <v>29</v>
      </c>
      <c r="D598" t="s">
        <v>19</v>
      </c>
      <c r="E598">
        <v>48508</v>
      </c>
      <c r="F598" t="s">
        <v>14</v>
      </c>
      <c r="G598" t="s">
        <v>27</v>
      </c>
      <c r="H598" t="s">
        <v>16</v>
      </c>
      <c r="I598">
        <v>5</v>
      </c>
      <c r="J598">
        <v>0</v>
      </c>
      <c r="K598">
        <v>5</v>
      </c>
    </row>
    <row r="599" spans="1:11" x14ac:dyDescent="0.25">
      <c r="A599" t="s">
        <v>639</v>
      </c>
      <c r="B599" s="1">
        <v>45793.348611111112</v>
      </c>
      <c r="C599" s="2" t="s">
        <v>18</v>
      </c>
      <c r="D599" t="s">
        <v>13</v>
      </c>
      <c r="E599">
        <v>232000</v>
      </c>
      <c r="F599" t="s">
        <v>50</v>
      </c>
      <c r="G599" t="s">
        <v>24</v>
      </c>
      <c r="H599" t="s">
        <v>16</v>
      </c>
      <c r="I599">
        <v>4292</v>
      </c>
      <c r="J599">
        <v>1716.8</v>
      </c>
      <c r="K599">
        <v>2575.1999999999998</v>
      </c>
    </row>
    <row r="600" spans="1:11" x14ac:dyDescent="0.25">
      <c r="A600" t="s">
        <v>640</v>
      </c>
      <c r="B600" s="1">
        <v>45899.015057870369</v>
      </c>
      <c r="C600" s="2" t="s">
        <v>26</v>
      </c>
      <c r="D600" t="s">
        <v>45</v>
      </c>
      <c r="E600">
        <v>3249</v>
      </c>
      <c r="F600" t="s">
        <v>14</v>
      </c>
      <c r="G600" t="s">
        <v>27</v>
      </c>
      <c r="H600" t="s">
        <v>46</v>
      </c>
      <c r="I600">
        <v>32.49</v>
      </c>
      <c r="J600">
        <v>0</v>
      </c>
      <c r="K600">
        <v>32.49</v>
      </c>
    </row>
    <row r="601" spans="1:11" x14ac:dyDescent="0.25">
      <c r="A601" t="s">
        <v>641</v>
      </c>
      <c r="B601" s="1">
        <v>46134.856076388889</v>
      </c>
      <c r="C601" s="2" t="s">
        <v>22</v>
      </c>
      <c r="D601" t="s">
        <v>45</v>
      </c>
      <c r="E601">
        <v>41027</v>
      </c>
      <c r="F601" t="s">
        <v>14</v>
      </c>
      <c r="G601" t="s">
        <v>58</v>
      </c>
      <c r="H601" t="s">
        <v>56</v>
      </c>
      <c r="I601">
        <v>410.27</v>
      </c>
      <c r="J601">
        <v>0</v>
      </c>
      <c r="K601">
        <v>410.27</v>
      </c>
    </row>
    <row r="602" spans="1:11" x14ac:dyDescent="0.25">
      <c r="A602" t="s">
        <v>642</v>
      </c>
      <c r="B602" s="1">
        <v>46023.575833333336</v>
      </c>
      <c r="C602" s="2" t="s">
        <v>39</v>
      </c>
      <c r="D602" t="s">
        <v>23</v>
      </c>
      <c r="E602">
        <v>2783</v>
      </c>
      <c r="F602" t="s">
        <v>14</v>
      </c>
      <c r="G602" t="s">
        <v>51</v>
      </c>
      <c r="H602" t="s">
        <v>16</v>
      </c>
      <c r="I602">
        <v>0</v>
      </c>
      <c r="J602">
        <v>0</v>
      </c>
      <c r="K602">
        <v>0</v>
      </c>
    </row>
    <row r="603" spans="1:11" x14ac:dyDescent="0.25">
      <c r="A603" t="s">
        <v>643</v>
      </c>
      <c r="B603" s="1">
        <v>46105.334236111114</v>
      </c>
      <c r="C603" s="2" t="s">
        <v>29</v>
      </c>
      <c r="D603" t="s">
        <v>33</v>
      </c>
      <c r="E603">
        <v>133795</v>
      </c>
      <c r="F603" t="s">
        <v>14</v>
      </c>
      <c r="G603" t="s">
        <v>51</v>
      </c>
      <c r="H603" t="s">
        <v>16</v>
      </c>
      <c r="I603">
        <v>0</v>
      </c>
      <c r="J603">
        <v>0</v>
      </c>
      <c r="K603">
        <v>0</v>
      </c>
    </row>
    <row r="604" spans="1:11" x14ac:dyDescent="0.25">
      <c r="A604" t="s">
        <v>644</v>
      </c>
      <c r="B604" s="1">
        <v>46140.951643518521</v>
      </c>
      <c r="C604" s="2" t="s">
        <v>12</v>
      </c>
      <c r="D604" t="s">
        <v>19</v>
      </c>
      <c r="E604">
        <v>68308</v>
      </c>
      <c r="F604" t="s">
        <v>14</v>
      </c>
      <c r="G604" t="s">
        <v>51</v>
      </c>
      <c r="H604" t="s">
        <v>16</v>
      </c>
      <c r="I604">
        <v>5</v>
      </c>
      <c r="J604">
        <v>0</v>
      </c>
      <c r="K604">
        <v>5</v>
      </c>
    </row>
    <row r="605" spans="1:11" x14ac:dyDescent="0.25">
      <c r="A605" t="s">
        <v>645</v>
      </c>
      <c r="B605" s="1">
        <v>45802.206701388888</v>
      </c>
      <c r="C605" s="2" t="s">
        <v>22</v>
      </c>
      <c r="D605" t="s">
        <v>33</v>
      </c>
      <c r="E605">
        <v>141277</v>
      </c>
      <c r="F605" t="s">
        <v>14</v>
      </c>
      <c r="G605" t="s">
        <v>15</v>
      </c>
      <c r="H605" t="s">
        <v>16</v>
      </c>
      <c r="I605">
        <v>0</v>
      </c>
      <c r="J605">
        <v>0</v>
      </c>
      <c r="K605">
        <v>0</v>
      </c>
    </row>
    <row r="606" spans="1:11" x14ac:dyDescent="0.25">
      <c r="A606" t="s">
        <v>646</v>
      </c>
      <c r="B606" s="1">
        <v>45797.13690972222</v>
      </c>
      <c r="C606" s="2" t="s">
        <v>26</v>
      </c>
      <c r="D606" t="s">
        <v>13</v>
      </c>
      <c r="E606">
        <v>177000</v>
      </c>
      <c r="F606" t="s">
        <v>14</v>
      </c>
      <c r="G606" t="s">
        <v>34</v>
      </c>
      <c r="H606" t="s">
        <v>16</v>
      </c>
      <c r="I606">
        <v>3274.5</v>
      </c>
      <c r="J606">
        <v>1309.8</v>
      </c>
      <c r="K606">
        <v>1964.7</v>
      </c>
    </row>
    <row r="607" spans="1:11" x14ac:dyDescent="0.25">
      <c r="A607" t="s">
        <v>647</v>
      </c>
      <c r="B607" s="1">
        <v>45949.453333333331</v>
      </c>
      <c r="C607" s="2" t="s">
        <v>41</v>
      </c>
      <c r="D607" t="s">
        <v>13</v>
      </c>
      <c r="E607">
        <v>152500</v>
      </c>
      <c r="F607" t="s">
        <v>14</v>
      </c>
      <c r="G607" t="s">
        <v>30</v>
      </c>
      <c r="H607" t="s">
        <v>16</v>
      </c>
      <c r="I607">
        <v>2821.25</v>
      </c>
      <c r="J607">
        <v>1128.5</v>
      </c>
      <c r="K607">
        <v>1692.75</v>
      </c>
    </row>
    <row r="608" spans="1:11" x14ac:dyDescent="0.25">
      <c r="A608" t="s">
        <v>648</v>
      </c>
      <c r="B608" s="1">
        <v>45932.261805555558</v>
      </c>
      <c r="C608" s="2" t="s">
        <v>12</v>
      </c>
      <c r="D608" t="s">
        <v>33</v>
      </c>
      <c r="E608">
        <v>87942</v>
      </c>
      <c r="F608" t="s">
        <v>14</v>
      </c>
      <c r="G608" t="s">
        <v>27</v>
      </c>
      <c r="H608" t="s">
        <v>16</v>
      </c>
      <c r="I608">
        <v>0</v>
      </c>
      <c r="J608">
        <v>0</v>
      </c>
      <c r="K608">
        <v>0</v>
      </c>
    </row>
    <row r="609" spans="1:11" x14ac:dyDescent="0.25">
      <c r="A609" t="s">
        <v>649</v>
      </c>
      <c r="B609" s="1">
        <v>46038.550324074073</v>
      </c>
      <c r="C609" s="2" t="s">
        <v>22</v>
      </c>
      <c r="D609" t="s">
        <v>13</v>
      </c>
      <c r="E609">
        <v>118000</v>
      </c>
      <c r="F609" t="s">
        <v>14</v>
      </c>
      <c r="G609" t="s">
        <v>34</v>
      </c>
      <c r="H609" t="s">
        <v>16</v>
      </c>
      <c r="I609">
        <v>2183</v>
      </c>
      <c r="J609">
        <v>873.2</v>
      </c>
      <c r="K609">
        <v>1309.8</v>
      </c>
    </row>
    <row r="610" spans="1:11" x14ac:dyDescent="0.25">
      <c r="A610" t="s">
        <v>650</v>
      </c>
      <c r="B610" s="1">
        <v>45927.913483796299</v>
      </c>
      <c r="C610" s="2" t="s">
        <v>32</v>
      </c>
      <c r="D610" t="s">
        <v>33</v>
      </c>
      <c r="E610">
        <v>42242</v>
      </c>
      <c r="F610" t="s">
        <v>50</v>
      </c>
      <c r="G610" t="s">
        <v>58</v>
      </c>
      <c r="H610" t="s">
        <v>16</v>
      </c>
      <c r="I610">
        <v>0</v>
      </c>
      <c r="J610">
        <v>0</v>
      </c>
      <c r="K610">
        <v>0</v>
      </c>
    </row>
    <row r="611" spans="1:11" x14ac:dyDescent="0.25">
      <c r="A611" t="s">
        <v>651</v>
      </c>
      <c r="B611" s="1">
        <v>46113.743136574078</v>
      </c>
      <c r="C611" s="2" t="s">
        <v>12</v>
      </c>
      <c r="D611" t="s">
        <v>45</v>
      </c>
      <c r="E611">
        <v>111589</v>
      </c>
      <c r="F611" t="s">
        <v>14</v>
      </c>
      <c r="G611" t="s">
        <v>84</v>
      </c>
      <c r="H611" t="s">
        <v>59</v>
      </c>
      <c r="I611">
        <v>1115.8900000000001</v>
      </c>
      <c r="J611">
        <v>0</v>
      </c>
      <c r="K611">
        <v>1115.8900000000001</v>
      </c>
    </row>
    <row r="612" spans="1:11" x14ac:dyDescent="0.25">
      <c r="A612" t="s">
        <v>652</v>
      </c>
      <c r="B612" s="1">
        <v>46107.576747685183</v>
      </c>
      <c r="C612" s="2" t="s">
        <v>26</v>
      </c>
      <c r="D612" t="s">
        <v>33</v>
      </c>
      <c r="E612">
        <v>95358</v>
      </c>
      <c r="F612" t="s">
        <v>50</v>
      </c>
      <c r="G612" t="s">
        <v>30</v>
      </c>
      <c r="H612" t="s">
        <v>16</v>
      </c>
      <c r="I612">
        <v>0</v>
      </c>
      <c r="J612">
        <v>0</v>
      </c>
      <c r="K612">
        <v>0</v>
      </c>
    </row>
    <row r="613" spans="1:11" x14ac:dyDescent="0.25">
      <c r="A613" t="s">
        <v>653</v>
      </c>
      <c r="B613" s="1">
        <v>45982.141979166663</v>
      </c>
      <c r="C613" s="2" t="s">
        <v>29</v>
      </c>
      <c r="D613" t="s">
        <v>23</v>
      </c>
      <c r="E613">
        <v>1179</v>
      </c>
      <c r="F613" t="s">
        <v>14</v>
      </c>
      <c r="G613" t="s">
        <v>15</v>
      </c>
      <c r="H613" t="s">
        <v>16</v>
      </c>
      <c r="I613">
        <v>0</v>
      </c>
      <c r="J613">
        <v>0</v>
      </c>
      <c r="K613">
        <v>0</v>
      </c>
    </row>
    <row r="614" spans="1:11" x14ac:dyDescent="0.25">
      <c r="A614" t="s">
        <v>654</v>
      </c>
      <c r="B614" s="1">
        <v>46044.408101851855</v>
      </c>
      <c r="C614" s="2" t="s">
        <v>22</v>
      </c>
      <c r="D614" t="s">
        <v>45</v>
      </c>
      <c r="E614">
        <v>97725</v>
      </c>
      <c r="F614" t="s">
        <v>14</v>
      </c>
      <c r="G614" t="s">
        <v>84</v>
      </c>
      <c r="H614" t="s">
        <v>56</v>
      </c>
      <c r="I614">
        <v>977.25</v>
      </c>
      <c r="J614">
        <v>0</v>
      </c>
      <c r="K614">
        <v>977.25</v>
      </c>
    </row>
    <row r="615" spans="1:11" x14ac:dyDescent="0.25">
      <c r="A615" t="s">
        <v>655</v>
      </c>
      <c r="B615" s="1">
        <v>45943.379293981481</v>
      </c>
      <c r="C615" s="2" t="s">
        <v>39</v>
      </c>
      <c r="D615" t="s">
        <v>33</v>
      </c>
      <c r="E615">
        <v>125830</v>
      </c>
      <c r="F615" t="s">
        <v>50</v>
      </c>
      <c r="G615" t="s">
        <v>27</v>
      </c>
      <c r="H615" t="s">
        <v>16</v>
      </c>
      <c r="I615">
        <v>0</v>
      </c>
      <c r="J615">
        <v>0</v>
      </c>
      <c r="K615">
        <v>0</v>
      </c>
    </row>
    <row r="616" spans="1:11" x14ac:dyDescent="0.25">
      <c r="A616" t="s">
        <v>656</v>
      </c>
      <c r="B616" s="1">
        <v>46134.26054398148</v>
      </c>
      <c r="C616" s="2" t="s">
        <v>18</v>
      </c>
      <c r="D616" t="s">
        <v>19</v>
      </c>
      <c r="E616">
        <v>47680</v>
      </c>
      <c r="F616" t="s">
        <v>14</v>
      </c>
      <c r="G616" t="s">
        <v>30</v>
      </c>
      <c r="H616" t="s">
        <v>16</v>
      </c>
      <c r="I616">
        <v>5</v>
      </c>
      <c r="J616">
        <v>0</v>
      </c>
      <c r="K616">
        <v>5</v>
      </c>
    </row>
    <row r="617" spans="1:11" x14ac:dyDescent="0.25">
      <c r="A617" t="s">
        <v>657</v>
      </c>
      <c r="B617" s="1">
        <v>46003.396678240744</v>
      </c>
      <c r="C617" s="2" t="s">
        <v>18</v>
      </c>
      <c r="D617" t="s">
        <v>33</v>
      </c>
      <c r="E617">
        <v>101849</v>
      </c>
      <c r="F617" t="s">
        <v>14</v>
      </c>
      <c r="G617" t="s">
        <v>58</v>
      </c>
      <c r="H617" t="s">
        <v>16</v>
      </c>
      <c r="I617">
        <v>0</v>
      </c>
      <c r="J617">
        <v>0</v>
      </c>
      <c r="K617">
        <v>0</v>
      </c>
    </row>
    <row r="618" spans="1:11" x14ac:dyDescent="0.25">
      <c r="A618" t="s">
        <v>658</v>
      </c>
      <c r="B618" s="1">
        <v>46024.726331018515</v>
      </c>
      <c r="C618" s="2" t="s">
        <v>22</v>
      </c>
      <c r="D618" t="s">
        <v>45</v>
      </c>
      <c r="E618">
        <v>17722</v>
      </c>
      <c r="F618" t="s">
        <v>14</v>
      </c>
      <c r="G618" t="s">
        <v>84</v>
      </c>
      <c r="H618" t="s">
        <v>59</v>
      </c>
      <c r="I618">
        <v>177.22</v>
      </c>
      <c r="J618">
        <v>0</v>
      </c>
      <c r="K618">
        <v>177.22</v>
      </c>
    </row>
    <row r="619" spans="1:11" x14ac:dyDescent="0.25">
      <c r="A619" t="s">
        <v>659</v>
      </c>
      <c r="B619" s="1">
        <v>46018.077893518515</v>
      </c>
      <c r="C619" s="2" t="s">
        <v>26</v>
      </c>
      <c r="D619" t="s">
        <v>19</v>
      </c>
      <c r="E619">
        <v>119078</v>
      </c>
      <c r="F619" t="s">
        <v>14</v>
      </c>
      <c r="G619" t="s">
        <v>34</v>
      </c>
      <c r="H619" t="s">
        <v>16</v>
      </c>
      <c r="I619">
        <v>5</v>
      </c>
      <c r="J619">
        <v>0</v>
      </c>
      <c r="K619">
        <v>5</v>
      </c>
    </row>
    <row r="620" spans="1:11" x14ac:dyDescent="0.25">
      <c r="A620" t="s">
        <v>660</v>
      </c>
      <c r="B620" s="1">
        <v>45793.626400462963</v>
      </c>
      <c r="C620" s="2" t="s">
        <v>26</v>
      </c>
      <c r="D620" t="s">
        <v>13</v>
      </c>
      <c r="E620">
        <v>211500</v>
      </c>
      <c r="F620" t="s">
        <v>14</v>
      </c>
      <c r="G620" t="s">
        <v>34</v>
      </c>
      <c r="H620" t="s">
        <v>16</v>
      </c>
      <c r="I620">
        <v>3912.75</v>
      </c>
      <c r="J620">
        <v>1565.1</v>
      </c>
      <c r="K620">
        <v>2347.65</v>
      </c>
    </row>
    <row r="621" spans="1:11" x14ac:dyDescent="0.25">
      <c r="A621" t="s">
        <v>661</v>
      </c>
      <c r="B621" s="1">
        <v>45900.538958333331</v>
      </c>
      <c r="C621" s="2" t="s">
        <v>32</v>
      </c>
      <c r="D621" t="s">
        <v>45</v>
      </c>
      <c r="E621">
        <v>3557</v>
      </c>
      <c r="F621" t="s">
        <v>14</v>
      </c>
      <c r="G621" t="s">
        <v>27</v>
      </c>
      <c r="H621" t="s">
        <v>59</v>
      </c>
      <c r="I621">
        <v>35.57</v>
      </c>
      <c r="J621">
        <v>0</v>
      </c>
      <c r="K621">
        <v>35.57</v>
      </c>
    </row>
    <row r="622" spans="1:11" x14ac:dyDescent="0.25">
      <c r="A622" t="s">
        <v>662</v>
      </c>
      <c r="B622" s="1">
        <v>46074.881226851852</v>
      </c>
      <c r="C622" s="2" t="s">
        <v>29</v>
      </c>
      <c r="D622" t="s">
        <v>23</v>
      </c>
      <c r="E622">
        <v>692</v>
      </c>
      <c r="F622" t="s">
        <v>14</v>
      </c>
      <c r="G622" t="s">
        <v>30</v>
      </c>
      <c r="H622" t="s">
        <v>16</v>
      </c>
      <c r="I622">
        <v>0</v>
      </c>
      <c r="J622">
        <v>0</v>
      </c>
      <c r="K622">
        <v>0</v>
      </c>
    </row>
    <row r="623" spans="1:11" x14ac:dyDescent="0.25">
      <c r="A623" t="s">
        <v>663</v>
      </c>
      <c r="B623" s="1">
        <v>45794.694050925929</v>
      </c>
      <c r="C623" s="2" t="s">
        <v>26</v>
      </c>
      <c r="D623" t="s">
        <v>19</v>
      </c>
      <c r="E623">
        <v>29568</v>
      </c>
      <c r="F623" t="s">
        <v>14</v>
      </c>
      <c r="G623" t="s">
        <v>15</v>
      </c>
      <c r="H623" t="s">
        <v>16</v>
      </c>
      <c r="I623">
        <v>5</v>
      </c>
      <c r="J623">
        <v>0</v>
      </c>
      <c r="K623">
        <v>5</v>
      </c>
    </row>
    <row r="624" spans="1:11" x14ac:dyDescent="0.25">
      <c r="A624" t="s">
        <v>664</v>
      </c>
      <c r="B624" s="1">
        <v>45844.587106481478</v>
      </c>
      <c r="C624" s="2" t="s">
        <v>12</v>
      </c>
      <c r="D624" t="s">
        <v>33</v>
      </c>
      <c r="E624">
        <v>55281</v>
      </c>
      <c r="F624" t="s">
        <v>14</v>
      </c>
      <c r="G624" t="s">
        <v>30</v>
      </c>
      <c r="H624" t="s">
        <v>16</v>
      </c>
      <c r="I624">
        <v>0</v>
      </c>
      <c r="J624">
        <v>0</v>
      </c>
      <c r="K624">
        <v>0</v>
      </c>
    </row>
    <row r="625" spans="1:11" x14ac:dyDescent="0.25">
      <c r="A625" t="s">
        <v>665</v>
      </c>
      <c r="B625" s="1">
        <v>46121.164490740739</v>
      </c>
      <c r="C625" s="2" t="s">
        <v>12</v>
      </c>
      <c r="D625" t="s">
        <v>13</v>
      </c>
      <c r="E625">
        <v>176500</v>
      </c>
      <c r="F625" t="s">
        <v>14</v>
      </c>
      <c r="G625" t="s">
        <v>27</v>
      </c>
      <c r="H625" t="s">
        <v>16</v>
      </c>
      <c r="I625">
        <v>3265.25</v>
      </c>
      <c r="J625">
        <v>1306.0999999999999</v>
      </c>
      <c r="K625">
        <v>1959.15</v>
      </c>
    </row>
    <row r="626" spans="1:11" x14ac:dyDescent="0.25">
      <c r="A626" t="s">
        <v>666</v>
      </c>
      <c r="B626" s="1">
        <v>45998.820555555554</v>
      </c>
      <c r="C626" s="2" t="s">
        <v>32</v>
      </c>
      <c r="D626" t="s">
        <v>45</v>
      </c>
      <c r="E626">
        <v>86599</v>
      </c>
      <c r="F626" t="s">
        <v>14</v>
      </c>
      <c r="G626" t="s">
        <v>20</v>
      </c>
      <c r="H626" t="s">
        <v>46</v>
      </c>
      <c r="I626">
        <v>865.99</v>
      </c>
      <c r="J626">
        <v>0</v>
      </c>
      <c r="K626">
        <v>865.99</v>
      </c>
    </row>
    <row r="627" spans="1:11" x14ac:dyDescent="0.25">
      <c r="A627" t="s">
        <v>667</v>
      </c>
      <c r="B627" s="1">
        <v>45895.306168981479</v>
      </c>
      <c r="C627" s="2" t="s">
        <v>18</v>
      </c>
      <c r="D627" t="s">
        <v>33</v>
      </c>
      <c r="E627">
        <v>140630</v>
      </c>
      <c r="F627" t="s">
        <v>14</v>
      </c>
      <c r="G627" t="s">
        <v>24</v>
      </c>
      <c r="H627" t="s">
        <v>16</v>
      </c>
      <c r="I627">
        <v>0</v>
      </c>
      <c r="J627">
        <v>0</v>
      </c>
      <c r="K627">
        <v>0</v>
      </c>
    </row>
    <row r="628" spans="1:11" x14ac:dyDescent="0.25">
      <c r="A628" t="s">
        <v>668</v>
      </c>
      <c r="B628" s="1">
        <v>45897.437141203707</v>
      </c>
      <c r="C628" s="2" t="s">
        <v>29</v>
      </c>
      <c r="D628" t="s">
        <v>19</v>
      </c>
      <c r="E628">
        <v>112823</v>
      </c>
      <c r="F628" t="s">
        <v>14</v>
      </c>
      <c r="G628" t="s">
        <v>58</v>
      </c>
      <c r="H628" t="s">
        <v>16</v>
      </c>
      <c r="I628">
        <v>5</v>
      </c>
      <c r="J628">
        <v>0</v>
      </c>
      <c r="K628">
        <v>5</v>
      </c>
    </row>
    <row r="629" spans="1:11" x14ac:dyDescent="0.25">
      <c r="A629" t="s">
        <v>669</v>
      </c>
      <c r="B629" s="1">
        <v>45892.545706018522</v>
      </c>
      <c r="C629" s="2" t="s">
        <v>41</v>
      </c>
      <c r="D629" t="s">
        <v>45</v>
      </c>
      <c r="E629">
        <v>86786</v>
      </c>
      <c r="F629" t="s">
        <v>99</v>
      </c>
      <c r="G629" t="s">
        <v>34</v>
      </c>
      <c r="H629" t="s">
        <v>46</v>
      </c>
      <c r="I629">
        <v>867.86</v>
      </c>
      <c r="J629">
        <v>0</v>
      </c>
      <c r="K629">
        <v>867.86</v>
      </c>
    </row>
    <row r="630" spans="1:11" x14ac:dyDescent="0.25">
      <c r="A630" t="s">
        <v>670</v>
      </c>
      <c r="B630" s="1">
        <v>46018.395104166666</v>
      </c>
      <c r="C630" s="2" t="s">
        <v>29</v>
      </c>
      <c r="D630" t="s">
        <v>23</v>
      </c>
      <c r="E630">
        <v>4117</v>
      </c>
      <c r="F630" t="s">
        <v>14</v>
      </c>
      <c r="G630" t="s">
        <v>20</v>
      </c>
      <c r="H630" t="s">
        <v>16</v>
      </c>
      <c r="I630">
        <v>0</v>
      </c>
      <c r="J630">
        <v>0</v>
      </c>
      <c r="K630">
        <v>0</v>
      </c>
    </row>
    <row r="631" spans="1:11" x14ac:dyDescent="0.25">
      <c r="A631" t="s">
        <v>671</v>
      </c>
      <c r="B631" s="1">
        <v>45961.445763888885</v>
      </c>
      <c r="C631" s="2" t="s">
        <v>29</v>
      </c>
      <c r="D631" t="s">
        <v>33</v>
      </c>
      <c r="E631">
        <v>101246</v>
      </c>
      <c r="F631" t="s">
        <v>14</v>
      </c>
      <c r="G631" t="s">
        <v>34</v>
      </c>
      <c r="H631" t="s">
        <v>16</v>
      </c>
      <c r="I631">
        <v>0</v>
      </c>
      <c r="J631">
        <v>0</v>
      </c>
      <c r="K631">
        <v>0</v>
      </c>
    </row>
    <row r="632" spans="1:11" x14ac:dyDescent="0.25">
      <c r="A632" t="s">
        <v>672</v>
      </c>
      <c r="B632" s="1">
        <v>46014.179872685185</v>
      </c>
      <c r="C632" s="2" t="s">
        <v>26</v>
      </c>
      <c r="D632" t="s">
        <v>13</v>
      </c>
      <c r="E632">
        <v>107500</v>
      </c>
      <c r="F632" t="s">
        <v>99</v>
      </c>
      <c r="G632" t="s">
        <v>51</v>
      </c>
      <c r="H632" t="s">
        <v>16</v>
      </c>
      <c r="I632">
        <v>1988.75</v>
      </c>
      <c r="J632">
        <v>795.5</v>
      </c>
      <c r="K632">
        <v>1193.25</v>
      </c>
    </row>
    <row r="633" spans="1:11" x14ac:dyDescent="0.25">
      <c r="A633" t="s">
        <v>673</v>
      </c>
      <c r="B633" s="1">
        <v>46126.787939814814</v>
      </c>
      <c r="C633" s="2" t="s">
        <v>41</v>
      </c>
      <c r="D633" t="s">
        <v>13</v>
      </c>
      <c r="E633">
        <v>16500</v>
      </c>
      <c r="F633" t="s">
        <v>14</v>
      </c>
      <c r="G633" t="s">
        <v>30</v>
      </c>
      <c r="H633" t="s">
        <v>16</v>
      </c>
      <c r="I633">
        <v>305.25</v>
      </c>
      <c r="J633">
        <v>122.1</v>
      </c>
      <c r="K633">
        <v>183.15</v>
      </c>
    </row>
    <row r="634" spans="1:11" x14ac:dyDescent="0.25">
      <c r="A634" t="s">
        <v>674</v>
      </c>
      <c r="B634" s="1">
        <v>45968.376273148147</v>
      </c>
      <c r="C634" s="2" t="s">
        <v>12</v>
      </c>
      <c r="D634" t="s">
        <v>13</v>
      </c>
      <c r="E634">
        <v>42000</v>
      </c>
      <c r="F634" t="s">
        <v>14</v>
      </c>
      <c r="G634" t="s">
        <v>34</v>
      </c>
      <c r="H634" t="s">
        <v>16</v>
      </c>
      <c r="I634">
        <v>777</v>
      </c>
      <c r="J634">
        <v>310.8</v>
      </c>
      <c r="K634">
        <v>466.2</v>
      </c>
    </row>
    <row r="635" spans="1:11" x14ac:dyDescent="0.25">
      <c r="A635" t="s">
        <v>675</v>
      </c>
      <c r="B635" s="1">
        <v>45841.873495370368</v>
      </c>
      <c r="C635" s="2" t="s">
        <v>18</v>
      </c>
      <c r="D635" t="s">
        <v>13</v>
      </c>
      <c r="E635">
        <v>4500</v>
      </c>
      <c r="F635" t="s">
        <v>50</v>
      </c>
      <c r="G635" t="s">
        <v>20</v>
      </c>
      <c r="H635" t="s">
        <v>16</v>
      </c>
      <c r="I635">
        <v>83.25</v>
      </c>
      <c r="J635">
        <v>33.299999999999997</v>
      </c>
      <c r="K635">
        <v>49.95</v>
      </c>
    </row>
    <row r="636" spans="1:11" x14ac:dyDescent="0.25">
      <c r="A636" t="s">
        <v>676</v>
      </c>
      <c r="B636" s="1">
        <v>45986.778599537036</v>
      </c>
      <c r="C636" s="2" t="s">
        <v>18</v>
      </c>
      <c r="D636" t="s">
        <v>19</v>
      </c>
      <c r="E636">
        <v>131369</v>
      </c>
      <c r="F636" t="s">
        <v>14</v>
      </c>
      <c r="G636" t="s">
        <v>20</v>
      </c>
      <c r="H636" t="s">
        <v>16</v>
      </c>
      <c r="I636">
        <v>5</v>
      </c>
      <c r="J636">
        <v>0</v>
      </c>
      <c r="K636">
        <v>5</v>
      </c>
    </row>
    <row r="637" spans="1:11" x14ac:dyDescent="0.25">
      <c r="A637" t="s">
        <v>677</v>
      </c>
      <c r="B637" s="1">
        <v>45794.779872685183</v>
      </c>
      <c r="C637" s="2" t="s">
        <v>18</v>
      </c>
      <c r="D637" t="s">
        <v>19</v>
      </c>
      <c r="E637">
        <v>101478</v>
      </c>
      <c r="F637" t="s">
        <v>14</v>
      </c>
      <c r="G637" t="s">
        <v>84</v>
      </c>
      <c r="H637" t="s">
        <v>16</v>
      </c>
      <c r="I637">
        <v>5</v>
      </c>
      <c r="J637">
        <v>0</v>
      </c>
      <c r="K637">
        <v>5</v>
      </c>
    </row>
    <row r="638" spans="1:11" x14ac:dyDescent="0.25">
      <c r="A638" t="s">
        <v>678</v>
      </c>
      <c r="B638" s="1">
        <v>45838.904340277775</v>
      </c>
      <c r="C638" s="2" t="s">
        <v>32</v>
      </c>
      <c r="D638" t="s">
        <v>23</v>
      </c>
      <c r="E638">
        <v>2477</v>
      </c>
      <c r="F638" t="s">
        <v>14</v>
      </c>
      <c r="G638" t="s">
        <v>30</v>
      </c>
      <c r="H638" t="s">
        <v>16</v>
      </c>
      <c r="I638">
        <v>0</v>
      </c>
      <c r="J638">
        <v>0</v>
      </c>
      <c r="K638">
        <v>0</v>
      </c>
    </row>
    <row r="639" spans="1:11" x14ac:dyDescent="0.25">
      <c r="A639" t="s">
        <v>679</v>
      </c>
      <c r="B639" s="1">
        <v>46100.141747685186</v>
      </c>
      <c r="C639" s="2" t="s">
        <v>12</v>
      </c>
      <c r="D639" t="s">
        <v>23</v>
      </c>
      <c r="E639">
        <v>4260</v>
      </c>
      <c r="F639" t="s">
        <v>14</v>
      </c>
      <c r="G639" t="s">
        <v>15</v>
      </c>
      <c r="H639" t="s">
        <v>16</v>
      </c>
      <c r="I639">
        <v>0</v>
      </c>
      <c r="J639">
        <v>0</v>
      </c>
      <c r="K639">
        <v>0</v>
      </c>
    </row>
    <row r="640" spans="1:11" x14ac:dyDescent="0.25">
      <c r="A640" t="s">
        <v>680</v>
      </c>
      <c r="B640" s="1">
        <v>46068.506342592591</v>
      </c>
      <c r="C640" s="2" t="s">
        <v>22</v>
      </c>
      <c r="D640" t="s">
        <v>13</v>
      </c>
      <c r="E640">
        <v>174000</v>
      </c>
      <c r="F640" t="s">
        <v>99</v>
      </c>
      <c r="G640" t="s">
        <v>27</v>
      </c>
      <c r="H640" t="s">
        <v>16</v>
      </c>
      <c r="I640">
        <v>3219</v>
      </c>
      <c r="J640">
        <v>1287.5999999999999</v>
      </c>
      <c r="K640">
        <v>1931.4</v>
      </c>
    </row>
    <row r="641" spans="1:11" x14ac:dyDescent="0.25">
      <c r="A641" t="s">
        <v>681</v>
      </c>
      <c r="B641" s="1">
        <v>45870.892638888887</v>
      </c>
      <c r="C641" s="2" t="s">
        <v>12</v>
      </c>
      <c r="D641" t="s">
        <v>19</v>
      </c>
      <c r="E641">
        <v>35400</v>
      </c>
      <c r="F641" t="s">
        <v>99</v>
      </c>
      <c r="G641" t="s">
        <v>24</v>
      </c>
      <c r="H641" t="s">
        <v>16</v>
      </c>
      <c r="I641">
        <v>5</v>
      </c>
      <c r="J641">
        <v>0</v>
      </c>
      <c r="K641">
        <v>5</v>
      </c>
    </row>
    <row r="642" spans="1:11" x14ac:dyDescent="0.25">
      <c r="A642" t="s">
        <v>682</v>
      </c>
      <c r="B642" s="1">
        <v>45943.619421296295</v>
      </c>
      <c r="C642" s="2" t="s">
        <v>18</v>
      </c>
      <c r="D642" t="s">
        <v>33</v>
      </c>
      <c r="E642">
        <v>119931</v>
      </c>
      <c r="F642" t="s">
        <v>14</v>
      </c>
      <c r="G642" t="s">
        <v>34</v>
      </c>
      <c r="H642" t="s">
        <v>16</v>
      </c>
      <c r="I642">
        <v>0</v>
      </c>
      <c r="J642">
        <v>0</v>
      </c>
      <c r="K642">
        <v>0</v>
      </c>
    </row>
    <row r="643" spans="1:11" x14ac:dyDescent="0.25">
      <c r="A643" t="s">
        <v>683</v>
      </c>
      <c r="B643" s="1">
        <v>45833.153506944444</v>
      </c>
      <c r="C643" s="2" t="s">
        <v>32</v>
      </c>
      <c r="D643" t="s">
        <v>23</v>
      </c>
      <c r="E643">
        <v>3668</v>
      </c>
      <c r="F643" t="s">
        <v>14</v>
      </c>
      <c r="G643" t="s">
        <v>34</v>
      </c>
      <c r="H643" t="s">
        <v>16</v>
      </c>
      <c r="I643">
        <v>0</v>
      </c>
      <c r="J643">
        <v>0</v>
      </c>
      <c r="K643">
        <v>0</v>
      </c>
    </row>
    <row r="644" spans="1:11" x14ac:dyDescent="0.25">
      <c r="A644" t="s">
        <v>684</v>
      </c>
      <c r="B644" s="1">
        <v>45918.699791666666</v>
      </c>
      <c r="C644" s="2" t="s">
        <v>26</v>
      </c>
      <c r="D644" t="s">
        <v>13</v>
      </c>
      <c r="E644">
        <v>75000</v>
      </c>
      <c r="F644" t="s">
        <v>50</v>
      </c>
      <c r="G644" t="s">
        <v>30</v>
      </c>
      <c r="H644" t="s">
        <v>16</v>
      </c>
      <c r="I644">
        <v>1387.5</v>
      </c>
      <c r="J644">
        <v>555</v>
      </c>
      <c r="K644">
        <v>832.5</v>
      </c>
    </row>
    <row r="645" spans="1:11" x14ac:dyDescent="0.25">
      <c r="A645" t="s">
        <v>685</v>
      </c>
      <c r="B645" s="1">
        <v>46029.229131944441</v>
      </c>
      <c r="C645" s="2" t="s">
        <v>12</v>
      </c>
      <c r="D645" t="s">
        <v>33</v>
      </c>
      <c r="E645">
        <v>133962</v>
      </c>
      <c r="F645" t="s">
        <v>14</v>
      </c>
      <c r="G645" t="s">
        <v>30</v>
      </c>
      <c r="H645" t="s">
        <v>16</v>
      </c>
      <c r="I645">
        <v>0</v>
      </c>
      <c r="J645">
        <v>0</v>
      </c>
      <c r="K645">
        <v>0</v>
      </c>
    </row>
    <row r="646" spans="1:11" x14ac:dyDescent="0.25">
      <c r="A646" t="s">
        <v>686</v>
      </c>
      <c r="B646" s="1">
        <v>45859.267291666663</v>
      </c>
      <c r="C646" s="2" t="s">
        <v>29</v>
      </c>
      <c r="D646" t="s">
        <v>19</v>
      </c>
      <c r="E646">
        <v>65841</v>
      </c>
      <c r="F646" t="s">
        <v>99</v>
      </c>
      <c r="G646" t="s">
        <v>34</v>
      </c>
      <c r="H646" t="s">
        <v>16</v>
      </c>
      <c r="I646">
        <v>5</v>
      </c>
      <c r="J646">
        <v>0</v>
      </c>
      <c r="K646">
        <v>5</v>
      </c>
    </row>
    <row r="647" spans="1:11" x14ac:dyDescent="0.25">
      <c r="A647" t="s">
        <v>687</v>
      </c>
      <c r="B647" s="1">
        <v>46023.065787037034</v>
      </c>
      <c r="C647" s="2" t="s">
        <v>26</v>
      </c>
      <c r="D647" t="s">
        <v>19</v>
      </c>
      <c r="E647">
        <v>8899</v>
      </c>
      <c r="F647" t="s">
        <v>50</v>
      </c>
      <c r="G647" t="s">
        <v>84</v>
      </c>
      <c r="H647" t="s">
        <v>16</v>
      </c>
      <c r="I647">
        <v>5</v>
      </c>
      <c r="J647">
        <v>0</v>
      </c>
      <c r="K647">
        <v>5</v>
      </c>
    </row>
    <row r="648" spans="1:11" x14ac:dyDescent="0.25">
      <c r="A648" t="s">
        <v>688</v>
      </c>
      <c r="B648" s="1">
        <v>45863.757233796299</v>
      </c>
      <c r="C648" s="2" t="s">
        <v>22</v>
      </c>
      <c r="D648" t="s">
        <v>13</v>
      </c>
      <c r="E648">
        <v>219000</v>
      </c>
      <c r="F648" t="s">
        <v>50</v>
      </c>
      <c r="G648" t="s">
        <v>51</v>
      </c>
      <c r="H648" t="s">
        <v>16</v>
      </c>
      <c r="I648">
        <v>4051.5</v>
      </c>
      <c r="J648">
        <v>1620.6</v>
      </c>
      <c r="K648">
        <v>2430.9</v>
      </c>
    </row>
    <row r="649" spans="1:11" x14ac:dyDescent="0.25">
      <c r="A649" t="s">
        <v>689</v>
      </c>
      <c r="B649" s="1">
        <v>45993.735891203702</v>
      </c>
      <c r="C649" s="2" t="s">
        <v>41</v>
      </c>
      <c r="D649" t="s">
        <v>33</v>
      </c>
      <c r="E649">
        <v>61762</v>
      </c>
      <c r="F649" t="s">
        <v>14</v>
      </c>
      <c r="G649" t="s">
        <v>51</v>
      </c>
      <c r="H649" t="s">
        <v>16</v>
      </c>
      <c r="I649">
        <v>0</v>
      </c>
      <c r="J649">
        <v>0</v>
      </c>
      <c r="K649">
        <v>0</v>
      </c>
    </row>
    <row r="650" spans="1:11" x14ac:dyDescent="0.25">
      <c r="A650" t="s">
        <v>690</v>
      </c>
      <c r="B650" s="1">
        <v>46039.051828703705</v>
      </c>
      <c r="C650" s="2" t="s">
        <v>26</v>
      </c>
      <c r="D650" t="s">
        <v>19</v>
      </c>
      <c r="E650">
        <v>92267</v>
      </c>
      <c r="F650" t="s">
        <v>14</v>
      </c>
      <c r="G650" t="s">
        <v>51</v>
      </c>
      <c r="H650" t="s">
        <v>16</v>
      </c>
      <c r="I650">
        <v>5</v>
      </c>
      <c r="J650">
        <v>0</v>
      </c>
      <c r="K650">
        <v>5</v>
      </c>
    </row>
    <row r="651" spans="1:11" x14ac:dyDescent="0.25">
      <c r="A651" t="s">
        <v>691</v>
      </c>
      <c r="B651" s="1">
        <v>46024.254826388889</v>
      </c>
      <c r="C651" s="2" t="s">
        <v>18</v>
      </c>
      <c r="D651" t="s">
        <v>23</v>
      </c>
      <c r="E651">
        <v>4755</v>
      </c>
      <c r="F651" t="s">
        <v>50</v>
      </c>
      <c r="G651" t="s">
        <v>15</v>
      </c>
      <c r="H651" t="s">
        <v>16</v>
      </c>
      <c r="I651">
        <v>0</v>
      </c>
      <c r="J651">
        <v>0</v>
      </c>
      <c r="K651">
        <v>0</v>
      </c>
    </row>
    <row r="652" spans="1:11" x14ac:dyDescent="0.25">
      <c r="A652" t="s">
        <v>692</v>
      </c>
      <c r="B652" s="1">
        <v>45787.778796296298</v>
      </c>
      <c r="C652" s="2" t="s">
        <v>26</v>
      </c>
      <c r="D652" t="s">
        <v>13</v>
      </c>
      <c r="E652">
        <v>66000</v>
      </c>
      <c r="F652" t="s">
        <v>14</v>
      </c>
      <c r="G652" t="s">
        <v>24</v>
      </c>
      <c r="H652" t="s">
        <v>16</v>
      </c>
      <c r="I652">
        <v>1221</v>
      </c>
      <c r="J652">
        <v>488.4</v>
      </c>
      <c r="K652">
        <v>732.6</v>
      </c>
    </row>
    <row r="653" spans="1:11" x14ac:dyDescent="0.25">
      <c r="A653" t="s">
        <v>693</v>
      </c>
      <c r="B653" s="1">
        <v>46106.90934027778</v>
      </c>
      <c r="C653" s="2" t="s">
        <v>18</v>
      </c>
      <c r="D653" t="s">
        <v>13</v>
      </c>
      <c r="E653">
        <v>69000</v>
      </c>
      <c r="F653" t="s">
        <v>14</v>
      </c>
      <c r="G653" t="s">
        <v>24</v>
      </c>
      <c r="H653" t="s">
        <v>16</v>
      </c>
      <c r="I653">
        <v>1276.5</v>
      </c>
      <c r="J653">
        <v>510.6</v>
      </c>
      <c r="K653">
        <v>765.9</v>
      </c>
    </row>
    <row r="654" spans="1:11" x14ac:dyDescent="0.25">
      <c r="A654" t="s">
        <v>694</v>
      </c>
      <c r="B654" s="1">
        <v>46088.943576388891</v>
      </c>
      <c r="C654" s="2" t="s">
        <v>41</v>
      </c>
      <c r="D654" t="s">
        <v>19</v>
      </c>
      <c r="E654">
        <v>132135</v>
      </c>
      <c r="F654" t="s">
        <v>14</v>
      </c>
      <c r="G654" t="s">
        <v>84</v>
      </c>
      <c r="H654" t="s">
        <v>16</v>
      </c>
      <c r="I654">
        <v>5</v>
      </c>
      <c r="J654">
        <v>0</v>
      </c>
      <c r="K654">
        <v>5</v>
      </c>
    </row>
    <row r="655" spans="1:11" x14ac:dyDescent="0.25">
      <c r="A655" t="s">
        <v>695</v>
      </c>
      <c r="B655" s="1">
        <v>45876.435810185183</v>
      </c>
      <c r="C655" s="2" t="s">
        <v>39</v>
      </c>
      <c r="D655" t="s">
        <v>23</v>
      </c>
      <c r="E655">
        <v>3176</v>
      </c>
      <c r="F655" t="s">
        <v>14</v>
      </c>
      <c r="G655" t="s">
        <v>27</v>
      </c>
      <c r="H655" t="s">
        <v>16</v>
      </c>
      <c r="I655">
        <v>0</v>
      </c>
      <c r="J655">
        <v>0</v>
      </c>
      <c r="K655">
        <v>0</v>
      </c>
    </row>
    <row r="656" spans="1:11" x14ac:dyDescent="0.25">
      <c r="A656" t="s">
        <v>696</v>
      </c>
      <c r="B656" s="1">
        <v>45929.220462962963</v>
      </c>
      <c r="C656" s="2" t="s">
        <v>29</v>
      </c>
      <c r="D656" t="s">
        <v>19</v>
      </c>
      <c r="E656">
        <v>124171</v>
      </c>
      <c r="F656" t="s">
        <v>14</v>
      </c>
      <c r="G656" t="s">
        <v>34</v>
      </c>
      <c r="H656" t="s">
        <v>16</v>
      </c>
      <c r="I656">
        <v>5</v>
      </c>
      <c r="J656">
        <v>0</v>
      </c>
      <c r="K656">
        <v>5</v>
      </c>
    </row>
    <row r="657" spans="1:11" x14ac:dyDescent="0.25">
      <c r="A657" t="s">
        <v>697</v>
      </c>
      <c r="B657" s="1">
        <v>46091.222199074073</v>
      </c>
      <c r="C657" s="2" t="s">
        <v>41</v>
      </c>
      <c r="D657" t="s">
        <v>13</v>
      </c>
      <c r="E657">
        <v>198000</v>
      </c>
      <c r="F657" t="s">
        <v>14</v>
      </c>
      <c r="G657" t="s">
        <v>51</v>
      </c>
      <c r="H657" t="s">
        <v>16</v>
      </c>
      <c r="I657">
        <v>3663</v>
      </c>
      <c r="J657">
        <v>1465.2</v>
      </c>
      <c r="K657">
        <v>2197.8000000000002</v>
      </c>
    </row>
    <row r="658" spans="1:11" x14ac:dyDescent="0.25">
      <c r="A658" t="s">
        <v>698</v>
      </c>
      <c r="B658" s="1">
        <v>46132.767071759263</v>
      </c>
      <c r="C658" s="2" t="s">
        <v>22</v>
      </c>
      <c r="D658" t="s">
        <v>19</v>
      </c>
      <c r="E658">
        <v>11948</v>
      </c>
      <c r="F658" t="s">
        <v>14</v>
      </c>
      <c r="G658" t="s">
        <v>24</v>
      </c>
      <c r="H658" t="s">
        <v>16</v>
      </c>
      <c r="I658">
        <v>5</v>
      </c>
      <c r="J658">
        <v>0</v>
      </c>
      <c r="K658">
        <v>5</v>
      </c>
    </row>
    <row r="659" spans="1:11" x14ac:dyDescent="0.25">
      <c r="A659" t="s">
        <v>699</v>
      </c>
      <c r="B659" s="1">
        <v>46013.258356481485</v>
      </c>
      <c r="C659" s="2" t="s">
        <v>22</v>
      </c>
      <c r="D659" t="s">
        <v>13</v>
      </c>
      <c r="E659">
        <v>59000</v>
      </c>
      <c r="F659" t="s">
        <v>14</v>
      </c>
      <c r="G659" t="s">
        <v>24</v>
      </c>
      <c r="H659" t="s">
        <v>16</v>
      </c>
      <c r="I659">
        <v>1091.5</v>
      </c>
      <c r="J659">
        <v>436.6</v>
      </c>
      <c r="K659">
        <v>654.9</v>
      </c>
    </row>
    <row r="660" spans="1:11" x14ac:dyDescent="0.25">
      <c r="A660" t="s">
        <v>700</v>
      </c>
      <c r="B660" s="1">
        <v>45957.944085648145</v>
      </c>
      <c r="C660" s="2" t="s">
        <v>18</v>
      </c>
      <c r="D660" t="s">
        <v>19</v>
      </c>
      <c r="E660">
        <v>82945</v>
      </c>
      <c r="F660" t="s">
        <v>14</v>
      </c>
      <c r="G660" t="s">
        <v>51</v>
      </c>
      <c r="H660" t="s">
        <v>16</v>
      </c>
      <c r="I660">
        <v>5</v>
      </c>
      <c r="J660">
        <v>0</v>
      </c>
      <c r="K660">
        <v>5</v>
      </c>
    </row>
    <row r="661" spans="1:11" x14ac:dyDescent="0.25">
      <c r="A661" t="s">
        <v>701</v>
      </c>
      <c r="B661" s="1">
        <v>46102.133981481478</v>
      </c>
      <c r="C661" s="2" t="s">
        <v>18</v>
      </c>
      <c r="D661" t="s">
        <v>23</v>
      </c>
      <c r="E661">
        <v>1109</v>
      </c>
      <c r="F661" t="s">
        <v>14</v>
      </c>
      <c r="G661" t="s">
        <v>51</v>
      </c>
      <c r="H661" t="s">
        <v>16</v>
      </c>
      <c r="I661">
        <v>0</v>
      </c>
      <c r="J661">
        <v>0</v>
      </c>
      <c r="K661">
        <v>0</v>
      </c>
    </row>
    <row r="662" spans="1:11" x14ac:dyDescent="0.25">
      <c r="A662" t="s">
        <v>702</v>
      </c>
      <c r="B662" s="1">
        <v>46007.156273148146</v>
      </c>
      <c r="C662" s="2" t="s">
        <v>32</v>
      </c>
      <c r="D662" t="s">
        <v>23</v>
      </c>
      <c r="E662">
        <v>4689</v>
      </c>
      <c r="F662" t="s">
        <v>50</v>
      </c>
      <c r="G662" t="s">
        <v>34</v>
      </c>
      <c r="H662" t="s">
        <v>16</v>
      </c>
      <c r="I662">
        <v>0</v>
      </c>
      <c r="J662">
        <v>0</v>
      </c>
      <c r="K662">
        <v>0</v>
      </c>
    </row>
    <row r="663" spans="1:11" x14ac:dyDescent="0.25">
      <c r="A663" t="s">
        <v>703</v>
      </c>
      <c r="B663" s="1">
        <v>45807.786759259259</v>
      </c>
      <c r="C663" s="2" t="s">
        <v>41</v>
      </c>
      <c r="D663" t="s">
        <v>13</v>
      </c>
      <c r="E663">
        <v>208000</v>
      </c>
      <c r="F663" t="s">
        <v>14</v>
      </c>
      <c r="G663" t="s">
        <v>20</v>
      </c>
      <c r="H663" t="s">
        <v>16</v>
      </c>
      <c r="I663">
        <v>3848</v>
      </c>
      <c r="J663">
        <v>1539.2</v>
      </c>
      <c r="K663">
        <v>2308.8000000000002</v>
      </c>
    </row>
    <row r="664" spans="1:11" x14ac:dyDescent="0.25">
      <c r="A664" t="s">
        <v>704</v>
      </c>
      <c r="B664" s="1">
        <v>45799.979398148149</v>
      </c>
      <c r="C664" s="2" t="s">
        <v>26</v>
      </c>
      <c r="D664" t="s">
        <v>19</v>
      </c>
      <c r="E664">
        <v>95540</v>
      </c>
      <c r="F664" t="s">
        <v>14</v>
      </c>
      <c r="G664" t="s">
        <v>24</v>
      </c>
      <c r="H664" t="s">
        <v>16</v>
      </c>
      <c r="I664">
        <v>5</v>
      </c>
      <c r="J664">
        <v>0</v>
      </c>
      <c r="K664">
        <v>5</v>
      </c>
    </row>
    <row r="665" spans="1:11" x14ac:dyDescent="0.25">
      <c r="A665" t="s">
        <v>705</v>
      </c>
      <c r="B665" s="1">
        <v>46028.028831018521</v>
      </c>
      <c r="C665" s="2" t="s">
        <v>39</v>
      </c>
      <c r="D665" t="s">
        <v>19</v>
      </c>
      <c r="E665">
        <v>16025</v>
      </c>
      <c r="F665" t="s">
        <v>14</v>
      </c>
      <c r="G665" t="s">
        <v>34</v>
      </c>
      <c r="H665" t="s">
        <v>16</v>
      </c>
      <c r="I665">
        <v>5</v>
      </c>
      <c r="J665">
        <v>0</v>
      </c>
      <c r="K665">
        <v>5</v>
      </c>
    </row>
    <row r="666" spans="1:11" x14ac:dyDescent="0.25">
      <c r="A666" t="s">
        <v>706</v>
      </c>
      <c r="B666" s="1">
        <v>45937.338518518518</v>
      </c>
      <c r="C666" s="2" t="s">
        <v>22</v>
      </c>
      <c r="D666" t="s">
        <v>13</v>
      </c>
      <c r="E666">
        <v>51000</v>
      </c>
      <c r="F666" t="s">
        <v>14</v>
      </c>
      <c r="G666" t="s">
        <v>58</v>
      </c>
      <c r="H666" t="s">
        <v>16</v>
      </c>
      <c r="I666">
        <v>943.5</v>
      </c>
      <c r="J666">
        <v>377.4</v>
      </c>
      <c r="K666">
        <v>566.1</v>
      </c>
    </row>
    <row r="667" spans="1:11" x14ac:dyDescent="0.25">
      <c r="A667" t="s">
        <v>707</v>
      </c>
      <c r="B667" s="1">
        <v>46120.898935185185</v>
      </c>
      <c r="C667" s="2" t="s">
        <v>12</v>
      </c>
      <c r="D667" t="s">
        <v>33</v>
      </c>
      <c r="E667">
        <v>125992</v>
      </c>
      <c r="F667" t="s">
        <v>14</v>
      </c>
      <c r="G667" t="s">
        <v>51</v>
      </c>
      <c r="H667" t="s">
        <v>16</v>
      </c>
      <c r="I667">
        <v>0</v>
      </c>
      <c r="J667">
        <v>0</v>
      </c>
      <c r="K667">
        <v>0</v>
      </c>
    </row>
    <row r="668" spans="1:11" x14ac:dyDescent="0.25">
      <c r="A668" t="s">
        <v>708</v>
      </c>
      <c r="B668" s="1">
        <v>45887.648020833331</v>
      </c>
      <c r="C668" s="2" t="s">
        <v>29</v>
      </c>
      <c r="D668" t="s">
        <v>13</v>
      </c>
      <c r="E668">
        <v>18500</v>
      </c>
      <c r="F668" t="s">
        <v>14</v>
      </c>
      <c r="G668" t="s">
        <v>27</v>
      </c>
      <c r="H668" t="s">
        <v>16</v>
      </c>
      <c r="I668">
        <v>342.25</v>
      </c>
      <c r="J668">
        <v>136.9</v>
      </c>
      <c r="K668">
        <v>205.35</v>
      </c>
    </row>
    <row r="669" spans="1:11" x14ac:dyDescent="0.25">
      <c r="A669" t="s">
        <v>709</v>
      </c>
      <c r="B669" s="1">
        <v>45844.022303240738</v>
      </c>
      <c r="C669" s="2" t="s">
        <v>29</v>
      </c>
      <c r="D669" t="s">
        <v>33</v>
      </c>
      <c r="E669">
        <v>89413</v>
      </c>
      <c r="F669" t="s">
        <v>99</v>
      </c>
      <c r="G669" t="s">
        <v>51</v>
      </c>
      <c r="H669" t="s">
        <v>16</v>
      </c>
      <c r="I669">
        <v>0</v>
      </c>
      <c r="J669">
        <v>0</v>
      </c>
      <c r="K669">
        <v>0</v>
      </c>
    </row>
    <row r="670" spans="1:11" x14ac:dyDescent="0.25">
      <c r="A670" t="s">
        <v>710</v>
      </c>
      <c r="B670" s="1">
        <v>46055.804386574076</v>
      </c>
      <c r="C670" s="2" t="s">
        <v>18</v>
      </c>
      <c r="D670" t="s">
        <v>45</v>
      </c>
      <c r="E670">
        <v>30893</v>
      </c>
      <c r="F670" t="s">
        <v>14</v>
      </c>
      <c r="G670" t="s">
        <v>34</v>
      </c>
      <c r="H670" t="s">
        <v>71</v>
      </c>
      <c r="I670">
        <v>308.93</v>
      </c>
      <c r="J670">
        <v>0</v>
      </c>
      <c r="K670">
        <v>308.93</v>
      </c>
    </row>
    <row r="671" spans="1:11" x14ac:dyDescent="0.25">
      <c r="A671" t="s">
        <v>711</v>
      </c>
      <c r="B671" s="1">
        <v>45817.330023148148</v>
      </c>
      <c r="C671" s="2" t="s">
        <v>39</v>
      </c>
      <c r="D671" t="s">
        <v>45</v>
      </c>
      <c r="E671">
        <v>104639</v>
      </c>
      <c r="F671" t="s">
        <v>14</v>
      </c>
      <c r="G671" t="s">
        <v>34</v>
      </c>
      <c r="H671" t="s">
        <v>178</v>
      </c>
      <c r="I671">
        <v>1046.3900000000001</v>
      </c>
      <c r="J671">
        <v>0</v>
      </c>
      <c r="K671">
        <v>1046.3900000000001</v>
      </c>
    </row>
    <row r="672" spans="1:11" x14ac:dyDescent="0.25">
      <c r="A672" t="s">
        <v>712</v>
      </c>
      <c r="B672" s="1">
        <v>45838.030787037038</v>
      </c>
      <c r="C672" s="2" t="s">
        <v>32</v>
      </c>
      <c r="D672" t="s">
        <v>13</v>
      </c>
      <c r="E672">
        <v>158500</v>
      </c>
      <c r="F672" t="s">
        <v>50</v>
      </c>
      <c r="G672" t="s">
        <v>15</v>
      </c>
      <c r="H672" t="s">
        <v>16</v>
      </c>
      <c r="I672">
        <v>2932.25</v>
      </c>
      <c r="J672">
        <v>1172.9000000000001</v>
      </c>
      <c r="K672">
        <v>1759.35</v>
      </c>
    </row>
    <row r="673" spans="1:11" x14ac:dyDescent="0.25">
      <c r="A673" t="s">
        <v>713</v>
      </c>
      <c r="B673" s="1">
        <v>46053.856886574074</v>
      </c>
      <c r="C673" s="2" t="s">
        <v>39</v>
      </c>
      <c r="D673" t="s">
        <v>33</v>
      </c>
      <c r="E673">
        <v>25843</v>
      </c>
      <c r="F673" t="s">
        <v>14</v>
      </c>
      <c r="G673" t="s">
        <v>20</v>
      </c>
      <c r="H673" t="s">
        <v>16</v>
      </c>
      <c r="I673">
        <v>0</v>
      </c>
      <c r="J673">
        <v>0</v>
      </c>
      <c r="K673">
        <v>0</v>
      </c>
    </row>
    <row r="674" spans="1:11" x14ac:dyDescent="0.25">
      <c r="A674" t="s">
        <v>714</v>
      </c>
      <c r="B674" s="1">
        <v>45793.353449074071</v>
      </c>
      <c r="C674" s="2" t="s">
        <v>41</v>
      </c>
      <c r="D674" t="s">
        <v>45</v>
      </c>
      <c r="E674">
        <v>24873</v>
      </c>
      <c r="F674" t="s">
        <v>50</v>
      </c>
      <c r="G674" t="s">
        <v>30</v>
      </c>
      <c r="H674" t="s">
        <v>59</v>
      </c>
      <c r="I674">
        <v>248.73</v>
      </c>
      <c r="J674">
        <v>0</v>
      </c>
      <c r="K674">
        <v>248.73</v>
      </c>
    </row>
    <row r="675" spans="1:11" x14ac:dyDescent="0.25">
      <c r="A675" t="s">
        <v>715</v>
      </c>
      <c r="B675" s="1">
        <v>45974.480231481481</v>
      </c>
      <c r="C675" s="2" t="s">
        <v>26</v>
      </c>
      <c r="D675" t="s">
        <v>45</v>
      </c>
      <c r="E675">
        <v>121315</v>
      </c>
      <c r="F675" t="s">
        <v>50</v>
      </c>
      <c r="G675" t="s">
        <v>15</v>
      </c>
      <c r="H675" t="s">
        <v>46</v>
      </c>
      <c r="I675">
        <v>1213.1500000000001</v>
      </c>
      <c r="J675">
        <v>0</v>
      </c>
      <c r="K675">
        <v>1213.1500000000001</v>
      </c>
    </row>
    <row r="676" spans="1:11" x14ac:dyDescent="0.25">
      <c r="A676" t="s">
        <v>716</v>
      </c>
      <c r="B676" s="1">
        <v>46048.014884259261</v>
      </c>
      <c r="C676" s="2" t="s">
        <v>18</v>
      </c>
      <c r="D676" t="s">
        <v>19</v>
      </c>
      <c r="E676">
        <v>85830</v>
      </c>
      <c r="F676" t="s">
        <v>14</v>
      </c>
      <c r="G676" t="s">
        <v>15</v>
      </c>
      <c r="H676" t="s">
        <v>16</v>
      </c>
      <c r="I676">
        <v>5</v>
      </c>
      <c r="J676">
        <v>0</v>
      </c>
      <c r="K676">
        <v>5</v>
      </c>
    </row>
    <row r="677" spans="1:11" x14ac:dyDescent="0.25">
      <c r="A677" t="s">
        <v>717</v>
      </c>
      <c r="B677" s="1">
        <v>46045.74827546296</v>
      </c>
      <c r="C677" s="2" t="s">
        <v>39</v>
      </c>
      <c r="D677" t="s">
        <v>23</v>
      </c>
      <c r="E677">
        <v>4268</v>
      </c>
      <c r="F677" t="s">
        <v>14</v>
      </c>
      <c r="G677" t="s">
        <v>15</v>
      </c>
      <c r="H677" t="s">
        <v>16</v>
      </c>
      <c r="I677">
        <v>0</v>
      </c>
      <c r="J677">
        <v>0</v>
      </c>
      <c r="K677">
        <v>0</v>
      </c>
    </row>
    <row r="678" spans="1:11" x14ac:dyDescent="0.25">
      <c r="A678" t="s">
        <v>718</v>
      </c>
      <c r="B678" s="1">
        <v>45820.935277777775</v>
      </c>
      <c r="C678" s="2" t="s">
        <v>18</v>
      </c>
      <c r="D678" t="s">
        <v>45</v>
      </c>
      <c r="E678">
        <v>83450</v>
      </c>
      <c r="F678" t="s">
        <v>14</v>
      </c>
      <c r="G678" t="s">
        <v>58</v>
      </c>
      <c r="H678" t="s">
        <v>178</v>
      </c>
      <c r="I678">
        <v>834.5</v>
      </c>
      <c r="J678">
        <v>0</v>
      </c>
      <c r="K678">
        <v>834.5</v>
      </c>
    </row>
    <row r="679" spans="1:11" x14ac:dyDescent="0.25">
      <c r="A679" t="s">
        <v>719</v>
      </c>
      <c r="B679" s="1">
        <v>46039.873981481483</v>
      </c>
      <c r="C679" s="2" t="s">
        <v>18</v>
      </c>
      <c r="D679" t="s">
        <v>33</v>
      </c>
      <c r="E679">
        <v>86609</v>
      </c>
      <c r="F679" t="s">
        <v>14</v>
      </c>
      <c r="G679" t="s">
        <v>34</v>
      </c>
      <c r="H679" t="s">
        <v>16</v>
      </c>
      <c r="I679">
        <v>0</v>
      </c>
      <c r="J679">
        <v>0</v>
      </c>
      <c r="K679">
        <v>0</v>
      </c>
    </row>
    <row r="680" spans="1:11" x14ac:dyDescent="0.25">
      <c r="A680" t="s">
        <v>720</v>
      </c>
      <c r="B680" s="1">
        <v>46045.084606481483</v>
      </c>
      <c r="C680" s="2" t="s">
        <v>32</v>
      </c>
      <c r="D680" t="s">
        <v>23</v>
      </c>
      <c r="E680">
        <v>18</v>
      </c>
      <c r="F680" t="s">
        <v>50</v>
      </c>
      <c r="G680" t="s">
        <v>30</v>
      </c>
      <c r="H680" t="s">
        <v>16</v>
      </c>
      <c r="I680">
        <v>0</v>
      </c>
      <c r="J680">
        <v>0</v>
      </c>
      <c r="K680">
        <v>0</v>
      </c>
    </row>
    <row r="681" spans="1:11" x14ac:dyDescent="0.25">
      <c r="A681" t="s">
        <v>721</v>
      </c>
      <c r="B681" s="1">
        <v>45876.747777777775</v>
      </c>
      <c r="C681" s="2" t="s">
        <v>29</v>
      </c>
      <c r="D681" t="s">
        <v>33</v>
      </c>
      <c r="E681">
        <v>47192</v>
      </c>
      <c r="F681" t="s">
        <v>50</v>
      </c>
      <c r="G681" t="s">
        <v>30</v>
      </c>
      <c r="H681" t="s">
        <v>16</v>
      </c>
      <c r="I681">
        <v>0</v>
      </c>
      <c r="J681">
        <v>0</v>
      </c>
      <c r="K681">
        <v>0</v>
      </c>
    </row>
    <row r="682" spans="1:11" x14ac:dyDescent="0.25">
      <c r="A682" t="s">
        <v>722</v>
      </c>
      <c r="B682" s="1">
        <v>45939.290625000001</v>
      </c>
      <c r="C682" s="2" t="s">
        <v>32</v>
      </c>
      <c r="D682" t="s">
        <v>45</v>
      </c>
      <c r="E682">
        <v>122215</v>
      </c>
      <c r="F682" t="s">
        <v>14</v>
      </c>
      <c r="G682" t="s">
        <v>30</v>
      </c>
      <c r="H682" t="s">
        <v>71</v>
      </c>
      <c r="I682">
        <v>1222.1500000000001</v>
      </c>
      <c r="J682">
        <v>0</v>
      </c>
      <c r="K682">
        <v>1222.1500000000001</v>
      </c>
    </row>
    <row r="683" spans="1:11" x14ac:dyDescent="0.25">
      <c r="A683" t="s">
        <v>723</v>
      </c>
      <c r="B683" s="1">
        <v>45853.26525462963</v>
      </c>
      <c r="C683" s="2" t="s">
        <v>29</v>
      </c>
      <c r="D683" t="s">
        <v>19</v>
      </c>
      <c r="E683">
        <v>7453</v>
      </c>
      <c r="F683" t="s">
        <v>14</v>
      </c>
      <c r="G683" t="s">
        <v>27</v>
      </c>
      <c r="H683" t="s">
        <v>16</v>
      </c>
      <c r="I683">
        <v>5</v>
      </c>
      <c r="J683">
        <v>0</v>
      </c>
      <c r="K683">
        <v>5</v>
      </c>
    </row>
    <row r="684" spans="1:11" x14ac:dyDescent="0.25">
      <c r="A684" t="s">
        <v>724</v>
      </c>
      <c r="B684" s="1">
        <v>46016.031053240738</v>
      </c>
      <c r="C684" s="2" t="s">
        <v>32</v>
      </c>
      <c r="D684" t="s">
        <v>19</v>
      </c>
      <c r="E684">
        <v>8260</v>
      </c>
      <c r="F684" t="s">
        <v>14</v>
      </c>
      <c r="G684" t="s">
        <v>20</v>
      </c>
      <c r="H684" t="s">
        <v>16</v>
      </c>
      <c r="I684">
        <v>5</v>
      </c>
      <c r="J684">
        <v>0</v>
      </c>
      <c r="K684">
        <v>5</v>
      </c>
    </row>
    <row r="685" spans="1:11" x14ac:dyDescent="0.25">
      <c r="A685" t="s">
        <v>725</v>
      </c>
      <c r="B685" s="1">
        <v>45996.940752314818</v>
      </c>
      <c r="C685" s="2" t="s">
        <v>18</v>
      </c>
      <c r="D685" t="s">
        <v>13</v>
      </c>
      <c r="E685">
        <v>50000</v>
      </c>
      <c r="F685" t="s">
        <v>14</v>
      </c>
      <c r="G685" t="s">
        <v>51</v>
      </c>
      <c r="H685" t="s">
        <v>16</v>
      </c>
      <c r="I685">
        <v>925</v>
      </c>
      <c r="J685">
        <v>370</v>
      </c>
      <c r="K685">
        <v>555</v>
      </c>
    </row>
    <row r="686" spans="1:11" x14ac:dyDescent="0.25">
      <c r="A686" t="s">
        <v>726</v>
      </c>
      <c r="B686" s="1">
        <v>45993.20752314815</v>
      </c>
      <c r="C686" s="2" t="s">
        <v>26</v>
      </c>
      <c r="D686" t="s">
        <v>23</v>
      </c>
      <c r="E686">
        <v>4922</v>
      </c>
      <c r="F686" t="s">
        <v>14</v>
      </c>
      <c r="G686" t="s">
        <v>58</v>
      </c>
      <c r="H686" t="s">
        <v>16</v>
      </c>
      <c r="I686">
        <v>0</v>
      </c>
      <c r="J686">
        <v>0</v>
      </c>
      <c r="K686">
        <v>0</v>
      </c>
    </row>
    <row r="687" spans="1:11" x14ac:dyDescent="0.25">
      <c r="A687" t="s">
        <v>727</v>
      </c>
      <c r="B687" s="1">
        <v>45958.291597222225</v>
      </c>
      <c r="C687" s="2" t="s">
        <v>32</v>
      </c>
      <c r="D687" t="s">
        <v>23</v>
      </c>
      <c r="E687">
        <v>1204</v>
      </c>
      <c r="F687" t="s">
        <v>14</v>
      </c>
      <c r="G687" t="s">
        <v>84</v>
      </c>
      <c r="H687" t="s">
        <v>16</v>
      </c>
      <c r="I687">
        <v>0</v>
      </c>
      <c r="J687">
        <v>0</v>
      </c>
      <c r="K687">
        <v>0</v>
      </c>
    </row>
    <row r="688" spans="1:11" x14ac:dyDescent="0.25">
      <c r="A688" t="s">
        <v>728</v>
      </c>
      <c r="B688" s="1">
        <v>46086.809583333335</v>
      </c>
      <c r="C688" s="2" t="s">
        <v>18</v>
      </c>
      <c r="D688" t="s">
        <v>19</v>
      </c>
      <c r="E688">
        <v>1065</v>
      </c>
      <c r="F688" t="s">
        <v>14</v>
      </c>
      <c r="G688" t="s">
        <v>34</v>
      </c>
      <c r="H688" t="s">
        <v>16</v>
      </c>
      <c r="I688">
        <v>5</v>
      </c>
      <c r="J688">
        <v>0</v>
      </c>
      <c r="K688">
        <v>5</v>
      </c>
    </row>
    <row r="689" spans="1:11" x14ac:dyDescent="0.25">
      <c r="A689" t="s">
        <v>729</v>
      </c>
      <c r="B689" s="1">
        <v>46053.816574074073</v>
      </c>
      <c r="C689" s="2" t="s">
        <v>18</v>
      </c>
      <c r="D689" t="s">
        <v>23</v>
      </c>
      <c r="E689">
        <v>4450</v>
      </c>
      <c r="F689" t="s">
        <v>14</v>
      </c>
      <c r="G689" t="s">
        <v>51</v>
      </c>
      <c r="H689" t="s">
        <v>16</v>
      </c>
      <c r="I689">
        <v>0</v>
      </c>
      <c r="J689">
        <v>0</v>
      </c>
      <c r="K689">
        <v>0</v>
      </c>
    </row>
    <row r="690" spans="1:11" x14ac:dyDescent="0.25">
      <c r="A690" t="s">
        <v>730</v>
      </c>
      <c r="B690" s="1">
        <v>45864.95716435185</v>
      </c>
      <c r="C690" s="2" t="s">
        <v>41</v>
      </c>
      <c r="D690" t="s">
        <v>13</v>
      </c>
      <c r="E690">
        <v>111000</v>
      </c>
      <c r="F690" t="s">
        <v>14</v>
      </c>
      <c r="G690" t="s">
        <v>34</v>
      </c>
      <c r="H690" t="s">
        <v>16</v>
      </c>
      <c r="I690">
        <v>2053.5</v>
      </c>
      <c r="J690">
        <v>821.4</v>
      </c>
      <c r="K690">
        <v>1232.0999999999999</v>
      </c>
    </row>
    <row r="691" spans="1:11" x14ac:dyDescent="0.25">
      <c r="A691" t="s">
        <v>731</v>
      </c>
      <c r="B691" s="1">
        <v>45918.021111111113</v>
      </c>
      <c r="C691" s="2" t="s">
        <v>22</v>
      </c>
      <c r="D691" t="s">
        <v>45</v>
      </c>
      <c r="E691">
        <v>77385</v>
      </c>
      <c r="F691" t="s">
        <v>14</v>
      </c>
      <c r="G691" t="s">
        <v>27</v>
      </c>
      <c r="H691" t="s">
        <v>56</v>
      </c>
      <c r="I691">
        <v>773.85</v>
      </c>
      <c r="J691">
        <v>0</v>
      </c>
      <c r="K691">
        <v>773.85</v>
      </c>
    </row>
    <row r="692" spans="1:11" x14ac:dyDescent="0.25">
      <c r="A692" t="s">
        <v>732</v>
      </c>
      <c r="B692" s="1">
        <v>45832.064872685187</v>
      </c>
      <c r="C692" s="2" t="s">
        <v>12</v>
      </c>
      <c r="D692" t="s">
        <v>19</v>
      </c>
      <c r="E692">
        <v>124336</v>
      </c>
      <c r="F692" t="s">
        <v>14</v>
      </c>
      <c r="G692" t="s">
        <v>34</v>
      </c>
      <c r="H692" t="s">
        <v>16</v>
      </c>
      <c r="I692">
        <v>5</v>
      </c>
      <c r="J692">
        <v>0</v>
      </c>
      <c r="K692">
        <v>5</v>
      </c>
    </row>
    <row r="693" spans="1:11" x14ac:dyDescent="0.25">
      <c r="A693" t="s">
        <v>733</v>
      </c>
      <c r="B693" s="1">
        <v>45949.049178240741</v>
      </c>
      <c r="C693" s="2" t="s">
        <v>26</v>
      </c>
      <c r="D693" t="s">
        <v>23</v>
      </c>
      <c r="E693">
        <v>4249</v>
      </c>
      <c r="F693" t="s">
        <v>14</v>
      </c>
      <c r="G693" t="s">
        <v>84</v>
      </c>
      <c r="H693" t="s">
        <v>16</v>
      </c>
      <c r="I693">
        <v>0</v>
      </c>
      <c r="J693">
        <v>0</v>
      </c>
      <c r="K693">
        <v>0</v>
      </c>
    </row>
    <row r="694" spans="1:11" x14ac:dyDescent="0.25">
      <c r="A694" t="s">
        <v>734</v>
      </c>
      <c r="B694" s="1">
        <v>45920.010706018518</v>
      </c>
      <c r="C694" s="2" t="s">
        <v>32</v>
      </c>
      <c r="D694" t="s">
        <v>33</v>
      </c>
      <c r="E694">
        <v>80736</v>
      </c>
      <c r="F694" t="s">
        <v>14</v>
      </c>
      <c r="G694" t="s">
        <v>27</v>
      </c>
      <c r="H694" t="s">
        <v>16</v>
      </c>
      <c r="I694">
        <v>0</v>
      </c>
      <c r="J694">
        <v>0</v>
      </c>
      <c r="K694">
        <v>0</v>
      </c>
    </row>
    <row r="695" spans="1:11" x14ac:dyDescent="0.25">
      <c r="A695" t="s">
        <v>735</v>
      </c>
      <c r="B695" s="1">
        <v>45788.461724537039</v>
      </c>
      <c r="C695" s="2" t="s">
        <v>18</v>
      </c>
      <c r="D695" t="s">
        <v>23</v>
      </c>
      <c r="E695">
        <v>1160</v>
      </c>
      <c r="F695" t="s">
        <v>14</v>
      </c>
      <c r="G695" t="s">
        <v>34</v>
      </c>
      <c r="H695" t="s">
        <v>16</v>
      </c>
      <c r="I695">
        <v>0</v>
      </c>
      <c r="J695">
        <v>0</v>
      </c>
      <c r="K695">
        <v>0</v>
      </c>
    </row>
    <row r="696" spans="1:11" x14ac:dyDescent="0.25">
      <c r="A696" t="s">
        <v>736</v>
      </c>
      <c r="B696" s="1">
        <v>45976.222210648149</v>
      </c>
      <c r="C696" s="2" t="s">
        <v>26</v>
      </c>
      <c r="D696" t="s">
        <v>13</v>
      </c>
      <c r="E696">
        <v>112500</v>
      </c>
      <c r="F696" t="s">
        <v>14</v>
      </c>
      <c r="G696" t="s">
        <v>30</v>
      </c>
      <c r="H696" t="s">
        <v>16</v>
      </c>
      <c r="I696">
        <v>2081.25</v>
      </c>
      <c r="J696">
        <v>832.5</v>
      </c>
      <c r="K696">
        <v>1248.75</v>
      </c>
    </row>
    <row r="697" spans="1:11" x14ac:dyDescent="0.25">
      <c r="A697" t="s">
        <v>737</v>
      </c>
      <c r="B697" s="1">
        <v>45801.455069444448</v>
      </c>
      <c r="C697" s="2" t="s">
        <v>41</v>
      </c>
      <c r="D697" t="s">
        <v>33</v>
      </c>
      <c r="E697">
        <v>29654</v>
      </c>
      <c r="F697" t="s">
        <v>14</v>
      </c>
      <c r="G697" t="s">
        <v>27</v>
      </c>
      <c r="H697" t="s">
        <v>16</v>
      </c>
      <c r="I697">
        <v>0</v>
      </c>
      <c r="J697">
        <v>0</v>
      </c>
      <c r="K697">
        <v>0</v>
      </c>
    </row>
    <row r="698" spans="1:11" x14ac:dyDescent="0.25">
      <c r="A698" t="s">
        <v>738</v>
      </c>
      <c r="B698" s="1">
        <v>45824.915451388886</v>
      </c>
      <c r="C698" s="2" t="s">
        <v>22</v>
      </c>
      <c r="D698" t="s">
        <v>23</v>
      </c>
      <c r="E698">
        <v>4668</v>
      </c>
      <c r="F698" t="s">
        <v>99</v>
      </c>
      <c r="G698" t="s">
        <v>15</v>
      </c>
      <c r="H698" t="s">
        <v>16</v>
      </c>
      <c r="I698">
        <v>0</v>
      </c>
      <c r="J698">
        <v>0</v>
      </c>
      <c r="K698">
        <v>0</v>
      </c>
    </row>
    <row r="699" spans="1:11" x14ac:dyDescent="0.25">
      <c r="A699" t="s">
        <v>739</v>
      </c>
      <c r="B699" s="1">
        <v>45885.713391203702</v>
      </c>
      <c r="C699" s="2" t="s">
        <v>29</v>
      </c>
      <c r="D699" t="s">
        <v>23</v>
      </c>
      <c r="E699">
        <v>2808</v>
      </c>
      <c r="F699" t="s">
        <v>14</v>
      </c>
      <c r="G699" t="s">
        <v>34</v>
      </c>
      <c r="H699" t="s">
        <v>16</v>
      </c>
      <c r="I699">
        <v>0</v>
      </c>
      <c r="J699">
        <v>0</v>
      </c>
      <c r="K699">
        <v>0</v>
      </c>
    </row>
    <row r="700" spans="1:11" x14ac:dyDescent="0.25">
      <c r="A700" t="s">
        <v>740</v>
      </c>
      <c r="B700" s="1">
        <v>46044.296932870369</v>
      </c>
      <c r="C700" s="2" t="s">
        <v>26</v>
      </c>
      <c r="D700" t="s">
        <v>19</v>
      </c>
      <c r="E700">
        <v>146075</v>
      </c>
      <c r="F700" t="s">
        <v>14</v>
      </c>
      <c r="G700" t="s">
        <v>15</v>
      </c>
      <c r="H700" t="s">
        <v>16</v>
      </c>
      <c r="I700">
        <v>5</v>
      </c>
      <c r="J700">
        <v>0</v>
      </c>
      <c r="K700">
        <v>5</v>
      </c>
    </row>
    <row r="701" spans="1:11" x14ac:dyDescent="0.25">
      <c r="A701" t="s">
        <v>741</v>
      </c>
      <c r="B701" s="1">
        <v>46097.684328703705</v>
      </c>
      <c r="C701" s="2" t="s">
        <v>32</v>
      </c>
      <c r="D701" t="s">
        <v>13</v>
      </c>
      <c r="E701">
        <v>24500</v>
      </c>
      <c r="F701" t="s">
        <v>50</v>
      </c>
      <c r="G701" t="s">
        <v>51</v>
      </c>
      <c r="H701" t="s">
        <v>16</v>
      </c>
      <c r="I701">
        <v>453.25</v>
      </c>
      <c r="J701">
        <v>181.3</v>
      </c>
      <c r="K701">
        <v>271.95</v>
      </c>
    </row>
    <row r="702" spans="1:11" x14ac:dyDescent="0.25">
      <c r="A702" t="s">
        <v>742</v>
      </c>
      <c r="B702" s="1">
        <v>45794.260717592595</v>
      </c>
      <c r="C702" s="2" t="s">
        <v>32</v>
      </c>
      <c r="D702" t="s">
        <v>33</v>
      </c>
      <c r="E702">
        <v>83030</v>
      </c>
      <c r="F702" t="s">
        <v>50</v>
      </c>
      <c r="G702" t="s">
        <v>34</v>
      </c>
      <c r="H702" t="s">
        <v>16</v>
      </c>
      <c r="I702">
        <v>0</v>
      </c>
      <c r="J702">
        <v>0</v>
      </c>
      <c r="K702">
        <v>0</v>
      </c>
    </row>
    <row r="703" spans="1:11" x14ac:dyDescent="0.25">
      <c r="A703" t="s">
        <v>743</v>
      </c>
      <c r="B703" s="1">
        <v>46040.98578703704</v>
      </c>
      <c r="C703" s="2" t="s">
        <v>18</v>
      </c>
      <c r="D703" t="s">
        <v>45</v>
      </c>
      <c r="E703">
        <v>41461</v>
      </c>
      <c r="F703" t="s">
        <v>14</v>
      </c>
      <c r="G703" t="s">
        <v>24</v>
      </c>
      <c r="H703" t="s">
        <v>71</v>
      </c>
      <c r="I703">
        <v>414.61</v>
      </c>
      <c r="J703">
        <v>0</v>
      </c>
      <c r="K703">
        <v>414.61</v>
      </c>
    </row>
    <row r="704" spans="1:11" x14ac:dyDescent="0.25">
      <c r="A704" t="s">
        <v>744</v>
      </c>
      <c r="B704" s="1">
        <v>46075.791307870371</v>
      </c>
      <c r="C704" s="2" t="s">
        <v>32</v>
      </c>
      <c r="D704" t="s">
        <v>23</v>
      </c>
      <c r="E704">
        <v>1515</v>
      </c>
      <c r="F704" t="s">
        <v>14</v>
      </c>
      <c r="G704" t="s">
        <v>84</v>
      </c>
      <c r="H704" t="s">
        <v>16</v>
      </c>
      <c r="I704">
        <v>0</v>
      </c>
      <c r="J704">
        <v>0</v>
      </c>
      <c r="K704">
        <v>0</v>
      </c>
    </row>
    <row r="705" spans="1:11" x14ac:dyDescent="0.25">
      <c r="A705" t="s">
        <v>745</v>
      </c>
      <c r="B705" s="1">
        <v>45894.30201388889</v>
      </c>
      <c r="C705" s="2" t="s">
        <v>26</v>
      </c>
      <c r="D705" t="s">
        <v>19</v>
      </c>
      <c r="E705">
        <v>80679</v>
      </c>
      <c r="F705" t="s">
        <v>14</v>
      </c>
      <c r="G705" t="s">
        <v>30</v>
      </c>
      <c r="H705" t="s">
        <v>16</v>
      </c>
      <c r="I705">
        <v>5</v>
      </c>
      <c r="J705">
        <v>0</v>
      </c>
      <c r="K705">
        <v>5</v>
      </c>
    </row>
    <row r="706" spans="1:11" x14ac:dyDescent="0.25">
      <c r="A706" t="s">
        <v>746</v>
      </c>
      <c r="B706" s="1">
        <v>46036.574606481481</v>
      </c>
      <c r="C706" s="2" t="s">
        <v>32</v>
      </c>
      <c r="D706" t="s">
        <v>19</v>
      </c>
      <c r="E706">
        <v>58180</v>
      </c>
      <c r="F706" t="s">
        <v>50</v>
      </c>
      <c r="G706" t="s">
        <v>24</v>
      </c>
      <c r="H706" t="s">
        <v>16</v>
      </c>
      <c r="I706">
        <v>5</v>
      </c>
      <c r="J706">
        <v>0</v>
      </c>
      <c r="K706">
        <v>5</v>
      </c>
    </row>
    <row r="707" spans="1:11" x14ac:dyDescent="0.25">
      <c r="A707" t="s">
        <v>747</v>
      </c>
      <c r="B707" s="1">
        <v>45789.748657407406</v>
      </c>
      <c r="C707" s="2" t="s">
        <v>39</v>
      </c>
      <c r="D707" t="s">
        <v>45</v>
      </c>
      <c r="E707">
        <v>7835</v>
      </c>
      <c r="F707" t="s">
        <v>14</v>
      </c>
      <c r="G707" t="s">
        <v>51</v>
      </c>
      <c r="H707" t="s">
        <v>46</v>
      </c>
      <c r="I707">
        <v>78.349999999999994</v>
      </c>
      <c r="J707">
        <v>0</v>
      </c>
      <c r="K707">
        <v>78.349999999999994</v>
      </c>
    </row>
    <row r="708" spans="1:11" x14ac:dyDescent="0.25">
      <c r="A708" t="s">
        <v>748</v>
      </c>
      <c r="B708" s="1">
        <v>45950.949143518519</v>
      </c>
      <c r="C708" s="2" t="s">
        <v>18</v>
      </c>
      <c r="D708" t="s">
        <v>13</v>
      </c>
      <c r="E708">
        <v>227000</v>
      </c>
      <c r="F708" t="s">
        <v>14</v>
      </c>
      <c r="G708" t="s">
        <v>34</v>
      </c>
      <c r="H708" t="s">
        <v>16</v>
      </c>
      <c r="I708">
        <v>4199.5</v>
      </c>
      <c r="J708">
        <v>1679.8</v>
      </c>
      <c r="K708">
        <v>2519.6999999999998</v>
      </c>
    </row>
    <row r="709" spans="1:11" x14ac:dyDescent="0.25">
      <c r="A709" t="s">
        <v>749</v>
      </c>
      <c r="B709" s="1">
        <v>46007.905648148146</v>
      </c>
      <c r="C709" s="2" t="s">
        <v>41</v>
      </c>
      <c r="D709" t="s">
        <v>33</v>
      </c>
      <c r="E709">
        <v>123904</v>
      </c>
      <c r="F709" t="s">
        <v>14</v>
      </c>
      <c r="G709" t="s">
        <v>51</v>
      </c>
      <c r="H709" t="s">
        <v>16</v>
      </c>
      <c r="I709">
        <v>0</v>
      </c>
      <c r="J709">
        <v>0</v>
      </c>
      <c r="K709">
        <v>0</v>
      </c>
    </row>
    <row r="710" spans="1:11" x14ac:dyDescent="0.25">
      <c r="A710" t="s">
        <v>750</v>
      </c>
      <c r="B710" s="1">
        <v>45864.989479166667</v>
      </c>
      <c r="C710" s="2" t="s">
        <v>26</v>
      </c>
      <c r="D710" t="s">
        <v>33</v>
      </c>
      <c r="E710">
        <v>54696</v>
      </c>
      <c r="F710" t="s">
        <v>14</v>
      </c>
      <c r="G710" t="s">
        <v>24</v>
      </c>
      <c r="H710" t="s">
        <v>16</v>
      </c>
      <c r="I710">
        <v>0</v>
      </c>
      <c r="J710">
        <v>0</v>
      </c>
      <c r="K710">
        <v>0</v>
      </c>
    </row>
    <row r="711" spans="1:11" x14ac:dyDescent="0.25">
      <c r="A711" t="s">
        <v>751</v>
      </c>
      <c r="B711" s="1">
        <v>45882.868460648147</v>
      </c>
      <c r="C711" s="2" t="s">
        <v>26</v>
      </c>
      <c r="D711" t="s">
        <v>19</v>
      </c>
      <c r="E711">
        <v>573</v>
      </c>
      <c r="F711" t="s">
        <v>14</v>
      </c>
      <c r="G711" t="s">
        <v>27</v>
      </c>
      <c r="H711" t="s">
        <v>16</v>
      </c>
      <c r="I711">
        <v>5</v>
      </c>
      <c r="J711">
        <v>0</v>
      </c>
      <c r="K711">
        <v>5</v>
      </c>
    </row>
    <row r="712" spans="1:11" x14ac:dyDescent="0.25">
      <c r="A712" t="s">
        <v>752</v>
      </c>
      <c r="B712" s="1">
        <v>45814.88108796296</v>
      </c>
      <c r="C712" s="2" t="s">
        <v>12</v>
      </c>
      <c r="D712" t="s">
        <v>33</v>
      </c>
      <c r="E712">
        <v>103493</v>
      </c>
      <c r="F712" t="s">
        <v>14</v>
      </c>
      <c r="G712" t="s">
        <v>34</v>
      </c>
      <c r="H712" t="s">
        <v>16</v>
      </c>
      <c r="I712">
        <v>0</v>
      </c>
      <c r="J712">
        <v>0</v>
      </c>
      <c r="K712">
        <v>0</v>
      </c>
    </row>
    <row r="713" spans="1:11" x14ac:dyDescent="0.25">
      <c r="A713" t="s">
        <v>753</v>
      </c>
      <c r="B713" s="1">
        <v>45894.523043981484</v>
      </c>
      <c r="C713" s="2" t="s">
        <v>39</v>
      </c>
      <c r="D713" t="s">
        <v>19</v>
      </c>
      <c r="E713">
        <v>103965</v>
      </c>
      <c r="F713" t="s">
        <v>14</v>
      </c>
      <c r="G713" t="s">
        <v>84</v>
      </c>
      <c r="H713" t="s">
        <v>16</v>
      </c>
      <c r="I713">
        <v>5</v>
      </c>
      <c r="J713">
        <v>0</v>
      </c>
      <c r="K713">
        <v>5</v>
      </c>
    </row>
    <row r="714" spans="1:11" x14ac:dyDescent="0.25">
      <c r="A714" t="s">
        <v>754</v>
      </c>
      <c r="B714" s="1">
        <v>45807.642013888886</v>
      </c>
      <c r="C714" s="2" t="s">
        <v>18</v>
      </c>
      <c r="D714" t="s">
        <v>19</v>
      </c>
      <c r="E714">
        <v>112434</v>
      </c>
      <c r="F714" t="s">
        <v>14</v>
      </c>
      <c r="G714" t="s">
        <v>84</v>
      </c>
      <c r="H714" t="s">
        <v>16</v>
      </c>
      <c r="I714">
        <v>5</v>
      </c>
      <c r="J714">
        <v>0</v>
      </c>
      <c r="K714">
        <v>5</v>
      </c>
    </row>
    <row r="715" spans="1:11" x14ac:dyDescent="0.25">
      <c r="A715" t="s">
        <v>755</v>
      </c>
      <c r="B715" s="1">
        <v>45861.999803240738</v>
      </c>
      <c r="C715" s="2" t="s">
        <v>22</v>
      </c>
      <c r="D715" t="s">
        <v>45</v>
      </c>
      <c r="E715">
        <v>123069</v>
      </c>
      <c r="F715" t="s">
        <v>14</v>
      </c>
      <c r="G715" t="s">
        <v>24</v>
      </c>
      <c r="H715" t="s">
        <v>56</v>
      </c>
      <c r="I715">
        <v>1230.69</v>
      </c>
      <c r="J715">
        <v>0</v>
      </c>
      <c r="K715">
        <v>1230.69</v>
      </c>
    </row>
    <row r="716" spans="1:11" x14ac:dyDescent="0.25">
      <c r="A716" t="s">
        <v>756</v>
      </c>
      <c r="B716" s="1">
        <v>45829.587719907409</v>
      </c>
      <c r="C716" s="2" t="s">
        <v>18</v>
      </c>
      <c r="D716" t="s">
        <v>33</v>
      </c>
      <c r="E716">
        <v>56065</v>
      </c>
      <c r="F716" t="s">
        <v>14</v>
      </c>
      <c r="G716" t="s">
        <v>84</v>
      </c>
      <c r="H716" t="s">
        <v>16</v>
      </c>
      <c r="I716">
        <v>0</v>
      </c>
      <c r="J716">
        <v>0</v>
      </c>
      <c r="K716">
        <v>0</v>
      </c>
    </row>
    <row r="717" spans="1:11" x14ac:dyDescent="0.25">
      <c r="A717" t="s">
        <v>757</v>
      </c>
      <c r="B717" s="1">
        <v>45789.251851851855</v>
      </c>
      <c r="C717" s="2" t="s">
        <v>39</v>
      </c>
      <c r="D717" t="s">
        <v>13</v>
      </c>
      <c r="E717">
        <v>211500</v>
      </c>
      <c r="F717" t="s">
        <v>14</v>
      </c>
      <c r="G717" t="s">
        <v>27</v>
      </c>
      <c r="H717" t="s">
        <v>16</v>
      </c>
      <c r="I717">
        <v>3912.75</v>
      </c>
      <c r="J717">
        <v>1565.1</v>
      </c>
      <c r="K717">
        <v>2347.65</v>
      </c>
    </row>
    <row r="718" spans="1:11" x14ac:dyDescent="0.25">
      <c r="A718" t="s">
        <v>758</v>
      </c>
      <c r="B718" s="1">
        <v>45969.147581018522</v>
      </c>
      <c r="C718" s="2" t="s">
        <v>32</v>
      </c>
      <c r="D718" t="s">
        <v>33</v>
      </c>
      <c r="E718">
        <v>51419</v>
      </c>
      <c r="F718" t="s">
        <v>50</v>
      </c>
      <c r="G718" t="s">
        <v>15</v>
      </c>
      <c r="H718" t="s">
        <v>16</v>
      </c>
      <c r="I718">
        <v>0</v>
      </c>
      <c r="J718">
        <v>0</v>
      </c>
      <c r="K718">
        <v>0</v>
      </c>
    </row>
    <row r="719" spans="1:11" x14ac:dyDescent="0.25">
      <c r="A719" t="s">
        <v>759</v>
      </c>
      <c r="B719" s="1">
        <v>46031.154027777775</v>
      </c>
      <c r="C719" s="2" t="s">
        <v>29</v>
      </c>
      <c r="D719" t="s">
        <v>19</v>
      </c>
      <c r="E719">
        <v>65137</v>
      </c>
      <c r="F719" t="s">
        <v>14</v>
      </c>
      <c r="G719" t="s">
        <v>27</v>
      </c>
      <c r="H719" t="s">
        <v>16</v>
      </c>
      <c r="I719">
        <v>5</v>
      </c>
      <c r="J719">
        <v>0</v>
      </c>
      <c r="K719">
        <v>5</v>
      </c>
    </row>
    <row r="720" spans="1:11" x14ac:dyDescent="0.25">
      <c r="A720" t="s">
        <v>760</v>
      </c>
      <c r="B720" s="1">
        <v>45947.047384259262</v>
      </c>
      <c r="C720" s="2" t="s">
        <v>26</v>
      </c>
      <c r="D720" t="s">
        <v>45</v>
      </c>
      <c r="E720">
        <v>77373</v>
      </c>
      <c r="F720" t="s">
        <v>50</v>
      </c>
      <c r="G720" t="s">
        <v>27</v>
      </c>
      <c r="H720" t="s">
        <v>178</v>
      </c>
      <c r="I720">
        <v>773.73</v>
      </c>
      <c r="J720">
        <v>0</v>
      </c>
      <c r="K720">
        <v>773.73</v>
      </c>
    </row>
    <row r="721" spans="1:11" x14ac:dyDescent="0.25">
      <c r="A721" t="s">
        <v>761</v>
      </c>
      <c r="B721" s="1">
        <v>46101.620775462965</v>
      </c>
      <c r="C721" s="2" t="s">
        <v>32</v>
      </c>
      <c r="D721" t="s">
        <v>19</v>
      </c>
      <c r="E721">
        <v>75908</v>
      </c>
      <c r="F721" t="s">
        <v>14</v>
      </c>
      <c r="G721" t="s">
        <v>34</v>
      </c>
      <c r="H721" t="s">
        <v>16</v>
      </c>
      <c r="I721">
        <v>5</v>
      </c>
      <c r="J721">
        <v>0</v>
      </c>
      <c r="K721">
        <v>5</v>
      </c>
    </row>
    <row r="722" spans="1:11" x14ac:dyDescent="0.25">
      <c r="A722" t="s">
        <v>762</v>
      </c>
      <c r="B722" s="1">
        <v>46013.291388888887</v>
      </c>
      <c r="C722" s="2" t="s">
        <v>12</v>
      </c>
      <c r="D722" t="s">
        <v>13</v>
      </c>
      <c r="E722">
        <v>229500</v>
      </c>
      <c r="F722" t="s">
        <v>14</v>
      </c>
      <c r="G722" t="s">
        <v>30</v>
      </c>
      <c r="H722" t="s">
        <v>16</v>
      </c>
      <c r="I722">
        <v>4245.75</v>
      </c>
      <c r="J722">
        <v>1698.3</v>
      </c>
      <c r="K722">
        <v>2547.4499999999998</v>
      </c>
    </row>
    <row r="723" spans="1:11" x14ac:dyDescent="0.25">
      <c r="A723" t="s">
        <v>763</v>
      </c>
      <c r="B723" s="1">
        <v>45798.389131944445</v>
      </c>
      <c r="C723" s="2" t="s">
        <v>29</v>
      </c>
      <c r="D723" t="s">
        <v>23</v>
      </c>
      <c r="E723">
        <v>366</v>
      </c>
      <c r="F723" t="s">
        <v>14</v>
      </c>
      <c r="G723" t="s">
        <v>84</v>
      </c>
      <c r="H723" t="s">
        <v>16</v>
      </c>
      <c r="I723">
        <v>0</v>
      </c>
      <c r="J723">
        <v>0</v>
      </c>
      <c r="K723">
        <v>0</v>
      </c>
    </row>
    <row r="724" spans="1:11" x14ac:dyDescent="0.25">
      <c r="A724" t="s">
        <v>764</v>
      </c>
      <c r="B724" s="1">
        <v>45854.539293981485</v>
      </c>
      <c r="C724" s="2" t="s">
        <v>32</v>
      </c>
      <c r="D724" t="s">
        <v>23</v>
      </c>
      <c r="E724">
        <v>4990</v>
      </c>
      <c r="F724" t="s">
        <v>14</v>
      </c>
      <c r="G724" t="s">
        <v>30</v>
      </c>
      <c r="H724" t="s">
        <v>16</v>
      </c>
      <c r="I724">
        <v>0</v>
      </c>
      <c r="J724">
        <v>0</v>
      </c>
      <c r="K724">
        <v>0</v>
      </c>
    </row>
    <row r="725" spans="1:11" x14ac:dyDescent="0.25">
      <c r="A725" t="s">
        <v>765</v>
      </c>
      <c r="B725" s="1">
        <v>46036.876226851855</v>
      </c>
      <c r="C725" s="2" t="s">
        <v>18</v>
      </c>
      <c r="D725" t="s">
        <v>23</v>
      </c>
      <c r="E725">
        <v>3284</v>
      </c>
      <c r="F725" t="s">
        <v>14</v>
      </c>
      <c r="G725" t="s">
        <v>15</v>
      </c>
      <c r="H725" t="s">
        <v>16</v>
      </c>
      <c r="I725">
        <v>0</v>
      </c>
      <c r="J725">
        <v>0</v>
      </c>
      <c r="K725">
        <v>0</v>
      </c>
    </row>
    <row r="726" spans="1:11" x14ac:dyDescent="0.25">
      <c r="A726" t="s">
        <v>766</v>
      </c>
      <c r="B726" s="1">
        <v>45877.09511574074</v>
      </c>
      <c r="C726" s="2" t="s">
        <v>41</v>
      </c>
      <c r="D726" t="s">
        <v>19</v>
      </c>
      <c r="E726">
        <v>55521</v>
      </c>
      <c r="F726" t="s">
        <v>99</v>
      </c>
      <c r="G726" t="s">
        <v>15</v>
      </c>
      <c r="H726" t="s">
        <v>16</v>
      </c>
      <c r="I726">
        <v>5</v>
      </c>
      <c r="J726">
        <v>0</v>
      </c>
      <c r="K726">
        <v>5</v>
      </c>
    </row>
    <row r="727" spans="1:11" x14ac:dyDescent="0.25">
      <c r="A727" t="s">
        <v>767</v>
      </c>
      <c r="B727" s="1">
        <v>45868.181030092594</v>
      </c>
      <c r="C727" s="2" t="s">
        <v>26</v>
      </c>
      <c r="D727" t="s">
        <v>13</v>
      </c>
      <c r="E727">
        <v>133000</v>
      </c>
      <c r="F727" t="s">
        <v>14</v>
      </c>
      <c r="G727" t="s">
        <v>15</v>
      </c>
      <c r="H727" t="s">
        <v>16</v>
      </c>
      <c r="I727">
        <v>2460.5</v>
      </c>
      <c r="J727">
        <v>984.2</v>
      </c>
      <c r="K727">
        <v>1476.3</v>
      </c>
    </row>
    <row r="728" spans="1:11" x14ac:dyDescent="0.25">
      <c r="A728" t="s">
        <v>768</v>
      </c>
      <c r="B728" s="1">
        <v>45779.774236111109</v>
      </c>
      <c r="C728" s="2" t="s">
        <v>26</v>
      </c>
      <c r="D728" t="s">
        <v>33</v>
      </c>
      <c r="E728">
        <v>116</v>
      </c>
      <c r="F728" t="s">
        <v>14</v>
      </c>
      <c r="G728" t="s">
        <v>15</v>
      </c>
      <c r="H728" t="s">
        <v>16</v>
      </c>
      <c r="I728">
        <v>0</v>
      </c>
      <c r="J728">
        <v>0</v>
      </c>
      <c r="K728">
        <v>0</v>
      </c>
    </row>
    <row r="729" spans="1:11" x14ac:dyDescent="0.25">
      <c r="A729" t="s">
        <v>769</v>
      </c>
      <c r="B729" s="1">
        <v>46002.661435185182</v>
      </c>
      <c r="C729" s="2" t="s">
        <v>18</v>
      </c>
      <c r="D729" t="s">
        <v>45</v>
      </c>
      <c r="E729">
        <v>3795</v>
      </c>
      <c r="F729" t="s">
        <v>14</v>
      </c>
      <c r="G729" t="s">
        <v>34</v>
      </c>
      <c r="H729" t="s">
        <v>59</v>
      </c>
      <c r="I729">
        <v>37.950000000000003</v>
      </c>
      <c r="J729">
        <v>0</v>
      </c>
      <c r="K729">
        <v>37.950000000000003</v>
      </c>
    </row>
    <row r="730" spans="1:11" x14ac:dyDescent="0.25">
      <c r="A730" t="s">
        <v>770</v>
      </c>
      <c r="B730" s="1">
        <v>45837.086921296293</v>
      </c>
      <c r="C730" s="2" t="s">
        <v>22</v>
      </c>
      <c r="D730" t="s">
        <v>13</v>
      </c>
      <c r="E730">
        <v>30500</v>
      </c>
      <c r="F730" t="s">
        <v>14</v>
      </c>
      <c r="G730" t="s">
        <v>34</v>
      </c>
      <c r="H730" t="s">
        <v>16</v>
      </c>
      <c r="I730">
        <v>564.25</v>
      </c>
      <c r="J730">
        <v>225.7</v>
      </c>
      <c r="K730">
        <v>338.55</v>
      </c>
    </row>
    <row r="731" spans="1:11" x14ac:dyDescent="0.25">
      <c r="A731" t="s">
        <v>771</v>
      </c>
      <c r="B731" s="1">
        <v>45856.994629629633</v>
      </c>
      <c r="C731" s="2" t="s">
        <v>39</v>
      </c>
      <c r="D731" t="s">
        <v>19</v>
      </c>
      <c r="E731">
        <v>129724</v>
      </c>
      <c r="F731" t="s">
        <v>14</v>
      </c>
      <c r="G731" t="s">
        <v>34</v>
      </c>
      <c r="H731" t="s">
        <v>16</v>
      </c>
      <c r="I731">
        <v>5</v>
      </c>
      <c r="J731">
        <v>0</v>
      </c>
      <c r="K731">
        <v>5</v>
      </c>
    </row>
    <row r="732" spans="1:11" x14ac:dyDescent="0.25">
      <c r="A732" t="s">
        <v>772</v>
      </c>
      <c r="B732" s="1">
        <v>45783.02412037037</v>
      </c>
      <c r="C732" s="2" t="s">
        <v>22</v>
      </c>
      <c r="D732" t="s">
        <v>19</v>
      </c>
      <c r="E732">
        <v>132834</v>
      </c>
      <c r="F732" t="s">
        <v>14</v>
      </c>
      <c r="G732" t="s">
        <v>51</v>
      </c>
      <c r="H732" t="s">
        <v>16</v>
      </c>
      <c r="I732">
        <v>5</v>
      </c>
      <c r="J732">
        <v>0</v>
      </c>
      <c r="K732">
        <v>5</v>
      </c>
    </row>
    <row r="733" spans="1:11" x14ac:dyDescent="0.25">
      <c r="A733" t="s">
        <v>773</v>
      </c>
      <c r="B733" s="1">
        <v>46025.212719907409</v>
      </c>
      <c r="C733" s="2" t="s">
        <v>22</v>
      </c>
      <c r="D733" t="s">
        <v>19</v>
      </c>
      <c r="E733">
        <v>62801</v>
      </c>
      <c r="F733" t="s">
        <v>14</v>
      </c>
      <c r="G733" t="s">
        <v>84</v>
      </c>
      <c r="H733" t="s">
        <v>16</v>
      </c>
      <c r="I733">
        <v>5</v>
      </c>
      <c r="J733">
        <v>0</v>
      </c>
      <c r="K733">
        <v>5</v>
      </c>
    </row>
    <row r="734" spans="1:11" x14ac:dyDescent="0.25">
      <c r="A734" t="s">
        <v>774</v>
      </c>
      <c r="B734" s="1">
        <v>46009.435486111113</v>
      </c>
      <c r="C734" s="2" t="s">
        <v>22</v>
      </c>
      <c r="D734" t="s">
        <v>19</v>
      </c>
      <c r="E734">
        <v>17411</v>
      </c>
      <c r="F734" t="s">
        <v>14</v>
      </c>
      <c r="G734" t="s">
        <v>84</v>
      </c>
      <c r="H734" t="s">
        <v>16</v>
      </c>
      <c r="I734">
        <v>5</v>
      </c>
      <c r="J734">
        <v>0</v>
      </c>
      <c r="K734">
        <v>5</v>
      </c>
    </row>
    <row r="735" spans="1:11" x14ac:dyDescent="0.25">
      <c r="A735" t="s">
        <v>775</v>
      </c>
      <c r="B735" s="1">
        <v>46046.29241898148</v>
      </c>
      <c r="C735" s="2" t="s">
        <v>22</v>
      </c>
      <c r="D735" t="s">
        <v>33</v>
      </c>
      <c r="E735">
        <v>145195</v>
      </c>
      <c r="F735" t="s">
        <v>14</v>
      </c>
      <c r="G735" t="s">
        <v>30</v>
      </c>
      <c r="H735" t="s">
        <v>16</v>
      </c>
      <c r="I735">
        <v>0</v>
      </c>
      <c r="J735">
        <v>0</v>
      </c>
      <c r="K735">
        <v>0</v>
      </c>
    </row>
    <row r="736" spans="1:11" x14ac:dyDescent="0.25">
      <c r="A736" t="s">
        <v>776</v>
      </c>
      <c r="B736" s="1">
        <v>46012.490729166668</v>
      </c>
      <c r="C736" s="2" t="s">
        <v>22</v>
      </c>
      <c r="D736" t="s">
        <v>19</v>
      </c>
      <c r="E736">
        <v>142832</v>
      </c>
      <c r="F736" t="s">
        <v>14</v>
      </c>
      <c r="G736" t="s">
        <v>34</v>
      </c>
      <c r="H736" t="s">
        <v>16</v>
      </c>
      <c r="I736">
        <v>5</v>
      </c>
      <c r="J736">
        <v>0</v>
      </c>
      <c r="K736">
        <v>5</v>
      </c>
    </row>
    <row r="737" spans="1:11" x14ac:dyDescent="0.25">
      <c r="A737" t="s">
        <v>777</v>
      </c>
      <c r="B737" s="1">
        <v>45838.950358796297</v>
      </c>
      <c r="C737" s="2" t="s">
        <v>39</v>
      </c>
      <c r="D737" t="s">
        <v>19</v>
      </c>
      <c r="E737">
        <v>112304</v>
      </c>
      <c r="F737" t="s">
        <v>14</v>
      </c>
      <c r="G737" t="s">
        <v>34</v>
      </c>
      <c r="H737" t="s">
        <v>16</v>
      </c>
      <c r="I737">
        <v>5</v>
      </c>
      <c r="J737">
        <v>0</v>
      </c>
      <c r="K737">
        <v>5</v>
      </c>
    </row>
    <row r="738" spans="1:11" x14ac:dyDescent="0.25">
      <c r="A738" t="s">
        <v>778</v>
      </c>
      <c r="B738" s="1">
        <v>45905.414467592593</v>
      </c>
      <c r="C738" s="2" t="s">
        <v>12</v>
      </c>
      <c r="D738" t="s">
        <v>45</v>
      </c>
      <c r="E738">
        <v>35688</v>
      </c>
      <c r="F738" t="s">
        <v>14</v>
      </c>
      <c r="G738" t="s">
        <v>51</v>
      </c>
      <c r="H738" t="s">
        <v>59</v>
      </c>
      <c r="I738">
        <v>356.88</v>
      </c>
      <c r="J738">
        <v>0</v>
      </c>
      <c r="K738">
        <v>356.88</v>
      </c>
    </row>
    <row r="739" spans="1:11" x14ac:dyDescent="0.25">
      <c r="A739" t="s">
        <v>779</v>
      </c>
      <c r="B739" s="1">
        <v>46060.114988425928</v>
      </c>
      <c r="C739" s="2" t="s">
        <v>22</v>
      </c>
      <c r="D739" t="s">
        <v>19</v>
      </c>
      <c r="E739">
        <v>67831</v>
      </c>
      <c r="F739" t="s">
        <v>14</v>
      </c>
      <c r="G739" t="s">
        <v>34</v>
      </c>
      <c r="H739" t="s">
        <v>16</v>
      </c>
      <c r="I739">
        <v>5</v>
      </c>
      <c r="J739">
        <v>0</v>
      </c>
      <c r="K739">
        <v>5</v>
      </c>
    </row>
    <row r="740" spans="1:11" x14ac:dyDescent="0.25">
      <c r="A740" t="s">
        <v>780</v>
      </c>
      <c r="B740" s="1">
        <v>45921.440057870372</v>
      </c>
      <c r="C740" s="2" t="s">
        <v>29</v>
      </c>
      <c r="D740" t="s">
        <v>45</v>
      </c>
      <c r="E740">
        <v>148787</v>
      </c>
      <c r="F740" t="s">
        <v>14</v>
      </c>
      <c r="G740" t="s">
        <v>15</v>
      </c>
      <c r="H740" t="s">
        <v>59</v>
      </c>
      <c r="I740">
        <v>1487.87</v>
      </c>
      <c r="J740">
        <v>0</v>
      </c>
      <c r="K740">
        <v>1487.87</v>
      </c>
    </row>
    <row r="741" spans="1:11" x14ac:dyDescent="0.25">
      <c r="A741" t="s">
        <v>781</v>
      </c>
      <c r="B741" s="1">
        <v>45966.356296296297</v>
      </c>
      <c r="C741" s="2" t="s">
        <v>22</v>
      </c>
      <c r="D741" t="s">
        <v>33</v>
      </c>
      <c r="E741">
        <v>86813</v>
      </c>
      <c r="F741" t="s">
        <v>14</v>
      </c>
      <c r="G741" t="s">
        <v>34</v>
      </c>
      <c r="H741" t="s">
        <v>16</v>
      </c>
      <c r="I741">
        <v>0</v>
      </c>
      <c r="J741">
        <v>0</v>
      </c>
      <c r="K741">
        <v>0</v>
      </c>
    </row>
    <row r="742" spans="1:11" x14ac:dyDescent="0.25">
      <c r="A742" t="s">
        <v>782</v>
      </c>
      <c r="B742" s="1">
        <v>45895.673495370371</v>
      </c>
      <c r="C742" s="2" t="s">
        <v>22</v>
      </c>
      <c r="D742" t="s">
        <v>33</v>
      </c>
      <c r="E742">
        <v>36934</v>
      </c>
      <c r="F742" t="s">
        <v>14</v>
      </c>
      <c r="G742" t="s">
        <v>15</v>
      </c>
      <c r="H742" t="s">
        <v>16</v>
      </c>
      <c r="I742">
        <v>0</v>
      </c>
      <c r="J742">
        <v>0</v>
      </c>
      <c r="K742">
        <v>0</v>
      </c>
    </row>
    <row r="743" spans="1:11" x14ac:dyDescent="0.25">
      <c r="A743" t="s">
        <v>783</v>
      </c>
      <c r="B743" s="1">
        <v>45807.041504629633</v>
      </c>
      <c r="C743" s="2" t="s">
        <v>12</v>
      </c>
      <c r="D743" t="s">
        <v>19</v>
      </c>
      <c r="E743">
        <v>132243</v>
      </c>
      <c r="F743" t="s">
        <v>14</v>
      </c>
      <c r="G743" t="s">
        <v>34</v>
      </c>
      <c r="H743" t="s">
        <v>16</v>
      </c>
      <c r="I743">
        <v>5</v>
      </c>
      <c r="J743">
        <v>0</v>
      </c>
      <c r="K743">
        <v>5</v>
      </c>
    </row>
    <row r="744" spans="1:11" x14ac:dyDescent="0.25">
      <c r="A744" t="s">
        <v>784</v>
      </c>
      <c r="B744" s="1">
        <v>45849.226203703707</v>
      </c>
      <c r="C744" s="2" t="s">
        <v>32</v>
      </c>
      <c r="D744" t="s">
        <v>23</v>
      </c>
      <c r="E744">
        <v>4425</v>
      </c>
      <c r="F744" t="s">
        <v>14</v>
      </c>
      <c r="G744" t="s">
        <v>20</v>
      </c>
      <c r="H744" t="s">
        <v>16</v>
      </c>
      <c r="I744">
        <v>0</v>
      </c>
      <c r="J744">
        <v>0</v>
      </c>
      <c r="K744">
        <v>0</v>
      </c>
    </row>
    <row r="745" spans="1:11" x14ac:dyDescent="0.25">
      <c r="A745" t="s">
        <v>785</v>
      </c>
      <c r="B745" s="1">
        <v>45832.883831018517</v>
      </c>
      <c r="C745" s="2" t="s">
        <v>29</v>
      </c>
      <c r="D745" t="s">
        <v>45</v>
      </c>
      <c r="E745">
        <v>82208</v>
      </c>
      <c r="F745" t="s">
        <v>14</v>
      </c>
      <c r="G745" t="s">
        <v>58</v>
      </c>
      <c r="H745" t="s">
        <v>178</v>
      </c>
      <c r="I745">
        <v>822.08</v>
      </c>
      <c r="J745">
        <v>0</v>
      </c>
      <c r="K745">
        <v>822.08</v>
      </c>
    </row>
    <row r="746" spans="1:11" x14ac:dyDescent="0.25">
      <c r="A746" t="s">
        <v>786</v>
      </c>
      <c r="B746" s="1">
        <v>46135.629837962966</v>
      </c>
      <c r="C746" s="2" t="s">
        <v>29</v>
      </c>
      <c r="D746" t="s">
        <v>23</v>
      </c>
      <c r="E746">
        <v>84</v>
      </c>
      <c r="F746" t="s">
        <v>14</v>
      </c>
      <c r="G746" t="s">
        <v>30</v>
      </c>
      <c r="H746" t="s">
        <v>16</v>
      </c>
      <c r="I746">
        <v>0</v>
      </c>
      <c r="J746">
        <v>0</v>
      </c>
      <c r="K746">
        <v>0</v>
      </c>
    </row>
    <row r="747" spans="1:11" x14ac:dyDescent="0.25">
      <c r="A747" t="s">
        <v>787</v>
      </c>
      <c r="B747" s="1">
        <v>45823.706504629627</v>
      </c>
      <c r="C747" s="2" t="s">
        <v>22</v>
      </c>
      <c r="D747" t="s">
        <v>23</v>
      </c>
      <c r="E747">
        <v>1171</v>
      </c>
      <c r="F747" t="s">
        <v>14</v>
      </c>
      <c r="G747" t="s">
        <v>20</v>
      </c>
      <c r="H747" t="s">
        <v>16</v>
      </c>
      <c r="I747">
        <v>0</v>
      </c>
      <c r="J747">
        <v>0</v>
      </c>
      <c r="K747">
        <v>0</v>
      </c>
    </row>
    <row r="748" spans="1:11" x14ac:dyDescent="0.25">
      <c r="A748" t="s">
        <v>788</v>
      </c>
      <c r="B748" s="1">
        <v>45815.389224537037</v>
      </c>
      <c r="C748" s="2" t="s">
        <v>22</v>
      </c>
      <c r="D748" t="s">
        <v>19</v>
      </c>
      <c r="E748">
        <v>88678</v>
      </c>
      <c r="F748" t="s">
        <v>50</v>
      </c>
      <c r="G748" t="s">
        <v>58</v>
      </c>
      <c r="H748" t="s">
        <v>16</v>
      </c>
      <c r="I748">
        <v>5</v>
      </c>
      <c r="J748">
        <v>0</v>
      </c>
      <c r="K748">
        <v>5</v>
      </c>
    </row>
    <row r="749" spans="1:11" x14ac:dyDescent="0.25">
      <c r="A749" t="s">
        <v>789</v>
      </c>
      <c r="B749" s="1">
        <v>46064.977650462963</v>
      </c>
      <c r="C749" s="2" t="s">
        <v>29</v>
      </c>
      <c r="D749" t="s">
        <v>19</v>
      </c>
      <c r="E749">
        <v>77578</v>
      </c>
      <c r="F749" t="s">
        <v>14</v>
      </c>
      <c r="G749" t="s">
        <v>27</v>
      </c>
      <c r="H749" t="s">
        <v>16</v>
      </c>
      <c r="I749">
        <v>5</v>
      </c>
      <c r="J749">
        <v>0</v>
      </c>
      <c r="K749">
        <v>5</v>
      </c>
    </row>
    <row r="750" spans="1:11" x14ac:dyDescent="0.25">
      <c r="A750" t="s">
        <v>790</v>
      </c>
      <c r="B750" s="1">
        <v>45838.921168981484</v>
      </c>
      <c r="C750" s="2" t="s">
        <v>41</v>
      </c>
      <c r="D750" t="s">
        <v>13</v>
      </c>
      <c r="E750">
        <v>73500</v>
      </c>
      <c r="F750" t="s">
        <v>99</v>
      </c>
      <c r="G750" t="s">
        <v>34</v>
      </c>
      <c r="H750" t="s">
        <v>16</v>
      </c>
      <c r="I750">
        <v>1359.75</v>
      </c>
      <c r="J750">
        <v>543.9</v>
      </c>
      <c r="K750">
        <v>815.85</v>
      </c>
    </row>
    <row r="751" spans="1:11" x14ac:dyDescent="0.25">
      <c r="A751" t="s">
        <v>791</v>
      </c>
      <c r="B751" s="1">
        <v>46107.072638888887</v>
      </c>
      <c r="C751" s="2" t="s">
        <v>32</v>
      </c>
      <c r="D751" t="s">
        <v>13</v>
      </c>
      <c r="E751">
        <v>248500</v>
      </c>
      <c r="F751" t="s">
        <v>99</v>
      </c>
      <c r="G751" t="s">
        <v>51</v>
      </c>
      <c r="H751" t="s">
        <v>16</v>
      </c>
      <c r="I751">
        <v>4597.25</v>
      </c>
      <c r="J751">
        <v>1838.9</v>
      </c>
      <c r="K751">
        <v>2758.35</v>
      </c>
    </row>
    <row r="752" spans="1:11" x14ac:dyDescent="0.25">
      <c r="A752" t="s">
        <v>792</v>
      </c>
      <c r="B752" s="1">
        <v>45905.233912037038</v>
      </c>
      <c r="C752" s="2" t="s">
        <v>39</v>
      </c>
      <c r="D752" t="s">
        <v>13</v>
      </c>
      <c r="E752">
        <v>39500</v>
      </c>
      <c r="F752" t="s">
        <v>14</v>
      </c>
      <c r="G752" t="s">
        <v>30</v>
      </c>
      <c r="H752" t="s">
        <v>16</v>
      </c>
      <c r="I752">
        <v>730.75</v>
      </c>
      <c r="J752">
        <v>292.3</v>
      </c>
      <c r="K752">
        <v>438.45</v>
      </c>
    </row>
    <row r="753" spans="1:11" x14ac:dyDescent="0.25">
      <c r="A753" t="s">
        <v>793</v>
      </c>
      <c r="B753" s="1">
        <v>45963.837256944447</v>
      </c>
      <c r="C753" s="2" t="s">
        <v>18</v>
      </c>
      <c r="D753" t="s">
        <v>19</v>
      </c>
      <c r="E753">
        <v>23317</v>
      </c>
      <c r="F753" t="s">
        <v>14</v>
      </c>
      <c r="G753" t="s">
        <v>24</v>
      </c>
      <c r="H753" t="s">
        <v>16</v>
      </c>
      <c r="I753">
        <v>5</v>
      </c>
      <c r="J753">
        <v>0</v>
      </c>
      <c r="K753">
        <v>5</v>
      </c>
    </row>
    <row r="754" spans="1:11" x14ac:dyDescent="0.25">
      <c r="A754" t="s">
        <v>794</v>
      </c>
      <c r="B754" s="1">
        <v>46014.775300925925</v>
      </c>
      <c r="C754" s="2" t="s">
        <v>26</v>
      </c>
      <c r="D754" t="s">
        <v>13</v>
      </c>
      <c r="E754">
        <v>167500</v>
      </c>
      <c r="F754" t="s">
        <v>14</v>
      </c>
      <c r="G754" t="s">
        <v>34</v>
      </c>
      <c r="H754" t="s">
        <v>16</v>
      </c>
      <c r="I754">
        <v>3098.75</v>
      </c>
      <c r="J754">
        <v>1239.5</v>
      </c>
      <c r="K754">
        <v>1859.25</v>
      </c>
    </row>
    <row r="755" spans="1:11" x14ac:dyDescent="0.25">
      <c r="A755" t="s">
        <v>795</v>
      </c>
      <c r="B755" s="1">
        <v>45904.606122685182</v>
      </c>
      <c r="C755" s="2" t="s">
        <v>26</v>
      </c>
      <c r="D755" t="s">
        <v>13</v>
      </c>
      <c r="E755">
        <v>224500</v>
      </c>
      <c r="F755" t="s">
        <v>99</v>
      </c>
      <c r="G755" t="s">
        <v>15</v>
      </c>
      <c r="H755" t="s">
        <v>16</v>
      </c>
      <c r="I755">
        <v>4153.25</v>
      </c>
      <c r="J755">
        <v>1661.3</v>
      </c>
      <c r="K755">
        <v>2491.9499999999998</v>
      </c>
    </row>
    <row r="756" spans="1:11" x14ac:dyDescent="0.25">
      <c r="A756" t="s">
        <v>796</v>
      </c>
      <c r="B756" s="1">
        <v>45808.783090277779</v>
      </c>
      <c r="C756" s="2" t="s">
        <v>39</v>
      </c>
      <c r="D756" t="s">
        <v>13</v>
      </c>
      <c r="E756">
        <v>200000</v>
      </c>
      <c r="F756" t="s">
        <v>14</v>
      </c>
      <c r="G756" t="s">
        <v>27</v>
      </c>
      <c r="H756" t="s">
        <v>16</v>
      </c>
      <c r="I756">
        <v>3700</v>
      </c>
      <c r="J756">
        <v>1480</v>
      </c>
      <c r="K756">
        <v>2220</v>
      </c>
    </row>
    <row r="757" spans="1:11" x14ac:dyDescent="0.25">
      <c r="A757" t="s">
        <v>797</v>
      </c>
      <c r="B757" s="1">
        <v>45875.293506944443</v>
      </c>
      <c r="C757" s="2" t="s">
        <v>22</v>
      </c>
      <c r="D757" t="s">
        <v>23</v>
      </c>
      <c r="E757">
        <v>4710</v>
      </c>
      <c r="F757" t="s">
        <v>99</v>
      </c>
      <c r="G757" t="s">
        <v>51</v>
      </c>
      <c r="H757" t="s">
        <v>16</v>
      </c>
      <c r="I757">
        <v>0</v>
      </c>
      <c r="J757">
        <v>0</v>
      </c>
      <c r="K757">
        <v>0</v>
      </c>
    </row>
    <row r="758" spans="1:11" x14ac:dyDescent="0.25">
      <c r="A758" t="s">
        <v>798</v>
      </c>
      <c r="B758" s="1">
        <v>46024.194699074076</v>
      </c>
      <c r="C758" s="2" t="s">
        <v>41</v>
      </c>
      <c r="D758" t="s">
        <v>23</v>
      </c>
      <c r="E758">
        <v>4497</v>
      </c>
      <c r="F758" t="s">
        <v>14</v>
      </c>
      <c r="G758" t="s">
        <v>30</v>
      </c>
      <c r="H758" t="s">
        <v>16</v>
      </c>
      <c r="I758">
        <v>0</v>
      </c>
      <c r="J758">
        <v>0</v>
      </c>
      <c r="K758">
        <v>0</v>
      </c>
    </row>
    <row r="759" spans="1:11" x14ac:dyDescent="0.25">
      <c r="A759" t="s">
        <v>799</v>
      </c>
      <c r="B759" s="1">
        <v>46077.228217592594</v>
      </c>
      <c r="C759" s="2" t="s">
        <v>18</v>
      </c>
      <c r="D759" t="s">
        <v>23</v>
      </c>
      <c r="E759">
        <v>689</v>
      </c>
      <c r="F759" t="s">
        <v>14</v>
      </c>
      <c r="G759" t="s">
        <v>20</v>
      </c>
      <c r="H759" t="s">
        <v>16</v>
      </c>
      <c r="I759">
        <v>0</v>
      </c>
      <c r="J759">
        <v>0</v>
      </c>
      <c r="K759">
        <v>0</v>
      </c>
    </row>
    <row r="760" spans="1:11" x14ac:dyDescent="0.25">
      <c r="A760" t="s">
        <v>800</v>
      </c>
      <c r="B760" s="1">
        <v>45963.200254629628</v>
      </c>
      <c r="C760" s="2" t="s">
        <v>22</v>
      </c>
      <c r="D760" t="s">
        <v>33</v>
      </c>
      <c r="E760">
        <v>44301</v>
      </c>
      <c r="F760" t="s">
        <v>50</v>
      </c>
      <c r="G760" t="s">
        <v>58</v>
      </c>
      <c r="H760" t="s">
        <v>16</v>
      </c>
      <c r="I760">
        <v>0</v>
      </c>
      <c r="J760">
        <v>0</v>
      </c>
      <c r="K760">
        <v>0</v>
      </c>
    </row>
    <row r="761" spans="1:11" x14ac:dyDescent="0.25">
      <c r="A761" t="s">
        <v>801</v>
      </c>
      <c r="B761" s="1">
        <v>45882.902071759258</v>
      </c>
      <c r="C761" s="2" t="s">
        <v>41</v>
      </c>
      <c r="D761" t="s">
        <v>13</v>
      </c>
      <c r="E761">
        <v>185500</v>
      </c>
      <c r="F761" t="s">
        <v>14</v>
      </c>
      <c r="G761" t="s">
        <v>20</v>
      </c>
      <c r="H761" t="s">
        <v>16</v>
      </c>
      <c r="I761">
        <v>3431.75</v>
      </c>
      <c r="J761">
        <v>1372.7</v>
      </c>
      <c r="K761">
        <v>2059.0500000000002</v>
      </c>
    </row>
    <row r="762" spans="1:11" x14ac:dyDescent="0.25">
      <c r="A762" t="s">
        <v>802</v>
      </c>
      <c r="B762" s="1">
        <v>45847.327476851853</v>
      </c>
      <c r="C762" s="2" t="s">
        <v>22</v>
      </c>
      <c r="D762" t="s">
        <v>45</v>
      </c>
      <c r="E762">
        <v>79052</v>
      </c>
      <c r="F762" t="s">
        <v>14</v>
      </c>
      <c r="G762" t="s">
        <v>84</v>
      </c>
      <c r="H762" t="s">
        <v>59</v>
      </c>
      <c r="I762">
        <v>790.52</v>
      </c>
      <c r="J762">
        <v>0</v>
      </c>
      <c r="K762">
        <v>790.52</v>
      </c>
    </row>
    <row r="763" spans="1:11" x14ac:dyDescent="0.25">
      <c r="A763" t="s">
        <v>803</v>
      </c>
      <c r="B763" s="1">
        <v>45877.433865740742</v>
      </c>
      <c r="C763" s="2" t="s">
        <v>32</v>
      </c>
      <c r="D763" t="s">
        <v>33</v>
      </c>
      <c r="E763">
        <v>111751</v>
      </c>
      <c r="F763" t="s">
        <v>50</v>
      </c>
      <c r="G763" t="s">
        <v>15</v>
      </c>
      <c r="H763" t="s">
        <v>16</v>
      </c>
      <c r="I763">
        <v>0</v>
      </c>
      <c r="J763">
        <v>0</v>
      </c>
      <c r="K763">
        <v>0</v>
      </c>
    </row>
    <row r="764" spans="1:11" x14ac:dyDescent="0.25">
      <c r="A764" t="s">
        <v>804</v>
      </c>
      <c r="B764" s="1">
        <v>46089.641793981478</v>
      </c>
      <c r="C764" s="2" t="s">
        <v>39</v>
      </c>
      <c r="D764" t="s">
        <v>33</v>
      </c>
      <c r="E764">
        <v>37698</v>
      </c>
      <c r="F764" t="s">
        <v>50</v>
      </c>
      <c r="G764" t="s">
        <v>84</v>
      </c>
      <c r="H764" t="s">
        <v>16</v>
      </c>
      <c r="I764">
        <v>0</v>
      </c>
      <c r="J764">
        <v>0</v>
      </c>
      <c r="K764">
        <v>0</v>
      </c>
    </row>
    <row r="765" spans="1:11" x14ac:dyDescent="0.25">
      <c r="A765" t="s">
        <v>805</v>
      </c>
      <c r="B765" s="1">
        <v>45983.104328703703</v>
      </c>
      <c r="C765" s="2" t="s">
        <v>32</v>
      </c>
      <c r="D765" t="s">
        <v>45</v>
      </c>
      <c r="E765">
        <v>75535</v>
      </c>
      <c r="F765" t="s">
        <v>50</v>
      </c>
      <c r="G765" t="s">
        <v>27</v>
      </c>
      <c r="H765" t="s">
        <v>71</v>
      </c>
      <c r="I765">
        <v>755.35</v>
      </c>
      <c r="J765">
        <v>0</v>
      </c>
      <c r="K765">
        <v>755.35</v>
      </c>
    </row>
    <row r="766" spans="1:11" x14ac:dyDescent="0.25">
      <c r="A766" t="s">
        <v>806</v>
      </c>
      <c r="B766" s="1">
        <v>46044.935833333337</v>
      </c>
      <c r="C766" s="2" t="s">
        <v>39</v>
      </c>
      <c r="D766" t="s">
        <v>23</v>
      </c>
      <c r="E766">
        <v>2359</v>
      </c>
      <c r="F766" t="s">
        <v>14</v>
      </c>
      <c r="G766" t="s">
        <v>20</v>
      </c>
      <c r="H766" t="s">
        <v>16</v>
      </c>
      <c r="I766">
        <v>0</v>
      </c>
      <c r="J766">
        <v>0</v>
      </c>
      <c r="K766">
        <v>0</v>
      </c>
    </row>
    <row r="767" spans="1:11" x14ac:dyDescent="0.25">
      <c r="A767" t="s">
        <v>807</v>
      </c>
      <c r="B767" s="1">
        <v>45906.186018518521</v>
      </c>
      <c r="C767" s="2" t="s">
        <v>26</v>
      </c>
      <c r="D767" t="s">
        <v>45</v>
      </c>
      <c r="E767">
        <v>71106</v>
      </c>
      <c r="F767" t="s">
        <v>14</v>
      </c>
      <c r="G767" t="s">
        <v>34</v>
      </c>
      <c r="H767" t="s">
        <v>56</v>
      </c>
      <c r="I767">
        <v>711.06</v>
      </c>
      <c r="J767">
        <v>0</v>
      </c>
      <c r="K767">
        <v>711.06</v>
      </c>
    </row>
    <row r="768" spans="1:11" x14ac:dyDescent="0.25">
      <c r="A768" t="s">
        <v>808</v>
      </c>
      <c r="B768" s="1">
        <v>46017.805798611109</v>
      </c>
      <c r="C768" s="2" t="s">
        <v>22</v>
      </c>
      <c r="D768" t="s">
        <v>13</v>
      </c>
      <c r="E768">
        <v>98000</v>
      </c>
      <c r="F768" t="s">
        <v>14</v>
      </c>
      <c r="G768" t="s">
        <v>34</v>
      </c>
      <c r="H768" t="s">
        <v>16</v>
      </c>
      <c r="I768">
        <v>1813</v>
      </c>
      <c r="J768">
        <v>725.2</v>
      </c>
      <c r="K768">
        <v>1087.8</v>
      </c>
    </row>
    <row r="769" spans="1:11" x14ac:dyDescent="0.25">
      <c r="A769" t="s">
        <v>809</v>
      </c>
      <c r="B769" s="1">
        <v>45831.835289351853</v>
      </c>
      <c r="C769" s="2" t="s">
        <v>32</v>
      </c>
      <c r="D769" t="s">
        <v>23</v>
      </c>
      <c r="E769">
        <v>4678</v>
      </c>
      <c r="F769" t="s">
        <v>14</v>
      </c>
      <c r="G769" t="s">
        <v>30</v>
      </c>
      <c r="H769" t="s">
        <v>16</v>
      </c>
      <c r="I769">
        <v>0</v>
      </c>
      <c r="J769">
        <v>0</v>
      </c>
      <c r="K769">
        <v>0</v>
      </c>
    </row>
    <row r="770" spans="1:11" x14ac:dyDescent="0.25">
      <c r="A770" t="s">
        <v>810</v>
      </c>
      <c r="B770" s="1">
        <v>46012.116956018515</v>
      </c>
      <c r="C770" s="2" t="s">
        <v>41</v>
      </c>
      <c r="D770" t="s">
        <v>13</v>
      </c>
      <c r="E770">
        <v>14500</v>
      </c>
      <c r="F770" t="s">
        <v>14</v>
      </c>
      <c r="G770" t="s">
        <v>24</v>
      </c>
      <c r="H770" t="s">
        <v>16</v>
      </c>
      <c r="I770">
        <v>268.25</v>
      </c>
      <c r="J770">
        <v>107.3</v>
      </c>
      <c r="K770">
        <v>160.94999999999999</v>
      </c>
    </row>
    <row r="771" spans="1:11" x14ac:dyDescent="0.25">
      <c r="A771" t="s">
        <v>811</v>
      </c>
      <c r="B771" s="1">
        <v>45917.924687500003</v>
      </c>
      <c r="C771" s="2" t="s">
        <v>26</v>
      </c>
      <c r="D771" t="s">
        <v>13</v>
      </c>
      <c r="E771">
        <v>205000</v>
      </c>
      <c r="F771" t="s">
        <v>50</v>
      </c>
      <c r="G771" t="s">
        <v>34</v>
      </c>
      <c r="H771" t="s">
        <v>16</v>
      </c>
      <c r="I771">
        <v>3792.5</v>
      </c>
      <c r="J771">
        <v>1517</v>
      </c>
      <c r="K771">
        <v>2275.5</v>
      </c>
    </row>
    <row r="772" spans="1:11" x14ac:dyDescent="0.25">
      <c r="A772" t="s">
        <v>812</v>
      </c>
      <c r="B772" s="1">
        <v>45977.038657407407</v>
      </c>
      <c r="C772" s="2" t="s">
        <v>32</v>
      </c>
      <c r="D772" t="s">
        <v>45</v>
      </c>
      <c r="E772">
        <v>39153</v>
      </c>
      <c r="F772" t="s">
        <v>14</v>
      </c>
      <c r="G772" t="s">
        <v>34</v>
      </c>
      <c r="H772" t="s">
        <v>56</v>
      </c>
      <c r="I772">
        <v>391.53</v>
      </c>
      <c r="J772">
        <v>0</v>
      </c>
      <c r="K772">
        <v>391.53</v>
      </c>
    </row>
    <row r="773" spans="1:11" x14ac:dyDescent="0.25">
      <c r="A773" t="s">
        <v>813</v>
      </c>
      <c r="B773" s="1">
        <v>46015.884421296294</v>
      </c>
      <c r="C773" s="2" t="s">
        <v>22</v>
      </c>
      <c r="D773" t="s">
        <v>13</v>
      </c>
      <c r="E773">
        <v>208000</v>
      </c>
      <c r="F773" t="s">
        <v>14</v>
      </c>
      <c r="G773" t="s">
        <v>20</v>
      </c>
      <c r="H773" t="s">
        <v>16</v>
      </c>
      <c r="I773">
        <v>3848</v>
      </c>
      <c r="J773">
        <v>1539.2</v>
      </c>
      <c r="K773">
        <v>2308.8000000000002</v>
      </c>
    </row>
    <row r="774" spans="1:11" x14ac:dyDescent="0.25">
      <c r="A774" t="s">
        <v>814</v>
      </c>
      <c r="B774" s="1">
        <v>46077.566284722219</v>
      </c>
      <c r="C774" s="2" t="s">
        <v>32</v>
      </c>
      <c r="D774" t="s">
        <v>33</v>
      </c>
      <c r="E774">
        <v>42974</v>
      </c>
      <c r="F774" t="s">
        <v>14</v>
      </c>
      <c r="G774" t="s">
        <v>20</v>
      </c>
      <c r="H774" t="s">
        <v>16</v>
      </c>
      <c r="I774">
        <v>0</v>
      </c>
      <c r="J774">
        <v>0</v>
      </c>
      <c r="K774">
        <v>0</v>
      </c>
    </row>
    <row r="775" spans="1:11" x14ac:dyDescent="0.25">
      <c r="A775" t="s">
        <v>815</v>
      </c>
      <c r="B775" s="1">
        <v>46004.947754629633</v>
      </c>
      <c r="C775" s="2" t="s">
        <v>12</v>
      </c>
      <c r="D775" t="s">
        <v>45</v>
      </c>
      <c r="E775">
        <v>137538</v>
      </c>
      <c r="F775" t="s">
        <v>14</v>
      </c>
      <c r="G775" t="s">
        <v>30</v>
      </c>
      <c r="H775" t="s">
        <v>178</v>
      </c>
      <c r="I775">
        <v>1375.38</v>
      </c>
      <c r="J775">
        <v>0</v>
      </c>
      <c r="K775">
        <v>1375.38</v>
      </c>
    </row>
    <row r="776" spans="1:11" x14ac:dyDescent="0.25">
      <c r="A776" t="s">
        <v>816</v>
      </c>
      <c r="B776" s="1">
        <v>45939.608715277776</v>
      </c>
      <c r="C776" s="2" t="s">
        <v>32</v>
      </c>
      <c r="D776" t="s">
        <v>33</v>
      </c>
      <c r="E776">
        <v>107004</v>
      </c>
      <c r="F776" t="s">
        <v>14</v>
      </c>
      <c r="G776" t="s">
        <v>34</v>
      </c>
      <c r="H776" t="s">
        <v>16</v>
      </c>
      <c r="I776">
        <v>0</v>
      </c>
      <c r="J776">
        <v>0</v>
      </c>
      <c r="K776">
        <v>0</v>
      </c>
    </row>
    <row r="777" spans="1:11" x14ac:dyDescent="0.25">
      <c r="A777" t="s">
        <v>817</v>
      </c>
      <c r="B777" s="1">
        <v>45938.069745370369</v>
      </c>
      <c r="C777" s="2" t="s">
        <v>18</v>
      </c>
      <c r="D777" t="s">
        <v>45</v>
      </c>
      <c r="E777">
        <v>9441</v>
      </c>
      <c r="F777" t="s">
        <v>99</v>
      </c>
      <c r="G777" t="s">
        <v>34</v>
      </c>
      <c r="H777" t="s">
        <v>178</v>
      </c>
      <c r="I777">
        <v>94.41</v>
      </c>
      <c r="J777">
        <v>0</v>
      </c>
      <c r="K777">
        <v>94.41</v>
      </c>
    </row>
    <row r="778" spans="1:11" x14ac:dyDescent="0.25">
      <c r="A778" t="s">
        <v>818</v>
      </c>
      <c r="B778" s="1">
        <v>45937.171932870369</v>
      </c>
      <c r="C778" s="2" t="s">
        <v>26</v>
      </c>
      <c r="D778" t="s">
        <v>33</v>
      </c>
      <c r="E778">
        <v>80115</v>
      </c>
      <c r="F778" t="s">
        <v>14</v>
      </c>
      <c r="G778" t="s">
        <v>30</v>
      </c>
      <c r="H778" t="s">
        <v>16</v>
      </c>
      <c r="I778">
        <v>0</v>
      </c>
      <c r="J778">
        <v>0</v>
      </c>
      <c r="K778">
        <v>0</v>
      </c>
    </row>
    <row r="779" spans="1:11" x14ac:dyDescent="0.25">
      <c r="A779" t="s">
        <v>819</v>
      </c>
      <c r="B779" s="1">
        <v>46079.858622685184</v>
      </c>
      <c r="C779" s="2" t="s">
        <v>12</v>
      </c>
      <c r="D779" t="s">
        <v>23</v>
      </c>
      <c r="E779">
        <v>3792</v>
      </c>
      <c r="F779" t="s">
        <v>14</v>
      </c>
      <c r="G779" t="s">
        <v>30</v>
      </c>
      <c r="H779" t="s">
        <v>16</v>
      </c>
      <c r="I779">
        <v>0</v>
      </c>
      <c r="J779">
        <v>0</v>
      </c>
      <c r="K779">
        <v>0</v>
      </c>
    </row>
    <row r="780" spans="1:11" x14ac:dyDescent="0.25">
      <c r="A780" t="s">
        <v>820</v>
      </c>
      <c r="B780" s="1">
        <v>45942.107476851852</v>
      </c>
      <c r="C780" s="2" t="s">
        <v>12</v>
      </c>
      <c r="D780" t="s">
        <v>13</v>
      </c>
      <c r="E780">
        <v>110500</v>
      </c>
      <c r="F780" t="s">
        <v>14</v>
      </c>
      <c r="G780" t="s">
        <v>27</v>
      </c>
      <c r="H780" t="s">
        <v>16</v>
      </c>
      <c r="I780">
        <v>2044.25</v>
      </c>
      <c r="J780">
        <v>817.7</v>
      </c>
      <c r="K780">
        <v>1226.55</v>
      </c>
    </row>
    <row r="781" spans="1:11" x14ac:dyDescent="0.25">
      <c r="A781" t="s">
        <v>821</v>
      </c>
      <c r="B781" s="1">
        <v>46100.14739583333</v>
      </c>
      <c r="C781" s="2" t="s">
        <v>29</v>
      </c>
      <c r="D781" t="s">
        <v>33</v>
      </c>
      <c r="E781">
        <v>61683</v>
      </c>
      <c r="F781" t="s">
        <v>14</v>
      </c>
      <c r="G781" t="s">
        <v>24</v>
      </c>
      <c r="H781" t="s">
        <v>16</v>
      </c>
      <c r="I781">
        <v>0</v>
      </c>
      <c r="J781">
        <v>0</v>
      </c>
      <c r="K781">
        <v>0</v>
      </c>
    </row>
    <row r="782" spans="1:11" x14ac:dyDescent="0.25">
      <c r="A782" t="s">
        <v>822</v>
      </c>
      <c r="B782" s="1">
        <v>46068.566296296296</v>
      </c>
      <c r="C782" s="2" t="s">
        <v>18</v>
      </c>
      <c r="D782" t="s">
        <v>19</v>
      </c>
      <c r="E782">
        <v>117427</v>
      </c>
      <c r="F782" t="s">
        <v>14</v>
      </c>
      <c r="G782" t="s">
        <v>34</v>
      </c>
      <c r="H782" t="s">
        <v>16</v>
      </c>
      <c r="I782">
        <v>5</v>
      </c>
      <c r="J782">
        <v>0</v>
      </c>
      <c r="K782">
        <v>5</v>
      </c>
    </row>
    <row r="783" spans="1:11" x14ac:dyDescent="0.25">
      <c r="A783" t="s">
        <v>823</v>
      </c>
      <c r="B783" s="1">
        <v>46108.011261574073</v>
      </c>
      <c r="C783" s="2" t="s">
        <v>26</v>
      </c>
      <c r="D783" t="s">
        <v>45</v>
      </c>
      <c r="E783">
        <v>66645</v>
      </c>
      <c r="F783" t="s">
        <v>50</v>
      </c>
      <c r="G783" t="s">
        <v>34</v>
      </c>
      <c r="H783" t="s">
        <v>178</v>
      </c>
      <c r="I783">
        <v>666.45</v>
      </c>
      <c r="J783">
        <v>0</v>
      </c>
      <c r="K783">
        <v>666.45</v>
      </c>
    </row>
    <row r="784" spans="1:11" x14ac:dyDescent="0.25">
      <c r="A784" t="s">
        <v>824</v>
      </c>
      <c r="B784" s="1">
        <v>46079.304548611108</v>
      </c>
      <c r="C784" s="2" t="s">
        <v>41</v>
      </c>
      <c r="D784" t="s">
        <v>13</v>
      </c>
      <c r="E784">
        <v>33000</v>
      </c>
      <c r="F784" t="s">
        <v>14</v>
      </c>
      <c r="G784" t="s">
        <v>34</v>
      </c>
      <c r="H784" t="s">
        <v>16</v>
      </c>
      <c r="I784">
        <v>610.5</v>
      </c>
      <c r="J784">
        <v>244.2</v>
      </c>
      <c r="K784">
        <v>366.3</v>
      </c>
    </row>
    <row r="785" spans="1:11" x14ac:dyDescent="0.25">
      <c r="A785" t="s">
        <v>825</v>
      </c>
      <c r="B785" s="1">
        <v>45984.695277777777</v>
      </c>
      <c r="C785" s="2" t="s">
        <v>39</v>
      </c>
      <c r="D785" t="s">
        <v>13</v>
      </c>
      <c r="E785">
        <v>28000</v>
      </c>
      <c r="F785" t="s">
        <v>14</v>
      </c>
      <c r="G785" t="s">
        <v>51</v>
      </c>
      <c r="H785" t="s">
        <v>16</v>
      </c>
      <c r="I785">
        <v>518</v>
      </c>
      <c r="J785">
        <v>207.2</v>
      </c>
      <c r="K785">
        <v>310.8</v>
      </c>
    </row>
    <row r="786" spans="1:11" x14ac:dyDescent="0.25">
      <c r="A786" t="s">
        <v>826</v>
      </c>
      <c r="B786" s="1">
        <v>45892.701909722222</v>
      </c>
      <c r="C786" s="2" t="s">
        <v>41</v>
      </c>
      <c r="D786" t="s">
        <v>33</v>
      </c>
      <c r="E786">
        <v>17797</v>
      </c>
      <c r="F786" t="s">
        <v>50</v>
      </c>
      <c r="G786" t="s">
        <v>20</v>
      </c>
      <c r="H786" t="s">
        <v>16</v>
      </c>
      <c r="I786">
        <v>0</v>
      </c>
      <c r="J786">
        <v>0</v>
      </c>
      <c r="K786">
        <v>0</v>
      </c>
    </row>
    <row r="787" spans="1:11" x14ac:dyDescent="0.25">
      <c r="A787" t="s">
        <v>827</v>
      </c>
      <c r="B787" s="1">
        <v>45999.789652777778</v>
      </c>
      <c r="C787" s="2" t="s">
        <v>18</v>
      </c>
      <c r="D787" t="s">
        <v>19</v>
      </c>
      <c r="E787">
        <v>77104</v>
      </c>
      <c r="F787" t="s">
        <v>14</v>
      </c>
      <c r="G787" t="s">
        <v>84</v>
      </c>
      <c r="H787" t="s">
        <v>16</v>
      </c>
      <c r="I787">
        <v>5</v>
      </c>
      <c r="J787">
        <v>0</v>
      </c>
      <c r="K787">
        <v>5</v>
      </c>
    </row>
    <row r="788" spans="1:11" x14ac:dyDescent="0.25">
      <c r="A788" t="s">
        <v>828</v>
      </c>
      <c r="B788" s="1">
        <v>45950.279363425929</v>
      </c>
      <c r="C788" s="2" t="s">
        <v>29</v>
      </c>
      <c r="D788" t="s">
        <v>19</v>
      </c>
      <c r="E788">
        <v>60921</v>
      </c>
      <c r="F788" t="s">
        <v>14</v>
      </c>
      <c r="G788" t="s">
        <v>20</v>
      </c>
      <c r="H788" t="s">
        <v>16</v>
      </c>
      <c r="I788">
        <v>5</v>
      </c>
      <c r="J788">
        <v>0</v>
      </c>
      <c r="K788">
        <v>5</v>
      </c>
    </row>
    <row r="789" spans="1:11" x14ac:dyDescent="0.25">
      <c r="A789" t="s">
        <v>829</v>
      </c>
      <c r="B789" s="1">
        <v>45833.013391203705</v>
      </c>
      <c r="C789" s="2" t="s">
        <v>39</v>
      </c>
      <c r="D789" t="s">
        <v>19</v>
      </c>
      <c r="E789">
        <v>88938</v>
      </c>
      <c r="F789" t="s">
        <v>14</v>
      </c>
      <c r="G789" t="s">
        <v>15</v>
      </c>
      <c r="H789" t="s">
        <v>16</v>
      </c>
      <c r="I789">
        <v>5</v>
      </c>
      <c r="J789">
        <v>0</v>
      </c>
      <c r="K789">
        <v>5</v>
      </c>
    </row>
    <row r="790" spans="1:11" x14ac:dyDescent="0.25">
      <c r="A790" t="s">
        <v>830</v>
      </c>
      <c r="B790" s="1">
        <v>45875.973194444443</v>
      </c>
      <c r="C790" s="2" t="s">
        <v>22</v>
      </c>
      <c r="D790" t="s">
        <v>45</v>
      </c>
      <c r="E790">
        <v>89768</v>
      </c>
      <c r="F790" t="s">
        <v>14</v>
      </c>
      <c r="G790" t="s">
        <v>20</v>
      </c>
      <c r="H790" t="s">
        <v>178</v>
      </c>
      <c r="I790">
        <v>897.68</v>
      </c>
      <c r="J790">
        <v>0</v>
      </c>
      <c r="K790">
        <v>897.68</v>
      </c>
    </row>
    <row r="791" spans="1:11" x14ac:dyDescent="0.25">
      <c r="A791" t="s">
        <v>831</v>
      </c>
      <c r="B791" s="1">
        <v>45809.94462962963</v>
      </c>
      <c r="C791" s="2" t="s">
        <v>18</v>
      </c>
      <c r="D791" t="s">
        <v>45</v>
      </c>
      <c r="E791">
        <v>137778</v>
      </c>
      <c r="F791" t="s">
        <v>50</v>
      </c>
      <c r="G791" t="s">
        <v>34</v>
      </c>
      <c r="H791" t="s">
        <v>178</v>
      </c>
      <c r="I791">
        <v>1377.78</v>
      </c>
      <c r="J791">
        <v>0</v>
      </c>
      <c r="K791">
        <v>1377.78</v>
      </c>
    </row>
    <row r="792" spans="1:11" x14ac:dyDescent="0.25">
      <c r="A792" t="s">
        <v>832</v>
      </c>
      <c r="B792" s="1">
        <v>45937.860451388886</v>
      </c>
      <c r="C792" s="2" t="s">
        <v>29</v>
      </c>
      <c r="D792" t="s">
        <v>23</v>
      </c>
      <c r="E792">
        <v>4548</v>
      </c>
      <c r="F792" t="s">
        <v>14</v>
      </c>
      <c r="G792" t="s">
        <v>84</v>
      </c>
      <c r="H792" t="s">
        <v>16</v>
      </c>
      <c r="I792">
        <v>0</v>
      </c>
      <c r="J792">
        <v>0</v>
      </c>
      <c r="K792">
        <v>0</v>
      </c>
    </row>
    <row r="793" spans="1:11" x14ac:dyDescent="0.25">
      <c r="A793" t="s">
        <v>833</v>
      </c>
      <c r="B793" s="1">
        <v>46069.163703703707</v>
      </c>
      <c r="C793" s="2" t="s">
        <v>39</v>
      </c>
      <c r="D793" t="s">
        <v>19</v>
      </c>
      <c r="E793">
        <v>78366</v>
      </c>
      <c r="F793" t="s">
        <v>14</v>
      </c>
      <c r="G793" t="s">
        <v>27</v>
      </c>
      <c r="H793" t="s">
        <v>16</v>
      </c>
      <c r="I793">
        <v>5</v>
      </c>
      <c r="J793">
        <v>0</v>
      </c>
      <c r="K793">
        <v>5</v>
      </c>
    </row>
    <row r="794" spans="1:11" x14ac:dyDescent="0.25">
      <c r="A794" t="s">
        <v>834</v>
      </c>
      <c r="B794" s="1">
        <v>45862.505416666667</v>
      </c>
      <c r="C794" s="2" t="s">
        <v>32</v>
      </c>
      <c r="D794" t="s">
        <v>13</v>
      </c>
      <c r="E794">
        <v>36500</v>
      </c>
      <c r="F794" t="s">
        <v>14</v>
      </c>
      <c r="G794" t="s">
        <v>58</v>
      </c>
      <c r="H794" t="s">
        <v>16</v>
      </c>
      <c r="I794">
        <v>675.25</v>
      </c>
      <c r="J794">
        <v>270.10000000000002</v>
      </c>
      <c r="K794">
        <v>405.15</v>
      </c>
    </row>
    <row r="795" spans="1:11" x14ac:dyDescent="0.25">
      <c r="A795" t="s">
        <v>835</v>
      </c>
      <c r="B795" s="1">
        <v>45936.197581018518</v>
      </c>
      <c r="C795" s="2" t="s">
        <v>22</v>
      </c>
      <c r="D795" t="s">
        <v>19</v>
      </c>
      <c r="E795">
        <v>6725</v>
      </c>
      <c r="F795" t="s">
        <v>14</v>
      </c>
      <c r="G795" t="s">
        <v>84</v>
      </c>
      <c r="H795" t="s">
        <v>16</v>
      </c>
      <c r="I795">
        <v>5</v>
      </c>
      <c r="J795">
        <v>0</v>
      </c>
      <c r="K795">
        <v>5</v>
      </c>
    </row>
    <row r="796" spans="1:11" x14ac:dyDescent="0.25">
      <c r="A796" t="s">
        <v>836</v>
      </c>
      <c r="B796" s="1">
        <v>46095.308275462965</v>
      </c>
      <c r="C796" s="2" t="s">
        <v>18</v>
      </c>
      <c r="D796" t="s">
        <v>23</v>
      </c>
      <c r="E796">
        <v>2140</v>
      </c>
      <c r="F796" t="s">
        <v>14</v>
      </c>
      <c r="G796" t="s">
        <v>24</v>
      </c>
      <c r="H796" t="s">
        <v>16</v>
      </c>
      <c r="I796">
        <v>0</v>
      </c>
      <c r="J796">
        <v>0</v>
      </c>
      <c r="K796">
        <v>0</v>
      </c>
    </row>
    <row r="797" spans="1:11" x14ac:dyDescent="0.25">
      <c r="A797" t="s">
        <v>837</v>
      </c>
      <c r="B797" s="1">
        <v>45872.537199074075</v>
      </c>
      <c r="C797" s="2" t="s">
        <v>32</v>
      </c>
      <c r="D797" t="s">
        <v>45</v>
      </c>
      <c r="E797">
        <v>39817</v>
      </c>
      <c r="F797" t="s">
        <v>50</v>
      </c>
      <c r="G797" t="s">
        <v>58</v>
      </c>
      <c r="H797" t="s">
        <v>71</v>
      </c>
      <c r="I797">
        <v>398.17</v>
      </c>
      <c r="J797">
        <v>0</v>
      </c>
      <c r="K797">
        <v>398.17</v>
      </c>
    </row>
    <row r="798" spans="1:11" x14ac:dyDescent="0.25">
      <c r="A798" t="s">
        <v>838</v>
      </c>
      <c r="B798" s="1">
        <v>45806.689930555556</v>
      </c>
      <c r="C798" s="2" t="s">
        <v>29</v>
      </c>
      <c r="D798" t="s">
        <v>23</v>
      </c>
      <c r="E798">
        <v>4516</v>
      </c>
      <c r="F798" t="s">
        <v>14</v>
      </c>
      <c r="G798" t="s">
        <v>34</v>
      </c>
      <c r="H798" t="s">
        <v>16</v>
      </c>
      <c r="I798">
        <v>0</v>
      </c>
      <c r="J798">
        <v>0</v>
      </c>
      <c r="K798">
        <v>0</v>
      </c>
    </row>
    <row r="799" spans="1:11" x14ac:dyDescent="0.25">
      <c r="A799" t="s">
        <v>839</v>
      </c>
      <c r="B799" s="1">
        <v>45998.878923611112</v>
      </c>
      <c r="C799" s="2" t="s">
        <v>22</v>
      </c>
      <c r="D799" t="s">
        <v>23</v>
      </c>
      <c r="E799">
        <v>4056</v>
      </c>
      <c r="F799" t="s">
        <v>14</v>
      </c>
      <c r="G799" t="s">
        <v>51</v>
      </c>
      <c r="H799" t="s">
        <v>16</v>
      </c>
      <c r="I799">
        <v>0</v>
      </c>
      <c r="J799">
        <v>0</v>
      </c>
      <c r="K799">
        <v>0</v>
      </c>
    </row>
    <row r="800" spans="1:11" x14ac:dyDescent="0.25">
      <c r="A800" t="s">
        <v>840</v>
      </c>
      <c r="B800" s="1">
        <v>45821.552465277775</v>
      </c>
      <c r="C800" s="2" t="s">
        <v>22</v>
      </c>
      <c r="D800" t="s">
        <v>23</v>
      </c>
      <c r="E800">
        <v>1496</v>
      </c>
      <c r="F800" t="s">
        <v>14</v>
      </c>
      <c r="G800" t="s">
        <v>34</v>
      </c>
      <c r="H800" t="s">
        <v>16</v>
      </c>
      <c r="I800">
        <v>0</v>
      </c>
      <c r="J800">
        <v>0</v>
      </c>
      <c r="K800">
        <v>0</v>
      </c>
    </row>
    <row r="801" spans="1:11" x14ac:dyDescent="0.25">
      <c r="A801" t="s">
        <v>841</v>
      </c>
      <c r="B801" s="1">
        <v>46099.279386574075</v>
      </c>
      <c r="C801" s="2" t="s">
        <v>32</v>
      </c>
      <c r="D801" t="s">
        <v>19</v>
      </c>
      <c r="E801">
        <v>34301</v>
      </c>
      <c r="F801" t="s">
        <v>14</v>
      </c>
      <c r="G801" t="s">
        <v>24</v>
      </c>
      <c r="H801" t="s">
        <v>16</v>
      </c>
      <c r="I801">
        <v>5</v>
      </c>
      <c r="J801">
        <v>0</v>
      </c>
      <c r="K801">
        <v>5</v>
      </c>
    </row>
    <row r="802" spans="1:11" x14ac:dyDescent="0.25">
      <c r="A802" t="s">
        <v>842</v>
      </c>
      <c r="B802" s="1">
        <v>45881.488912037035</v>
      </c>
      <c r="C802" s="2" t="s">
        <v>18</v>
      </c>
      <c r="D802" t="s">
        <v>13</v>
      </c>
      <c r="E802">
        <v>92500</v>
      </c>
      <c r="F802" t="s">
        <v>14</v>
      </c>
      <c r="G802" t="s">
        <v>30</v>
      </c>
      <c r="H802" t="s">
        <v>16</v>
      </c>
      <c r="I802">
        <v>1711.25</v>
      </c>
      <c r="J802">
        <v>684.5</v>
      </c>
      <c r="K802">
        <v>1026.75</v>
      </c>
    </row>
    <row r="803" spans="1:11" x14ac:dyDescent="0.25">
      <c r="A803" t="s">
        <v>843</v>
      </c>
      <c r="B803" s="1">
        <v>46013.563379629632</v>
      </c>
      <c r="C803" s="2" t="s">
        <v>29</v>
      </c>
      <c r="D803" t="s">
        <v>13</v>
      </c>
      <c r="E803">
        <v>96500</v>
      </c>
      <c r="F803" t="s">
        <v>14</v>
      </c>
      <c r="G803" t="s">
        <v>51</v>
      </c>
      <c r="H803" t="s">
        <v>16</v>
      </c>
      <c r="I803">
        <v>1785.25</v>
      </c>
      <c r="J803">
        <v>714.1</v>
      </c>
      <c r="K803">
        <v>1071.1500000000001</v>
      </c>
    </row>
    <row r="804" spans="1:11" x14ac:dyDescent="0.25">
      <c r="A804" t="s">
        <v>844</v>
      </c>
      <c r="B804" s="1">
        <v>45928.213009259256</v>
      </c>
      <c r="C804" s="2" t="s">
        <v>22</v>
      </c>
      <c r="D804" t="s">
        <v>23</v>
      </c>
      <c r="E804">
        <v>2611</v>
      </c>
      <c r="F804" t="s">
        <v>14</v>
      </c>
      <c r="G804" t="s">
        <v>34</v>
      </c>
      <c r="H804" t="s">
        <v>16</v>
      </c>
      <c r="I804">
        <v>0</v>
      </c>
      <c r="J804">
        <v>0</v>
      </c>
      <c r="K804">
        <v>0</v>
      </c>
    </row>
    <row r="805" spans="1:11" x14ac:dyDescent="0.25">
      <c r="A805" t="s">
        <v>845</v>
      </c>
      <c r="B805" s="1">
        <v>45982.581435185188</v>
      </c>
      <c r="C805" s="2" t="s">
        <v>29</v>
      </c>
      <c r="D805" t="s">
        <v>19</v>
      </c>
      <c r="E805">
        <v>49392</v>
      </c>
      <c r="F805" t="s">
        <v>14</v>
      </c>
      <c r="G805" t="s">
        <v>51</v>
      </c>
      <c r="H805" t="s">
        <v>16</v>
      </c>
      <c r="I805">
        <v>5</v>
      </c>
      <c r="J805">
        <v>0</v>
      </c>
      <c r="K805">
        <v>5</v>
      </c>
    </row>
    <row r="806" spans="1:11" x14ac:dyDescent="0.25">
      <c r="A806" t="s">
        <v>846</v>
      </c>
      <c r="B806" s="1">
        <v>45820.477152777778</v>
      </c>
      <c r="C806" s="2" t="s">
        <v>22</v>
      </c>
      <c r="D806" t="s">
        <v>45</v>
      </c>
      <c r="E806">
        <v>109135</v>
      </c>
      <c r="F806" t="s">
        <v>14</v>
      </c>
      <c r="G806" t="s">
        <v>51</v>
      </c>
      <c r="H806" t="s">
        <v>59</v>
      </c>
      <c r="I806">
        <v>1091.3499999999999</v>
      </c>
      <c r="J806">
        <v>0</v>
      </c>
      <c r="K806">
        <v>1091.3499999999999</v>
      </c>
    </row>
    <row r="807" spans="1:11" x14ac:dyDescent="0.25">
      <c r="A807" t="s">
        <v>847</v>
      </c>
      <c r="B807" s="1">
        <v>45976.164363425924</v>
      </c>
      <c r="C807" s="2" t="s">
        <v>32</v>
      </c>
      <c r="D807" t="s">
        <v>45</v>
      </c>
      <c r="E807">
        <v>87388</v>
      </c>
      <c r="F807" t="s">
        <v>14</v>
      </c>
      <c r="G807" t="s">
        <v>84</v>
      </c>
      <c r="H807" t="s">
        <v>178</v>
      </c>
      <c r="I807">
        <v>873.88</v>
      </c>
      <c r="J807">
        <v>0</v>
      </c>
      <c r="K807">
        <v>873.88</v>
      </c>
    </row>
    <row r="808" spans="1:11" x14ac:dyDescent="0.25">
      <c r="A808" t="s">
        <v>848</v>
      </c>
      <c r="B808" s="1">
        <v>45824.408564814818</v>
      </c>
      <c r="C808" s="2" t="s">
        <v>18</v>
      </c>
      <c r="D808" t="s">
        <v>19</v>
      </c>
      <c r="E808">
        <v>74851</v>
      </c>
      <c r="F808" t="s">
        <v>14</v>
      </c>
      <c r="G808" t="s">
        <v>20</v>
      </c>
      <c r="H808" t="s">
        <v>16</v>
      </c>
      <c r="I808">
        <v>5</v>
      </c>
      <c r="J808">
        <v>0</v>
      </c>
      <c r="K808">
        <v>5</v>
      </c>
    </row>
    <row r="809" spans="1:11" x14ac:dyDescent="0.25">
      <c r="A809" t="s">
        <v>849</v>
      </c>
      <c r="B809" s="1">
        <v>45813.673009259262</v>
      </c>
      <c r="C809" s="2" t="s">
        <v>29</v>
      </c>
      <c r="D809" t="s">
        <v>13</v>
      </c>
      <c r="E809">
        <v>205000</v>
      </c>
      <c r="F809" t="s">
        <v>14</v>
      </c>
      <c r="G809" t="s">
        <v>51</v>
      </c>
      <c r="H809" t="s">
        <v>16</v>
      </c>
      <c r="I809">
        <v>3792.5</v>
      </c>
      <c r="J809">
        <v>1517</v>
      </c>
      <c r="K809">
        <v>2275.5</v>
      </c>
    </row>
    <row r="810" spans="1:11" x14ac:dyDescent="0.25">
      <c r="A810" t="s">
        <v>850</v>
      </c>
      <c r="B810" s="1">
        <v>46052.501157407409</v>
      </c>
      <c r="C810" s="2" t="s">
        <v>26</v>
      </c>
      <c r="D810" t="s">
        <v>45</v>
      </c>
      <c r="E810">
        <v>124715</v>
      </c>
      <c r="F810" t="s">
        <v>14</v>
      </c>
      <c r="G810" t="s">
        <v>24</v>
      </c>
      <c r="H810" t="s">
        <v>59</v>
      </c>
      <c r="I810">
        <v>1247.1500000000001</v>
      </c>
      <c r="J810">
        <v>0</v>
      </c>
      <c r="K810">
        <v>1247.1500000000001</v>
      </c>
    </row>
    <row r="811" spans="1:11" x14ac:dyDescent="0.25">
      <c r="A811" t="s">
        <v>851</v>
      </c>
      <c r="B811" s="1">
        <v>46011.482893518521</v>
      </c>
      <c r="C811" s="2" t="s">
        <v>32</v>
      </c>
      <c r="D811" t="s">
        <v>13</v>
      </c>
      <c r="E811">
        <v>88000</v>
      </c>
      <c r="F811" t="s">
        <v>50</v>
      </c>
      <c r="G811" t="s">
        <v>15</v>
      </c>
      <c r="H811" t="s">
        <v>16</v>
      </c>
      <c r="I811">
        <v>1628</v>
      </c>
      <c r="J811">
        <v>651.20000000000005</v>
      </c>
      <c r="K811">
        <v>976.8</v>
      </c>
    </row>
    <row r="812" spans="1:11" x14ac:dyDescent="0.25">
      <c r="A812" t="s">
        <v>852</v>
      </c>
      <c r="B812" s="1">
        <v>45961.367650462962</v>
      </c>
      <c r="C812" s="2" t="s">
        <v>39</v>
      </c>
      <c r="D812" t="s">
        <v>13</v>
      </c>
      <c r="E812">
        <v>8500</v>
      </c>
      <c r="F812" t="s">
        <v>14</v>
      </c>
      <c r="G812" t="s">
        <v>30</v>
      </c>
      <c r="H812" t="s">
        <v>16</v>
      </c>
      <c r="I812">
        <v>157.25</v>
      </c>
      <c r="J812">
        <v>62.9</v>
      </c>
      <c r="K812">
        <v>94.35</v>
      </c>
    </row>
    <row r="813" spans="1:11" x14ac:dyDescent="0.25">
      <c r="A813" t="s">
        <v>853</v>
      </c>
      <c r="B813" s="1">
        <v>45962.900520833333</v>
      </c>
      <c r="C813" s="2" t="s">
        <v>18</v>
      </c>
      <c r="D813" t="s">
        <v>33</v>
      </c>
      <c r="E813">
        <v>36271</v>
      </c>
      <c r="F813" t="s">
        <v>14</v>
      </c>
      <c r="G813" t="s">
        <v>24</v>
      </c>
      <c r="H813" t="s">
        <v>16</v>
      </c>
      <c r="I813">
        <v>0</v>
      </c>
      <c r="J813">
        <v>0</v>
      </c>
      <c r="K813">
        <v>0</v>
      </c>
    </row>
    <row r="814" spans="1:11" x14ac:dyDescent="0.25">
      <c r="A814" t="s">
        <v>854</v>
      </c>
      <c r="B814" s="1">
        <v>45981.565555555557</v>
      </c>
      <c r="C814" s="2" t="s">
        <v>22</v>
      </c>
      <c r="D814" t="s">
        <v>45</v>
      </c>
      <c r="E814">
        <v>36509</v>
      </c>
      <c r="F814" t="s">
        <v>50</v>
      </c>
      <c r="G814" t="s">
        <v>84</v>
      </c>
      <c r="H814" t="s">
        <v>56</v>
      </c>
      <c r="I814">
        <v>365.09</v>
      </c>
      <c r="J814">
        <v>0</v>
      </c>
      <c r="K814">
        <v>365.09</v>
      </c>
    </row>
    <row r="815" spans="1:11" x14ac:dyDescent="0.25">
      <c r="A815" t="s">
        <v>855</v>
      </c>
      <c r="B815" s="1">
        <v>45814.481990740744</v>
      </c>
      <c r="C815" s="2" t="s">
        <v>41</v>
      </c>
      <c r="D815" t="s">
        <v>33</v>
      </c>
      <c r="E815">
        <v>67202</v>
      </c>
      <c r="F815" t="s">
        <v>14</v>
      </c>
      <c r="G815" t="s">
        <v>27</v>
      </c>
      <c r="H815" t="s">
        <v>16</v>
      </c>
      <c r="I815">
        <v>0</v>
      </c>
      <c r="J815">
        <v>0</v>
      </c>
      <c r="K815">
        <v>0</v>
      </c>
    </row>
    <row r="816" spans="1:11" x14ac:dyDescent="0.25">
      <c r="A816" t="s">
        <v>856</v>
      </c>
      <c r="B816" s="1">
        <v>45808.509756944448</v>
      </c>
      <c r="C816" s="2" t="s">
        <v>26</v>
      </c>
      <c r="D816" t="s">
        <v>33</v>
      </c>
      <c r="E816">
        <v>64745</v>
      </c>
      <c r="F816" t="s">
        <v>50</v>
      </c>
      <c r="G816" t="s">
        <v>20</v>
      </c>
      <c r="H816" t="s">
        <v>16</v>
      </c>
      <c r="I816">
        <v>0</v>
      </c>
      <c r="J816">
        <v>0</v>
      </c>
      <c r="K816">
        <v>0</v>
      </c>
    </row>
    <row r="817" spans="1:11" x14ac:dyDescent="0.25">
      <c r="A817" t="s">
        <v>857</v>
      </c>
      <c r="B817" s="1">
        <v>45784.351053240738</v>
      </c>
      <c r="C817" s="2" t="s">
        <v>29</v>
      </c>
      <c r="D817" t="s">
        <v>13</v>
      </c>
      <c r="E817">
        <v>247500</v>
      </c>
      <c r="F817" t="s">
        <v>14</v>
      </c>
      <c r="G817" t="s">
        <v>34</v>
      </c>
      <c r="H817" t="s">
        <v>16</v>
      </c>
      <c r="I817">
        <v>4578.75</v>
      </c>
      <c r="J817">
        <v>1831.5</v>
      </c>
      <c r="K817">
        <v>2747.25</v>
      </c>
    </row>
    <row r="818" spans="1:11" x14ac:dyDescent="0.25">
      <c r="A818" t="s">
        <v>858</v>
      </c>
      <c r="B818" s="1">
        <v>46077.574826388889</v>
      </c>
      <c r="C818" s="2" t="s">
        <v>39</v>
      </c>
      <c r="D818" t="s">
        <v>23</v>
      </c>
      <c r="E818">
        <v>801</v>
      </c>
      <c r="F818" t="s">
        <v>14</v>
      </c>
      <c r="G818" t="s">
        <v>30</v>
      </c>
      <c r="H818" t="s">
        <v>16</v>
      </c>
      <c r="I818">
        <v>0</v>
      </c>
      <c r="J818">
        <v>0</v>
      </c>
      <c r="K818">
        <v>0</v>
      </c>
    </row>
    <row r="819" spans="1:11" x14ac:dyDescent="0.25">
      <c r="A819" t="s">
        <v>859</v>
      </c>
      <c r="B819" s="1">
        <v>45906.854143518518</v>
      </c>
      <c r="C819" s="2" t="s">
        <v>29</v>
      </c>
      <c r="D819" t="s">
        <v>33</v>
      </c>
      <c r="E819">
        <v>124608</v>
      </c>
      <c r="F819" t="s">
        <v>50</v>
      </c>
      <c r="G819" t="s">
        <v>84</v>
      </c>
      <c r="H819" t="s">
        <v>16</v>
      </c>
      <c r="I819">
        <v>0</v>
      </c>
      <c r="J819">
        <v>0</v>
      </c>
      <c r="K819">
        <v>0</v>
      </c>
    </row>
    <row r="820" spans="1:11" x14ac:dyDescent="0.25">
      <c r="A820" t="s">
        <v>860</v>
      </c>
      <c r="B820" s="1">
        <v>45975.239363425928</v>
      </c>
      <c r="C820" s="2" t="s">
        <v>39</v>
      </c>
      <c r="D820" t="s">
        <v>19</v>
      </c>
      <c r="E820">
        <v>75405</v>
      </c>
      <c r="F820" t="s">
        <v>14</v>
      </c>
      <c r="G820" t="s">
        <v>34</v>
      </c>
      <c r="H820" t="s">
        <v>16</v>
      </c>
      <c r="I820">
        <v>5</v>
      </c>
      <c r="J820">
        <v>0</v>
      </c>
      <c r="K820">
        <v>5</v>
      </c>
    </row>
    <row r="821" spans="1:11" x14ac:dyDescent="0.25">
      <c r="A821" t="s">
        <v>861</v>
      </c>
      <c r="B821" s="1">
        <v>46067.859502314815</v>
      </c>
      <c r="C821" s="2" t="s">
        <v>39</v>
      </c>
      <c r="D821" t="s">
        <v>23</v>
      </c>
      <c r="E821">
        <v>2411</v>
      </c>
      <c r="F821" t="s">
        <v>14</v>
      </c>
      <c r="G821" t="s">
        <v>27</v>
      </c>
      <c r="H821" t="s">
        <v>16</v>
      </c>
      <c r="I821">
        <v>0</v>
      </c>
      <c r="J821">
        <v>0</v>
      </c>
      <c r="K821">
        <v>0</v>
      </c>
    </row>
    <row r="822" spans="1:11" x14ac:dyDescent="0.25">
      <c r="A822" t="s">
        <v>862</v>
      </c>
      <c r="B822" s="1">
        <v>45860.840462962966</v>
      </c>
      <c r="C822" s="2" t="s">
        <v>32</v>
      </c>
      <c r="D822" t="s">
        <v>13</v>
      </c>
      <c r="E822">
        <v>170000</v>
      </c>
      <c r="F822" t="s">
        <v>14</v>
      </c>
      <c r="G822" t="s">
        <v>34</v>
      </c>
      <c r="H822" t="s">
        <v>16</v>
      </c>
      <c r="I822">
        <v>3145</v>
      </c>
      <c r="J822">
        <v>1258</v>
      </c>
      <c r="K822">
        <v>1887</v>
      </c>
    </row>
    <row r="823" spans="1:11" x14ac:dyDescent="0.25">
      <c r="A823" t="s">
        <v>863</v>
      </c>
      <c r="B823" s="1">
        <v>45791.593391203707</v>
      </c>
      <c r="C823" s="2" t="s">
        <v>41</v>
      </c>
      <c r="D823" t="s">
        <v>45</v>
      </c>
      <c r="E823">
        <v>9281</v>
      </c>
      <c r="F823" t="s">
        <v>50</v>
      </c>
      <c r="G823" t="s">
        <v>27</v>
      </c>
      <c r="H823" t="s">
        <v>178</v>
      </c>
      <c r="I823">
        <v>92.81</v>
      </c>
      <c r="J823">
        <v>0</v>
      </c>
      <c r="K823">
        <v>92.81</v>
      </c>
    </row>
    <row r="824" spans="1:11" x14ac:dyDescent="0.25">
      <c r="A824" t="s">
        <v>864</v>
      </c>
      <c r="B824" s="1">
        <v>46042.051377314812</v>
      </c>
      <c r="C824" s="2" t="s">
        <v>26</v>
      </c>
      <c r="D824" t="s">
        <v>19</v>
      </c>
      <c r="E824">
        <v>136296</v>
      </c>
      <c r="F824" t="s">
        <v>14</v>
      </c>
      <c r="G824" t="s">
        <v>20</v>
      </c>
      <c r="H824" t="s">
        <v>16</v>
      </c>
      <c r="I824">
        <v>5</v>
      </c>
      <c r="J824">
        <v>0</v>
      </c>
      <c r="K824">
        <v>5</v>
      </c>
    </row>
    <row r="825" spans="1:11" x14ac:dyDescent="0.25">
      <c r="A825" t="s">
        <v>865</v>
      </c>
      <c r="B825" s="1">
        <v>45831.613993055558</v>
      </c>
      <c r="C825" s="2" t="s">
        <v>41</v>
      </c>
      <c r="D825" t="s">
        <v>23</v>
      </c>
      <c r="E825">
        <v>4044</v>
      </c>
      <c r="F825" t="s">
        <v>14</v>
      </c>
      <c r="G825" t="s">
        <v>27</v>
      </c>
      <c r="H825" t="s">
        <v>16</v>
      </c>
      <c r="I825">
        <v>0</v>
      </c>
      <c r="J825">
        <v>0</v>
      </c>
      <c r="K825">
        <v>0</v>
      </c>
    </row>
    <row r="826" spans="1:11" x14ac:dyDescent="0.25">
      <c r="A826" t="s">
        <v>866</v>
      </c>
      <c r="B826" s="1">
        <v>46142.638124999998</v>
      </c>
      <c r="C826" s="2" t="s">
        <v>26</v>
      </c>
      <c r="D826" t="s">
        <v>45</v>
      </c>
      <c r="E826">
        <v>148463</v>
      </c>
      <c r="F826" t="s">
        <v>50</v>
      </c>
      <c r="G826" t="s">
        <v>24</v>
      </c>
      <c r="H826" t="s">
        <v>46</v>
      </c>
      <c r="I826">
        <v>1484.63</v>
      </c>
      <c r="J826">
        <v>0</v>
      </c>
      <c r="K826">
        <v>1484.63</v>
      </c>
    </row>
    <row r="827" spans="1:11" x14ac:dyDescent="0.25">
      <c r="A827" t="s">
        <v>867</v>
      </c>
      <c r="B827" s="1">
        <v>45778.699664351851</v>
      </c>
      <c r="C827" s="2" t="s">
        <v>26</v>
      </c>
      <c r="D827" t="s">
        <v>33</v>
      </c>
      <c r="E827">
        <v>85064</v>
      </c>
      <c r="F827" t="s">
        <v>50</v>
      </c>
      <c r="G827" t="s">
        <v>34</v>
      </c>
      <c r="H827" t="s">
        <v>16</v>
      </c>
      <c r="I827">
        <v>0</v>
      </c>
      <c r="J827">
        <v>0</v>
      </c>
      <c r="K827">
        <v>0</v>
      </c>
    </row>
    <row r="828" spans="1:11" x14ac:dyDescent="0.25">
      <c r="A828" t="s">
        <v>868</v>
      </c>
      <c r="B828" s="1">
        <v>45879.82576388889</v>
      </c>
      <c r="C828" s="2" t="s">
        <v>26</v>
      </c>
      <c r="D828" t="s">
        <v>33</v>
      </c>
      <c r="E828">
        <v>23242</v>
      </c>
      <c r="F828" t="s">
        <v>14</v>
      </c>
      <c r="G828" t="s">
        <v>15</v>
      </c>
      <c r="H828" t="s">
        <v>16</v>
      </c>
      <c r="I828">
        <v>0</v>
      </c>
      <c r="J828">
        <v>0</v>
      </c>
      <c r="K828">
        <v>0</v>
      </c>
    </row>
    <row r="829" spans="1:11" x14ac:dyDescent="0.25">
      <c r="A829" t="s">
        <v>869</v>
      </c>
      <c r="B829" s="1">
        <v>45971.2812962963</v>
      </c>
      <c r="C829" s="2" t="s">
        <v>22</v>
      </c>
      <c r="D829" t="s">
        <v>19</v>
      </c>
      <c r="E829">
        <v>4632</v>
      </c>
      <c r="F829" t="s">
        <v>14</v>
      </c>
      <c r="G829" t="s">
        <v>15</v>
      </c>
      <c r="H829" t="s">
        <v>16</v>
      </c>
      <c r="I829">
        <v>5</v>
      </c>
      <c r="J829">
        <v>0</v>
      </c>
      <c r="K829">
        <v>5</v>
      </c>
    </row>
    <row r="830" spans="1:11" x14ac:dyDescent="0.25">
      <c r="A830" t="s">
        <v>870</v>
      </c>
      <c r="B830" s="1">
        <v>45839.462569444448</v>
      </c>
      <c r="C830" s="2" t="s">
        <v>26</v>
      </c>
      <c r="D830" t="s">
        <v>23</v>
      </c>
      <c r="E830">
        <v>4501</v>
      </c>
      <c r="F830" t="s">
        <v>14</v>
      </c>
      <c r="G830" t="s">
        <v>27</v>
      </c>
      <c r="H830" t="s">
        <v>16</v>
      </c>
      <c r="I830">
        <v>0</v>
      </c>
      <c r="J830">
        <v>0</v>
      </c>
      <c r="K830">
        <v>0</v>
      </c>
    </row>
    <row r="831" spans="1:11" x14ac:dyDescent="0.25">
      <c r="A831" t="s">
        <v>871</v>
      </c>
      <c r="B831" s="1">
        <v>45900.865879629629</v>
      </c>
      <c r="C831" s="2" t="s">
        <v>18</v>
      </c>
      <c r="D831" t="s">
        <v>19</v>
      </c>
      <c r="E831">
        <v>102466</v>
      </c>
      <c r="F831" t="s">
        <v>50</v>
      </c>
      <c r="G831" t="s">
        <v>15</v>
      </c>
      <c r="H831" t="s">
        <v>16</v>
      </c>
      <c r="I831">
        <v>5</v>
      </c>
      <c r="J831">
        <v>0</v>
      </c>
      <c r="K831">
        <v>5</v>
      </c>
    </row>
    <row r="832" spans="1:11" x14ac:dyDescent="0.25">
      <c r="A832" t="s">
        <v>872</v>
      </c>
      <c r="B832" s="1">
        <v>45864.586875000001</v>
      </c>
      <c r="C832" s="2" t="s">
        <v>18</v>
      </c>
      <c r="D832" t="s">
        <v>33</v>
      </c>
      <c r="E832">
        <v>58280</v>
      </c>
      <c r="F832" t="s">
        <v>14</v>
      </c>
      <c r="G832" t="s">
        <v>84</v>
      </c>
      <c r="H832" t="s">
        <v>16</v>
      </c>
      <c r="I832">
        <v>0</v>
      </c>
      <c r="J832">
        <v>0</v>
      </c>
      <c r="K832">
        <v>0</v>
      </c>
    </row>
    <row r="833" spans="1:11" x14ac:dyDescent="0.25">
      <c r="A833" t="s">
        <v>873</v>
      </c>
      <c r="B833" s="1">
        <v>45832.603506944448</v>
      </c>
      <c r="C833" s="2" t="s">
        <v>18</v>
      </c>
      <c r="D833" t="s">
        <v>45</v>
      </c>
      <c r="E833">
        <v>134193</v>
      </c>
      <c r="F833" t="s">
        <v>14</v>
      </c>
      <c r="G833" t="s">
        <v>51</v>
      </c>
      <c r="H833" t="s">
        <v>59</v>
      </c>
      <c r="I833">
        <v>1341.93</v>
      </c>
      <c r="J833">
        <v>0</v>
      </c>
      <c r="K833">
        <v>1341.93</v>
      </c>
    </row>
    <row r="834" spans="1:11" x14ac:dyDescent="0.25">
      <c r="A834" t="s">
        <v>874</v>
      </c>
      <c r="B834" s="1">
        <v>45903.242152777777</v>
      </c>
      <c r="C834" s="2" t="s">
        <v>41</v>
      </c>
      <c r="D834" t="s">
        <v>33</v>
      </c>
      <c r="E834">
        <v>60933</v>
      </c>
      <c r="F834" t="s">
        <v>14</v>
      </c>
      <c r="G834" t="s">
        <v>34</v>
      </c>
      <c r="H834" t="s">
        <v>16</v>
      </c>
      <c r="I834">
        <v>0</v>
      </c>
      <c r="J834">
        <v>0</v>
      </c>
      <c r="K834">
        <v>0</v>
      </c>
    </row>
    <row r="835" spans="1:11" x14ac:dyDescent="0.25">
      <c r="A835" t="s">
        <v>875</v>
      </c>
      <c r="B835" s="1">
        <v>45789.631585648145</v>
      </c>
      <c r="C835" s="2" t="s">
        <v>22</v>
      </c>
      <c r="D835" t="s">
        <v>45</v>
      </c>
      <c r="E835">
        <v>50300</v>
      </c>
      <c r="F835" t="s">
        <v>50</v>
      </c>
      <c r="G835" t="s">
        <v>34</v>
      </c>
      <c r="H835" t="s">
        <v>59</v>
      </c>
      <c r="I835">
        <v>503</v>
      </c>
      <c r="J835">
        <v>0</v>
      </c>
      <c r="K835">
        <v>503</v>
      </c>
    </row>
    <row r="836" spans="1:11" x14ac:dyDescent="0.25">
      <c r="A836" t="s">
        <v>876</v>
      </c>
      <c r="B836" s="1">
        <v>45998.509930555556</v>
      </c>
      <c r="C836" s="2" t="s">
        <v>29</v>
      </c>
      <c r="D836" t="s">
        <v>19</v>
      </c>
      <c r="E836">
        <v>79023</v>
      </c>
      <c r="F836" t="s">
        <v>14</v>
      </c>
      <c r="G836" t="s">
        <v>34</v>
      </c>
      <c r="H836" t="s">
        <v>16</v>
      </c>
      <c r="I836">
        <v>5</v>
      </c>
      <c r="J836">
        <v>0</v>
      </c>
      <c r="K836">
        <v>5</v>
      </c>
    </row>
    <row r="837" spans="1:11" x14ac:dyDescent="0.25">
      <c r="A837" t="s">
        <v>877</v>
      </c>
      <c r="B837" s="1">
        <v>45797.019525462965</v>
      </c>
      <c r="C837" s="2" t="s">
        <v>18</v>
      </c>
      <c r="D837" t="s">
        <v>33</v>
      </c>
      <c r="E837">
        <v>32415</v>
      </c>
      <c r="F837" t="s">
        <v>14</v>
      </c>
      <c r="G837" t="s">
        <v>24</v>
      </c>
      <c r="H837" t="s">
        <v>16</v>
      </c>
      <c r="I837">
        <v>0</v>
      </c>
      <c r="J837">
        <v>0</v>
      </c>
      <c r="K837">
        <v>0</v>
      </c>
    </row>
    <row r="838" spans="1:11" x14ac:dyDescent="0.25">
      <c r="A838" t="s">
        <v>878</v>
      </c>
      <c r="B838" s="1">
        <v>46014.745509259257</v>
      </c>
      <c r="C838" s="2" t="s">
        <v>22</v>
      </c>
      <c r="D838" t="s">
        <v>33</v>
      </c>
      <c r="E838">
        <v>140817</v>
      </c>
      <c r="F838" t="s">
        <v>14</v>
      </c>
      <c r="G838" t="s">
        <v>20</v>
      </c>
      <c r="H838" t="s">
        <v>16</v>
      </c>
      <c r="I838">
        <v>0</v>
      </c>
      <c r="J838">
        <v>0</v>
      </c>
      <c r="K838">
        <v>0</v>
      </c>
    </row>
    <row r="839" spans="1:11" x14ac:dyDescent="0.25">
      <c r="A839" t="s">
        <v>879</v>
      </c>
      <c r="B839" s="1">
        <v>45801.570694444446</v>
      </c>
      <c r="C839" s="2" t="s">
        <v>18</v>
      </c>
      <c r="D839" t="s">
        <v>45</v>
      </c>
      <c r="E839">
        <v>113895</v>
      </c>
      <c r="F839" t="s">
        <v>14</v>
      </c>
      <c r="G839" t="s">
        <v>34</v>
      </c>
      <c r="H839" t="s">
        <v>56</v>
      </c>
      <c r="I839">
        <v>1138.95</v>
      </c>
      <c r="J839">
        <v>0</v>
      </c>
      <c r="K839">
        <v>1138.95</v>
      </c>
    </row>
    <row r="840" spans="1:11" x14ac:dyDescent="0.25">
      <c r="A840" t="s">
        <v>880</v>
      </c>
      <c r="B840" s="1">
        <v>45897.913506944446</v>
      </c>
      <c r="C840" s="2" t="s">
        <v>18</v>
      </c>
      <c r="D840" t="s">
        <v>13</v>
      </c>
      <c r="E840">
        <v>213000</v>
      </c>
      <c r="F840" t="s">
        <v>14</v>
      </c>
      <c r="G840" t="s">
        <v>15</v>
      </c>
      <c r="H840" t="s">
        <v>16</v>
      </c>
      <c r="I840">
        <v>3940.5</v>
      </c>
      <c r="J840">
        <v>1576.2</v>
      </c>
      <c r="K840">
        <v>2364.3000000000002</v>
      </c>
    </row>
    <row r="841" spans="1:11" x14ac:dyDescent="0.25">
      <c r="A841" t="s">
        <v>881</v>
      </c>
      <c r="B841" s="1">
        <v>46108.54954861111</v>
      </c>
      <c r="C841" s="2" t="s">
        <v>12</v>
      </c>
      <c r="D841" t="s">
        <v>33</v>
      </c>
      <c r="E841">
        <v>120818</v>
      </c>
      <c r="F841" t="s">
        <v>14</v>
      </c>
      <c r="G841" t="s">
        <v>58</v>
      </c>
      <c r="H841" t="s">
        <v>16</v>
      </c>
      <c r="I841">
        <v>0</v>
      </c>
      <c r="J841">
        <v>0</v>
      </c>
      <c r="K841">
        <v>0</v>
      </c>
    </row>
    <row r="842" spans="1:11" x14ac:dyDescent="0.25">
      <c r="A842" t="s">
        <v>882</v>
      </c>
      <c r="B842" s="1">
        <v>45960.716400462959</v>
      </c>
      <c r="C842" s="2" t="s">
        <v>22</v>
      </c>
      <c r="D842" t="s">
        <v>45</v>
      </c>
      <c r="E842">
        <v>87115</v>
      </c>
      <c r="F842" t="s">
        <v>14</v>
      </c>
      <c r="G842" t="s">
        <v>84</v>
      </c>
      <c r="H842" t="s">
        <v>71</v>
      </c>
      <c r="I842">
        <v>871.15</v>
      </c>
      <c r="J842">
        <v>0</v>
      </c>
      <c r="K842">
        <v>871.15</v>
      </c>
    </row>
    <row r="843" spans="1:11" x14ac:dyDescent="0.25">
      <c r="A843" t="s">
        <v>883</v>
      </c>
      <c r="B843" s="1">
        <v>46084.404247685183</v>
      </c>
      <c r="C843" s="2" t="s">
        <v>26</v>
      </c>
      <c r="D843" t="s">
        <v>13</v>
      </c>
      <c r="E843">
        <v>215000</v>
      </c>
      <c r="F843" t="s">
        <v>14</v>
      </c>
      <c r="G843" t="s">
        <v>34</v>
      </c>
      <c r="H843" t="s">
        <v>16</v>
      </c>
      <c r="I843">
        <v>3977.5</v>
      </c>
      <c r="J843">
        <v>1591</v>
      </c>
      <c r="K843">
        <v>2386.5</v>
      </c>
    </row>
    <row r="844" spans="1:11" x14ac:dyDescent="0.25">
      <c r="A844" t="s">
        <v>884</v>
      </c>
      <c r="B844" s="1">
        <v>46066.483564814815</v>
      </c>
      <c r="C844" s="2" t="s">
        <v>32</v>
      </c>
      <c r="D844" t="s">
        <v>33</v>
      </c>
      <c r="E844">
        <v>108141</v>
      </c>
      <c r="F844" t="s">
        <v>14</v>
      </c>
      <c r="G844" t="s">
        <v>51</v>
      </c>
      <c r="H844" t="s">
        <v>16</v>
      </c>
      <c r="I844">
        <v>0</v>
      </c>
      <c r="J844">
        <v>0</v>
      </c>
      <c r="K844">
        <v>0</v>
      </c>
    </row>
    <row r="845" spans="1:11" x14ac:dyDescent="0.25">
      <c r="A845" t="s">
        <v>885</v>
      </c>
      <c r="B845" s="1">
        <v>45859.349780092591</v>
      </c>
      <c r="C845" s="2" t="s">
        <v>22</v>
      </c>
      <c r="D845" t="s">
        <v>19</v>
      </c>
      <c r="E845">
        <v>96887</v>
      </c>
      <c r="F845" t="s">
        <v>14</v>
      </c>
      <c r="G845" t="s">
        <v>34</v>
      </c>
      <c r="H845" t="s">
        <v>16</v>
      </c>
      <c r="I845">
        <v>5</v>
      </c>
      <c r="J845">
        <v>0</v>
      </c>
      <c r="K845">
        <v>5</v>
      </c>
    </row>
    <row r="846" spans="1:11" x14ac:dyDescent="0.25">
      <c r="A846" t="s">
        <v>886</v>
      </c>
      <c r="B846" s="1">
        <v>45940.519490740742</v>
      </c>
      <c r="C846" s="2" t="s">
        <v>32</v>
      </c>
      <c r="D846" t="s">
        <v>23</v>
      </c>
      <c r="E846">
        <v>2290</v>
      </c>
      <c r="F846" t="s">
        <v>50</v>
      </c>
      <c r="G846" t="s">
        <v>15</v>
      </c>
      <c r="H846" t="s">
        <v>16</v>
      </c>
      <c r="I846">
        <v>0</v>
      </c>
      <c r="J846">
        <v>0</v>
      </c>
      <c r="K846">
        <v>0</v>
      </c>
    </row>
    <row r="847" spans="1:11" x14ac:dyDescent="0.25">
      <c r="A847" t="s">
        <v>887</v>
      </c>
      <c r="B847" s="1">
        <v>46102.319467592592</v>
      </c>
      <c r="C847" s="2" t="s">
        <v>12</v>
      </c>
      <c r="D847" t="s">
        <v>23</v>
      </c>
      <c r="E847">
        <v>317</v>
      </c>
      <c r="F847" t="s">
        <v>14</v>
      </c>
      <c r="G847" t="s">
        <v>20</v>
      </c>
      <c r="H847" t="s">
        <v>16</v>
      </c>
      <c r="I847">
        <v>0</v>
      </c>
      <c r="J847">
        <v>0</v>
      </c>
      <c r="K847">
        <v>0</v>
      </c>
    </row>
    <row r="848" spans="1:11" x14ac:dyDescent="0.25">
      <c r="A848" t="s">
        <v>888</v>
      </c>
      <c r="B848" s="1">
        <v>45907.211134259262</v>
      </c>
      <c r="C848" s="2" t="s">
        <v>22</v>
      </c>
      <c r="D848" t="s">
        <v>13</v>
      </c>
      <c r="E848">
        <v>48000</v>
      </c>
      <c r="F848" t="s">
        <v>14</v>
      </c>
      <c r="G848" t="s">
        <v>34</v>
      </c>
      <c r="H848" t="s">
        <v>16</v>
      </c>
      <c r="I848">
        <v>888</v>
      </c>
      <c r="J848">
        <v>355.2</v>
      </c>
      <c r="K848">
        <v>532.79999999999995</v>
      </c>
    </row>
    <row r="849" spans="1:11" x14ac:dyDescent="0.25">
      <c r="A849" t="s">
        <v>889</v>
      </c>
      <c r="B849" s="1">
        <v>45869.996631944443</v>
      </c>
      <c r="C849" s="2" t="s">
        <v>39</v>
      </c>
      <c r="D849" t="s">
        <v>33</v>
      </c>
      <c r="E849">
        <v>42746</v>
      </c>
      <c r="F849" t="s">
        <v>14</v>
      </c>
      <c r="G849" t="s">
        <v>20</v>
      </c>
      <c r="H849" t="s">
        <v>16</v>
      </c>
      <c r="I849">
        <v>0</v>
      </c>
      <c r="J849">
        <v>0</v>
      </c>
      <c r="K849">
        <v>0</v>
      </c>
    </row>
    <row r="850" spans="1:11" x14ac:dyDescent="0.25">
      <c r="A850" t="s">
        <v>890</v>
      </c>
      <c r="B850" s="1">
        <v>45870.145833333336</v>
      </c>
      <c r="C850" s="2" t="s">
        <v>18</v>
      </c>
      <c r="D850" t="s">
        <v>45</v>
      </c>
      <c r="E850">
        <v>33544</v>
      </c>
      <c r="F850" t="s">
        <v>99</v>
      </c>
      <c r="G850" t="s">
        <v>84</v>
      </c>
      <c r="H850" t="s">
        <v>178</v>
      </c>
      <c r="I850">
        <v>335.44</v>
      </c>
      <c r="J850">
        <v>0</v>
      </c>
      <c r="K850">
        <v>335.44</v>
      </c>
    </row>
    <row r="851" spans="1:11" x14ac:dyDescent="0.25">
      <c r="A851" t="s">
        <v>891</v>
      </c>
      <c r="B851" s="1">
        <v>45850.179814814815</v>
      </c>
      <c r="C851" s="2" t="s">
        <v>12</v>
      </c>
      <c r="D851" t="s">
        <v>19</v>
      </c>
      <c r="E851">
        <v>104977</v>
      </c>
      <c r="F851" t="s">
        <v>14</v>
      </c>
      <c r="G851" t="s">
        <v>34</v>
      </c>
      <c r="H851" t="s">
        <v>16</v>
      </c>
      <c r="I851">
        <v>5</v>
      </c>
      <c r="J851">
        <v>0</v>
      </c>
      <c r="K851">
        <v>5</v>
      </c>
    </row>
    <row r="852" spans="1:11" x14ac:dyDescent="0.25">
      <c r="A852" t="s">
        <v>892</v>
      </c>
      <c r="B852" s="1">
        <v>45942.037592592591</v>
      </c>
      <c r="C852" s="2" t="s">
        <v>32</v>
      </c>
      <c r="D852" t="s">
        <v>13</v>
      </c>
      <c r="E852">
        <v>123000</v>
      </c>
      <c r="F852" t="s">
        <v>14</v>
      </c>
      <c r="G852" t="s">
        <v>24</v>
      </c>
      <c r="H852" t="s">
        <v>16</v>
      </c>
      <c r="I852">
        <v>2275.5</v>
      </c>
      <c r="J852">
        <v>910.2</v>
      </c>
      <c r="K852">
        <v>1365.3</v>
      </c>
    </row>
    <row r="853" spans="1:11" x14ac:dyDescent="0.25">
      <c r="A853" t="s">
        <v>893</v>
      </c>
      <c r="B853" s="1">
        <v>45958.934791666667</v>
      </c>
      <c r="C853" s="2" t="s">
        <v>12</v>
      </c>
      <c r="D853" t="s">
        <v>33</v>
      </c>
      <c r="E853">
        <v>123875</v>
      </c>
      <c r="F853" t="s">
        <v>14</v>
      </c>
      <c r="G853" t="s">
        <v>27</v>
      </c>
      <c r="H853" t="s">
        <v>16</v>
      </c>
      <c r="I853">
        <v>0</v>
      </c>
      <c r="J853">
        <v>0</v>
      </c>
      <c r="K853">
        <v>0</v>
      </c>
    </row>
    <row r="854" spans="1:11" x14ac:dyDescent="0.25">
      <c r="A854" t="s">
        <v>894</v>
      </c>
      <c r="B854" s="1">
        <v>46112.071817129632</v>
      </c>
      <c r="C854" s="2" t="s">
        <v>22</v>
      </c>
      <c r="D854" t="s">
        <v>13</v>
      </c>
      <c r="E854">
        <v>232500</v>
      </c>
      <c r="F854" t="s">
        <v>14</v>
      </c>
      <c r="G854" t="s">
        <v>24</v>
      </c>
      <c r="H854" t="s">
        <v>16</v>
      </c>
      <c r="I854">
        <v>4301.25</v>
      </c>
      <c r="J854">
        <v>1720.5</v>
      </c>
      <c r="K854">
        <v>2580.75</v>
      </c>
    </row>
    <row r="855" spans="1:11" x14ac:dyDescent="0.25">
      <c r="A855" t="s">
        <v>895</v>
      </c>
      <c r="B855" s="1">
        <v>46057.920740740738</v>
      </c>
      <c r="C855" s="2" t="s">
        <v>39</v>
      </c>
      <c r="D855" t="s">
        <v>45</v>
      </c>
      <c r="E855">
        <v>24201</v>
      </c>
      <c r="F855" t="s">
        <v>14</v>
      </c>
      <c r="G855" t="s">
        <v>30</v>
      </c>
      <c r="H855" t="s">
        <v>71</v>
      </c>
      <c r="I855">
        <v>242.01</v>
      </c>
      <c r="J855">
        <v>0</v>
      </c>
      <c r="K855">
        <v>242.01</v>
      </c>
    </row>
    <row r="856" spans="1:11" x14ac:dyDescent="0.25">
      <c r="A856" t="s">
        <v>896</v>
      </c>
      <c r="B856" s="1">
        <v>45900.97861111111</v>
      </c>
      <c r="C856" s="2" t="s">
        <v>18</v>
      </c>
      <c r="D856" t="s">
        <v>23</v>
      </c>
      <c r="E856">
        <v>4504</v>
      </c>
      <c r="F856" t="s">
        <v>14</v>
      </c>
      <c r="G856" t="s">
        <v>30</v>
      </c>
      <c r="H856" t="s">
        <v>16</v>
      </c>
      <c r="I856">
        <v>0</v>
      </c>
      <c r="J856">
        <v>0</v>
      </c>
      <c r="K856">
        <v>0</v>
      </c>
    </row>
    <row r="857" spans="1:11" x14ac:dyDescent="0.25">
      <c r="A857" t="s">
        <v>897</v>
      </c>
      <c r="B857" s="1">
        <v>45974.221064814818</v>
      </c>
      <c r="C857" s="2" t="s">
        <v>22</v>
      </c>
      <c r="D857" t="s">
        <v>45</v>
      </c>
      <c r="E857">
        <v>111681</v>
      </c>
      <c r="F857" t="s">
        <v>14</v>
      </c>
      <c r="G857" t="s">
        <v>34</v>
      </c>
      <c r="H857" t="s">
        <v>178</v>
      </c>
      <c r="I857">
        <v>1116.81</v>
      </c>
      <c r="J857">
        <v>0</v>
      </c>
      <c r="K857">
        <v>1116.81</v>
      </c>
    </row>
    <row r="858" spans="1:11" x14ac:dyDescent="0.25">
      <c r="A858" t="s">
        <v>898</v>
      </c>
      <c r="B858" s="1">
        <v>46005.914953703701</v>
      </c>
      <c r="C858" s="2" t="s">
        <v>41</v>
      </c>
      <c r="D858" t="s">
        <v>23</v>
      </c>
      <c r="E858">
        <v>1748</v>
      </c>
      <c r="F858" t="s">
        <v>50</v>
      </c>
      <c r="G858" t="s">
        <v>58</v>
      </c>
      <c r="H858" t="s">
        <v>16</v>
      </c>
      <c r="I858">
        <v>0</v>
      </c>
      <c r="J858">
        <v>0</v>
      </c>
      <c r="K858">
        <v>0</v>
      </c>
    </row>
    <row r="859" spans="1:11" x14ac:dyDescent="0.25">
      <c r="A859" t="s">
        <v>899</v>
      </c>
      <c r="B859" s="1">
        <v>45883.978784722225</v>
      </c>
      <c r="C859" s="2" t="s">
        <v>29</v>
      </c>
      <c r="D859" t="s">
        <v>33</v>
      </c>
      <c r="E859">
        <v>50427</v>
      </c>
      <c r="F859" t="s">
        <v>14</v>
      </c>
      <c r="G859" t="s">
        <v>27</v>
      </c>
      <c r="H859" t="s">
        <v>16</v>
      </c>
      <c r="I859">
        <v>0</v>
      </c>
      <c r="J859">
        <v>0</v>
      </c>
      <c r="K859">
        <v>0</v>
      </c>
    </row>
    <row r="860" spans="1:11" x14ac:dyDescent="0.25">
      <c r="A860" t="s">
        <v>900</v>
      </c>
      <c r="B860" s="1">
        <v>45885.392048611109</v>
      </c>
      <c r="C860" s="2" t="s">
        <v>26</v>
      </c>
      <c r="D860" t="s">
        <v>33</v>
      </c>
      <c r="E860">
        <v>21126</v>
      </c>
      <c r="F860" t="s">
        <v>14</v>
      </c>
      <c r="G860" t="s">
        <v>84</v>
      </c>
      <c r="H860" t="s">
        <v>16</v>
      </c>
      <c r="I860">
        <v>0</v>
      </c>
      <c r="J860">
        <v>0</v>
      </c>
      <c r="K860">
        <v>0</v>
      </c>
    </row>
    <row r="861" spans="1:11" x14ac:dyDescent="0.25">
      <c r="A861" t="s">
        <v>901</v>
      </c>
      <c r="B861" s="1">
        <v>46087.086365740739</v>
      </c>
      <c r="C861" s="2" t="s">
        <v>39</v>
      </c>
      <c r="D861" t="s">
        <v>23</v>
      </c>
      <c r="E861">
        <v>3316</v>
      </c>
      <c r="F861" t="s">
        <v>14</v>
      </c>
      <c r="G861" t="s">
        <v>58</v>
      </c>
      <c r="H861" t="s">
        <v>16</v>
      </c>
      <c r="I861">
        <v>0</v>
      </c>
      <c r="J861">
        <v>0</v>
      </c>
      <c r="K861">
        <v>0</v>
      </c>
    </row>
    <row r="862" spans="1:11" x14ac:dyDescent="0.25">
      <c r="A862" t="s">
        <v>902</v>
      </c>
      <c r="B862" s="1">
        <v>45901.328287037039</v>
      </c>
      <c r="C862" s="2" t="s">
        <v>32</v>
      </c>
      <c r="D862" t="s">
        <v>23</v>
      </c>
      <c r="E862">
        <v>1462</v>
      </c>
      <c r="F862" t="s">
        <v>99</v>
      </c>
      <c r="G862" t="s">
        <v>20</v>
      </c>
      <c r="H862" t="s">
        <v>16</v>
      </c>
      <c r="I862">
        <v>0</v>
      </c>
      <c r="J862">
        <v>0</v>
      </c>
      <c r="K862">
        <v>0</v>
      </c>
    </row>
    <row r="863" spans="1:11" x14ac:dyDescent="0.25">
      <c r="A863" t="s">
        <v>903</v>
      </c>
      <c r="B863" s="1">
        <v>45991.862199074072</v>
      </c>
      <c r="C863" s="2" t="s">
        <v>41</v>
      </c>
      <c r="D863" t="s">
        <v>13</v>
      </c>
      <c r="E863">
        <v>231500</v>
      </c>
      <c r="F863" t="s">
        <v>50</v>
      </c>
      <c r="G863" t="s">
        <v>27</v>
      </c>
      <c r="H863" t="s">
        <v>16</v>
      </c>
      <c r="I863">
        <v>4282.75</v>
      </c>
      <c r="J863">
        <v>1713.1</v>
      </c>
      <c r="K863">
        <v>2569.65</v>
      </c>
    </row>
    <row r="864" spans="1:11" x14ac:dyDescent="0.25">
      <c r="A864" t="s">
        <v>904</v>
      </c>
      <c r="B864" s="1">
        <v>46067.646817129629</v>
      </c>
      <c r="C864" s="2" t="s">
        <v>32</v>
      </c>
      <c r="D864" t="s">
        <v>45</v>
      </c>
      <c r="E864">
        <v>127284</v>
      </c>
      <c r="F864" t="s">
        <v>14</v>
      </c>
      <c r="G864" t="s">
        <v>84</v>
      </c>
      <c r="H864" t="s">
        <v>71</v>
      </c>
      <c r="I864">
        <v>1272.8399999999999</v>
      </c>
      <c r="J864">
        <v>0</v>
      </c>
      <c r="K864">
        <v>1272.8399999999999</v>
      </c>
    </row>
    <row r="865" spans="1:11" x14ac:dyDescent="0.25">
      <c r="A865" t="s">
        <v>905</v>
      </c>
      <c r="B865" s="1">
        <v>45900.767546296294</v>
      </c>
      <c r="C865" s="2" t="s">
        <v>22</v>
      </c>
      <c r="D865" t="s">
        <v>33</v>
      </c>
      <c r="E865">
        <v>140263</v>
      </c>
      <c r="F865" t="s">
        <v>99</v>
      </c>
      <c r="G865" t="s">
        <v>84</v>
      </c>
      <c r="H865" t="s">
        <v>16</v>
      </c>
      <c r="I865">
        <v>0</v>
      </c>
      <c r="J865">
        <v>0</v>
      </c>
      <c r="K865">
        <v>0</v>
      </c>
    </row>
    <row r="866" spans="1:11" x14ac:dyDescent="0.25">
      <c r="A866" t="s">
        <v>906</v>
      </c>
      <c r="B866" s="1">
        <v>45875.151689814818</v>
      </c>
      <c r="C866" s="2" t="s">
        <v>39</v>
      </c>
      <c r="D866" t="s">
        <v>33</v>
      </c>
      <c r="E866">
        <v>83363</v>
      </c>
      <c r="F866" t="s">
        <v>14</v>
      </c>
      <c r="G866" t="s">
        <v>27</v>
      </c>
      <c r="H866" t="s">
        <v>16</v>
      </c>
      <c r="I866">
        <v>0</v>
      </c>
      <c r="J866">
        <v>0</v>
      </c>
      <c r="K866">
        <v>0</v>
      </c>
    </row>
    <row r="867" spans="1:11" x14ac:dyDescent="0.25">
      <c r="A867" t="s">
        <v>907</v>
      </c>
      <c r="B867" s="1">
        <v>45902.630648148152</v>
      </c>
      <c r="C867" s="2" t="s">
        <v>12</v>
      </c>
      <c r="D867" t="s">
        <v>13</v>
      </c>
      <c r="E867">
        <v>63500</v>
      </c>
      <c r="F867" t="s">
        <v>14</v>
      </c>
      <c r="G867" t="s">
        <v>20</v>
      </c>
      <c r="H867" t="s">
        <v>16</v>
      </c>
      <c r="I867">
        <v>1174.75</v>
      </c>
      <c r="J867">
        <v>469.9</v>
      </c>
      <c r="K867">
        <v>704.85</v>
      </c>
    </row>
    <row r="868" spans="1:11" x14ac:dyDescent="0.25">
      <c r="A868" t="s">
        <v>908</v>
      </c>
      <c r="B868" s="1">
        <v>46123.834421296298</v>
      </c>
      <c r="C868" s="2" t="s">
        <v>39</v>
      </c>
      <c r="D868" t="s">
        <v>45</v>
      </c>
      <c r="E868">
        <v>44481</v>
      </c>
      <c r="F868" t="s">
        <v>14</v>
      </c>
      <c r="G868" t="s">
        <v>20</v>
      </c>
      <c r="H868" t="s">
        <v>178</v>
      </c>
      <c r="I868">
        <v>444.81</v>
      </c>
      <c r="J868">
        <v>0</v>
      </c>
      <c r="K868">
        <v>444.81</v>
      </c>
    </row>
    <row r="869" spans="1:11" x14ac:dyDescent="0.25">
      <c r="A869" t="s">
        <v>909</v>
      </c>
      <c r="B869" s="1">
        <v>45810.442569444444</v>
      </c>
      <c r="C869" s="2" t="s">
        <v>12</v>
      </c>
      <c r="D869" t="s">
        <v>19</v>
      </c>
      <c r="E869">
        <v>70743</v>
      </c>
      <c r="F869" t="s">
        <v>14</v>
      </c>
      <c r="G869" t="s">
        <v>27</v>
      </c>
      <c r="H869" t="s">
        <v>16</v>
      </c>
      <c r="I869">
        <v>5</v>
      </c>
      <c r="J869">
        <v>0</v>
      </c>
      <c r="K869">
        <v>5</v>
      </c>
    </row>
    <row r="870" spans="1:11" x14ac:dyDescent="0.25">
      <c r="A870" t="s">
        <v>910</v>
      </c>
      <c r="B870" s="1">
        <v>45859.979895833334</v>
      </c>
      <c r="C870" s="2" t="s">
        <v>41</v>
      </c>
      <c r="D870" t="s">
        <v>23</v>
      </c>
      <c r="E870">
        <v>249</v>
      </c>
      <c r="F870" t="s">
        <v>14</v>
      </c>
      <c r="G870" t="s">
        <v>84</v>
      </c>
      <c r="H870" t="s">
        <v>16</v>
      </c>
      <c r="I870">
        <v>0</v>
      </c>
      <c r="J870">
        <v>0</v>
      </c>
      <c r="K870">
        <v>0</v>
      </c>
    </row>
    <row r="871" spans="1:11" x14ac:dyDescent="0.25">
      <c r="A871" t="s">
        <v>911</v>
      </c>
      <c r="B871" s="1">
        <v>46014.229525462964</v>
      </c>
      <c r="C871" s="2" t="s">
        <v>22</v>
      </c>
      <c r="D871" t="s">
        <v>19</v>
      </c>
      <c r="E871">
        <v>40560</v>
      </c>
      <c r="F871" t="s">
        <v>14</v>
      </c>
      <c r="G871" t="s">
        <v>27</v>
      </c>
      <c r="H871" t="s">
        <v>16</v>
      </c>
      <c r="I871">
        <v>5</v>
      </c>
      <c r="J871">
        <v>0</v>
      </c>
      <c r="K871">
        <v>5</v>
      </c>
    </row>
    <row r="872" spans="1:11" x14ac:dyDescent="0.25">
      <c r="A872" t="s">
        <v>912</v>
      </c>
      <c r="B872" s="1">
        <v>46036.600682870368</v>
      </c>
      <c r="C872" s="2" t="s">
        <v>12</v>
      </c>
      <c r="D872" t="s">
        <v>45</v>
      </c>
      <c r="E872">
        <v>47775</v>
      </c>
      <c r="F872" t="s">
        <v>14</v>
      </c>
      <c r="G872" t="s">
        <v>34</v>
      </c>
      <c r="H872" t="s">
        <v>59</v>
      </c>
      <c r="I872">
        <v>477.75</v>
      </c>
      <c r="J872">
        <v>0</v>
      </c>
      <c r="K872">
        <v>477.75</v>
      </c>
    </row>
    <row r="873" spans="1:11" x14ac:dyDescent="0.25">
      <c r="A873" t="s">
        <v>913</v>
      </c>
      <c r="B873" s="1">
        <v>45782.11409722222</v>
      </c>
      <c r="C873" s="2" t="s">
        <v>29</v>
      </c>
      <c r="D873" t="s">
        <v>13</v>
      </c>
      <c r="E873">
        <v>35500</v>
      </c>
      <c r="F873" t="s">
        <v>14</v>
      </c>
      <c r="G873" t="s">
        <v>58</v>
      </c>
      <c r="H873" t="s">
        <v>16</v>
      </c>
      <c r="I873">
        <v>656.75</v>
      </c>
      <c r="J873">
        <v>262.7</v>
      </c>
      <c r="K873">
        <v>394.05</v>
      </c>
    </row>
    <row r="874" spans="1:11" x14ac:dyDescent="0.25">
      <c r="A874" t="s">
        <v>914</v>
      </c>
      <c r="B874" s="1">
        <v>45780.131608796299</v>
      </c>
      <c r="C874" s="2" t="s">
        <v>41</v>
      </c>
      <c r="D874" t="s">
        <v>33</v>
      </c>
      <c r="E874">
        <v>126171</v>
      </c>
      <c r="F874" t="s">
        <v>50</v>
      </c>
      <c r="G874" t="s">
        <v>34</v>
      </c>
      <c r="H874" t="s">
        <v>16</v>
      </c>
      <c r="I874">
        <v>0</v>
      </c>
      <c r="J874">
        <v>0</v>
      </c>
      <c r="K874">
        <v>0</v>
      </c>
    </row>
    <row r="875" spans="1:11" x14ac:dyDescent="0.25">
      <c r="A875" t="s">
        <v>915</v>
      </c>
      <c r="B875" s="1">
        <v>45985.228171296294</v>
      </c>
      <c r="C875" s="2" t="s">
        <v>26</v>
      </c>
      <c r="D875" t="s">
        <v>23</v>
      </c>
      <c r="E875">
        <v>159</v>
      </c>
      <c r="F875" t="s">
        <v>14</v>
      </c>
      <c r="G875" t="s">
        <v>34</v>
      </c>
      <c r="H875" t="s">
        <v>16</v>
      </c>
      <c r="I875">
        <v>0</v>
      </c>
      <c r="J875">
        <v>0</v>
      </c>
      <c r="K875">
        <v>0</v>
      </c>
    </row>
    <row r="876" spans="1:11" x14ac:dyDescent="0.25">
      <c r="A876" t="s">
        <v>916</v>
      </c>
      <c r="B876" s="1">
        <v>45861.680821759262</v>
      </c>
      <c r="C876" s="2" t="s">
        <v>39</v>
      </c>
      <c r="D876" t="s">
        <v>33</v>
      </c>
      <c r="E876">
        <v>79855</v>
      </c>
      <c r="F876" t="s">
        <v>50</v>
      </c>
      <c r="G876" t="s">
        <v>84</v>
      </c>
      <c r="H876" t="s">
        <v>16</v>
      </c>
      <c r="I876">
        <v>0</v>
      </c>
      <c r="J876">
        <v>0</v>
      </c>
      <c r="K876">
        <v>0</v>
      </c>
    </row>
    <row r="877" spans="1:11" x14ac:dyDescent="0.25">
      <c r="A877" t="s">
        <v>917</v>
      </c>
      <c r="B877" s="1">
        <v>45818.311944444446</v>
      </c>
      <c r="C877" s="2" t="s">
        <v>29</v>
      </c>
      <c r="D877" t="s">
        <v>19</v>
      </c>
      <c r="E877">
        <v>100003</v>
      </c>
      <c r="F877" t="s">
        <v>14</v>
      </c>
      <c r="G877" t="s">
        <v>58</v>
      </c>
      <c r="H877" t="s">
        <v>16</v>
      </c>
      <c r="I877">
        <v>5</v>
      </c>
      <c r="J877">
        <v>0</v>
      </c>
      <c r="K877">
        <v>5</v>
      </c>
    </row>
    <row r="878" spans="1:11" x14ac:dyDescent="0.25">
      <c r="A878" t="s">
        <v>918</v>
      </c>
      <c r="B878" s="1">
        <v>45802.748136574075</v>
      </c>
      <c r="C878" s="2" t="s">
        <v>39</v>
      </c>
      <c r="D878" t="s">
        <v>19</v>
      </c>
      <c r="E878">
        <v>28026</v>
      </c>
      <c r="F878" t="s">
        <v>14</v>
      </c>
      <c r="G878" t="s">
        <v>58</v>
      </c>
      <c r="H878" t="s">
        <v>16</v>
      </c>
      <c r="I878">
        <v>5</v>
      </c>
      <c r="J878">
        <v>0</v>
      </c>
      <c r="K878">
        <v>5</v>
      </c>
    </row>
    <row r="879" spans="1:11" x14ac:dyDescent="0.25">
      <c r="A879" t="s">
        <v>919</v>
      </c>
      <c r="B879" s="1">
        <v>45921.161446759259</v>
      </c>
      <c r="C879" s="2" t="s">
        <v>32</v>
      </c>
      <c r="D879" t="s">
        <v>13</v>
      </c>
      <c r="E879">
        <v>129500</v>
      </c>
      <c r="F879" t="s">
        <v>14</v>
      </c>
      <c r="G879" t="s">
        <v>15</v>
      </c>
      <c r="H879" t="s">
        <v>16</v>
      </c>
      <c r="I879">
        <v>2395.75</v>
      </c>
      <c r="J879">
        <v>958.3</v>
      </c>
      <c r="K879">
        <v>1437.45</v>
      </c>
    </row>
    <row r="880" spans="1:11" x14ac:dyDescent="0.25">
      <c r="A880" t="s">
        <v>920</v>
      </c>
      <c r="B880" s="1">
        <v>46034.359178240738</v>
      </c>
      <c r="C880" s="2" t="s">
        <v>22</v>
      </c>
      <c r="D880" t="s">
        <v>23</v>
      </c>
      <c r="E880">
        <v>2103</v>
      </c>
      <c r="F880" t="s">
        <v>14</v>
      </c>
      <c r="G880" t="s">
        <v>30</v>
      </c>
      <c r="H880" t="s">
        <v>16</v>
      </c>
      <c r="I880">
        <v>0</v>
      </c>
      <c r="J880">
        <v>0</v>
      </c>
      <c r="K880">
        <v>0</v>
      </c>
    </row>
    <row r="881" spans="1:11" x14ac:dyDescent="0.25">
      <c r="A881" t="s">
        <v>921</v>
      </c>
      <c r="B881" s="1">
        <v>46109.348900462966</v>
      </c>
      <c r="C881" s="2" t="s">
        <v>41</v>
      </c>
      <c r="D881" t="s">
        <v>33</v>
      </c>
      <c r="E881">
        <v>67886</v>
      </c>
      <c r="F881" t="s">
        <v>14</v>
      </c>
      <c r="G881" t="s">
        <v>27</v>
      </c>
      <c r="H881" t="s">
        <v>16</v>
      </c>
      <c r="I881">
        <v>0</v>
      </c>
      <c r="J881">
        <v>0</v>
      </c>
      <c r="K881">
        <v>0</v>
      </c>
    </row>
    <row r="882" spans="1:11" x14ac:dyDescent="0.25">
      <c r="A882" t="s">
        <v>922</v>
      </c>
      <c r="B882" s="1">
        <v>45971.669212962966</v>
      </c>
      <c r="C882" s="2" t="s">
        <v>41</v>
      </c>
      <c r="D882" t="s">
        <v>19</v>
      </c>
      <c r="E882">
        <v>145264</v>
      </c>
      <c r="F882" t="s">
        <v>14</v>
      </c>
      <c r="G882" t="s">
        <v>20</v>
      </c>
      <c r="H882" t="s">
        <v>16</v>
      </c>
      <c r="I882">
        <v>5</v>
      </c>
      <c r="J882">
        <v>0</v>
      </c>
      <c r="K882">
        <v>5</v>
      </c>
    </row>
    <row r="883" spans="1:11" x14ac:dyDescent="0.25">
      <c r="A883" t="s">
        <v>923</v>
      </c>
      <c r="B883" s="1">
        <v>46111.57980324074</v>
      </c>
      <c r="C883" s="2" t="s">
        <v>41</v>
      </c>
      <c r="D883" t="s">
        <v>45</v>
      </c>
      <c r="E883">
        <v>86170</v>
      </c>
      <c r="F883" t="s">
        <v>14</v>
      </c>
      <c r="G883" t="s">
        <v>27</v>
      </c>
      <c r="H883" t="s">
        <v>71</v>
      </c>
      <c r="I883">
        <v>861.7</v>
      </c>
      <c r="J883">
        <v>0</v>
      </c>
      <c r="K883">
        <v>861.7</v>
      </c>
    </row>
    <row r="884" spans="1:11" x14ac:dyDescent="0.25">
      <c r="A884" t="s">
        <v>924</v>
      </c>
      <c r="B884" s="1">
        <v>45790.975590277776</v>
      </c>
      <c r="C884" s="2" t="s">
        <v>39</v>
      </c>
      <c r="D884" t="s">
        <v>45</v>
      </c>
      <c r="E884">
        <v>122298</v>
      </c>
      <c r="F884" t="s">
        <v>50</v>
      </c>
      <c r="G884" t="s">
        <v>27</v>
      </c>
      <c r="H884" t="s">
        <v>71</v>
      </c>
      <c r="I884">
        <v>1222.98</v>
      </c>
      <c r="J884">
        <v>0</v>
      </c>
      <c r="K884">
        <v>1222.98</v>
      </c>
    </row>
    <row r="885" spans="1:11" x14ac:dyDescent="0.25">
      <c r="A885" t="s">
        <v>925</v>
      </c>
      <c r="B885" s="1">
        <v>46083.572604166664</v>
      </c>
      <c r="C885" s="2" t="s">
        <v>32</v>
      </c>
      <c r="D885" t="s">
        <v>45</v>
      </c>
      <c r="E885">
        <v>109016</v>
      </c>
      <c r="F885" t="s">
        <v>14</v>
      </c>
      <c r="G885" t="s">
        <v>58</v>
      </c>
      <c r="H885" t="s">
        <v>178</v>
      </c>
      <c r="I885">
        <v>1090.1600000000001</v>
      </c>
      <c r="J885">
        <v>0</v>
      </c>
      <c r="K885">
        <v>1090.1600000000001</v>
      </c>
    </row>
    <row r="886" spans="1:11" x14ac:dyDescent="0.25">
      <c r="A886" t="s">
        <v>926</v>
      </c>
      <c r="B886" s="1">
        <v>45991.138124999998</v>
      </c>
      <c r="C886" s="2" t="s">
        <v>29</v>
      </c>
      <c r="D886" t="s">
        <v>45</v>
      </c>
      <c r="E886">
        <v>24853</v>
      </c>
      <c r="F886" t="s">
        <v>14</v>
      </c>
      <c r="G886" t="s">
        <v>27</v>
      </c>
      <c r="H886" t="s">
        <v>178</v>
      </c>
      <c r="I886">
        <v>248.53</v>
      </c>
      <c r="J886">
        <v>0</v>
      </c>
      <c r="K886">
        <v>248.53</v>
      </c>
    </row>
    <row r="887" spans="1:11" x14ac:dyDescent="0.25">
      <c r="A887" t="s">
        <v>927</v>
      </c>
      <c r="B887" s="1">
        <v>46019.332858796297</v>
      </c>
      <c r="C887" s="2" t="s">
        <v>29</v>
      </c>
      <c r="D887" t="s">
        <v>23</v>
      </c>
      <c r="E887">
        <v>3380</v>
      </c>
      <c r="F887" t="s">
        <v>14</v>
      </c>
      <c r="G887" t="s">
        <v>15</v>
      </c>
      <c r="H887" t="s">
        <v>16</v>
      </c>
      <c r="I887">
        <v>0</v>
      </c>
      <c r="J887">
        <v>0</v>
      </c>
      <c r="K887">
        <v>0</v>
      </c>
    </row>
    <row r="888" spans="1:11" x14ac:dyDescent="0.25">
      <c r="A888" t="s">
        <v>928</v>
      </c>
      <c r="B888" s="1">
        <v>46055.617326388892</v>
      </c>
      <c r="C888" s="2" t="s">
        <v>26</v>
      </c>
      <c r="D888" t="s">
        <v>19</v>
      </c>
      <c r="E888">
        <v>52466</v>
      </c>
      <c r="F888" t="s">
        <v>50</v>
      </c>
      <c r="G888" t="s">
        <v>20</v>
      </c>
      <c r="H888" t="s">
        <v>16</v>
      </c>
      <c r="I888">
        <v>5</v>
      </c>
      <c r="J888">
        <v>0</v>
      </c>
      <c r="K888">
        <v>5</v>
      </c>
    </row>
    <row r="889" spans="1:11" x14ac:dyDescent="0.25">
      <c r="A889" t="s">
        <v>929</v>
      </c>
      <c r="B889" s="1">
        <v>45984.372696759259</v>
      </c>
      <c r="C889" s="2" t="s">
        <v>29</v>
      </c>
      <c r="D889" t="s">
        <v>33</v>
      </c>
      <c r="E889">
        <v>15395</v>
      </c>
      <c r="F889" t="s">
        <v>14</v>
      </c>
      <c r="G889" t="s">
        <v>20</v>
      </c>
      <c r="H889" t="s">
        <v>16</v>
      </c>
      <c r="I889">
        <v>0</v>
      </c>
      <c r="J889">
        <v>0</v>
      </c>
      <c r="K889">
        <v>0</v>
      </c>
    </row>
    <row r="890" spans="1:11" x14ac:dyDescent="0.25">
      <c r="A890" t="s">
        <v>930</v>
      </c>
      <c r="B890" s="1">
        <v>46069.759988425925</v>
      </c>
      <c r="C890" s="2" t="s">
        <v>32</v>
      </c>
      <c r="D890" t="s">
        <v>19</v>
      </c>
      <c r="E890">
        <v>20013</v>
      </c>
      <c r="F890" t="s">
        <v>14</v>
      </c>
      <c r="G890" t="s">
        <v>24</v>
      </c>
      <c r="H890" t="s">
        <v>16</v>
      </c>
      <c r="I890">
        <v>5</v>
      </c>
      <c r="J890">
        <v>0</v>
      </c>
      <c r="K890">
        <v>5</v>
      </c>
    </row>
    <row r="891" spans="1:11" x14ac:dyDescent="0.25">
      <c r="A891" t="s">
        <v>931</v>
      </c>
      <c r="B891" s="1">
        <v>46103.700567129628</v>
      </c>
      <c r="C891" s="2" t="s">
        <v>18</v>
      </c>
      <c r="D891" t="s">
        <v>13</v>
      </c>
      <c r="E891">
        <v>206000</v>
      </c>
      <c r="F891" t="s">
        <v>50</v>
      </c>
      <c r="G891" t="s">
        <v>34</v>
      </c>
      <c r="H891" t="s">
        <v>16</v>
      </c>
      <c r="I891">
        <v>3811</v>
      </c>
      <c r="J891">
        <v>1524.4</v>
      </c>
      <c r="K891">
        <v>2286.6</v>
      </c>
    </row>
    <row r="892" spans="1:11" x14ac:dyDescent="0.25">
      <c r="A892" t="s">
        <v>932</v>
      </c>
      <c r="B892" s="1">
        <v>45839.600925925923</v>
      </c>
      <c r="C892" s="2" t="s">
        <v>26</v>
      </c>
      <c r="D892" t="s">
        <v>23</v>
      </c>
      <c r="E892">
        <v>1301</v>
      </c>
      <c r="F892" t="s">
        <v>14</v>
      </c>
      <c r="G892" t="s">
        <v>30</v>
      </c>
      <c r="H892" t="s">
        <v>16</v>
      </c>
      <c r="I892">
        <v>0</v>
      </c>
      <c r="J892">
        <v>0</v>
      </c>
      <c r="K892">
        <v>0</v>
      </c>
    </row>
    <row r="893" spans="1:11" x14ac:dyDescent="0.25">
      <c r="A893" t="s">
        <v>933</v>
      </c>
      <c r="B893" s="1">
        <v>45895.992638888885</v>
      </c>
      <c r="C893" s="2" t="s">
        <v>22</v>
      </c>
      <c r="D893" t="s">
        <v>19</v>
      </c>
      <c r="E893">
        <v>43791</v>
      </c>
      <c r="F893" t="s">
        <v>14</v>
      </c>
      <c r="G893" t="s">
        <v>34</v>
      </c>
      <c r="H893" t="s">
        <v>16</v>
      </c>
      <c r="I893">
        <v>5</v>
      </c>
      <c r="J893">
        <v>0</v>
      </c>
      <c r="K893">
        <v>5</v>
      </c>
    </row>
    <row r="894" spans="1:11" x14ac:dyDescent="0.25">
      <c r="A894" t="s">
        <v>934</v>
      </c>
      <c r="B894" s="1">
        <v>45890.456493055557</v>
      </c>
      <c r="C894" s="2" t="s">
        <v>39</v>
      </c>
      <c r="D894" t="s">
        <v>13</v>
      </c>
      <c r="E894">
        <v>227500</v>
      </c>
      <c r="F894" t="s">
        <v>14</v>
      </c>
      <c r="G894" t="s">
        <v>51</v>
      </c>
      <c r="H894" t="s">
        <v>16</v>
      </c>
      <c r="I894">
        <v>4208.75</v>
      </c>
      <c r="J894">
        <v>1683.5</v>
      </c>
      <c r="K894">
        <v>2525.25</v>
      </c>
    </row>
    <row r="895" spans="1:11" x14ac:dyDescent="0.25">
      <c r="A895" t="s">
        <v>935</v>
      </c>
      <c r="B895" s="1">
        <v>46115.323136574072</v>
      </c>
      <c r="C895" s="2" t="s">
        <v>39</v>
      </c>
      <c r="D895" t="s">
        <v>19</v>
      </c>
      <c r="E895">
        <v>67089</v>
      </c>
      <c r="F895" t="s">
        <v>14</v>
      </c>
      <c r="G895" t="s">
        <v>58</v>
      </c>
      <c r="H895" t="s">
        <v>16</v>
      </c>
      <c r="I895">
        <v>5</v>
      </c>
      <c r="J895">
        <v>0</v>
      </c>
      <c r="K895">
        <v>5</v>
      </c>
    </row>
    <row r="896" spans="1:11" x14ac:dyDescent="0.25">
      <c r="A896" t="s">
        <v>936</v>
      </c>
      <c r="B896" s="1">
        <v>45962.179560185185</v>
      </c>
      <c r="C896" s="2" t="s">
        <v>18</v>
      </c>
      <c r="D896" t="s">
        <v>23</v>
      </c>
      <c r="E896">
        <v>1068</v>
      </c>
      <c r="F896" t="s">
        <v>99</v>
      </c>
      <c r="G896" t="s">
        <v>34</v>
      </c>
      <c r="H896" t="s">
        <v>16</v>
      </c>
      <c r="I896">
        <v>0</v>
      </c>
      <c r="J896">
        <v>0</v>
      </c>
      <c r="K896">
        <v>0</v>
      </c>
    </row>
    <row r="897" spans="1:11" x14ac:dyDescent="0.25">
      <c r="A897" t="s">
        <v>937</v>
      </c>
      <c r="B897" s="1">
        <v>45809.865358796298</v>
      </c>
      <c r="C897" s="2" t="s">
        <v>29</v>
      </c>
      <c r="D897" t="s">
        <v>13</v>
      </c>
      <c r="E897">
        <v>166500</v>
      </c>
      <c r="F897" t="s">
        <v>14</v>
      </c>
      <c r="G897" t="s">
        <v>58</v>
      </c>
      <c r="H897" t="s">
        <v>16</v>
      </c>
      <c r="I897">
        <v>3080.25</v>
      </c>
      <c r="J897">
        <v>1232.0999999999999</v>
      </c>
      <c r="K897">
        <v>1848.15</v>
      </c>
    </row>
    <row r="898" spans="1:11" x14ac:dyDescent="0.25">
      <c r="A898" t="s">
        <v>938</v>
      </c>
      <c r="B898" s="1">
        <v>46070.59878472222</v>
      </c>
      <c r="C898" s="2" t="s">
        <v>12</v>
      </c>
      <c r="D898" t="s">
        <v>23</v>
      </c>
      <c r="E898">
        <v>4567</v>
      </c>
      <c r="F898" t="s">
        <v>50</v>
      </c>
      <c r="G898" t="s">
        <v>20</v>
      </c>
      <c r="H898" t="s">
        <v>16</v>
      </c>
      <c r="I898">
        <v>0</v>
      </c>
      <c r="J898">
        <v>0</v>
      </c>
      <c r="K898">
        <v>0</v>
      </c>
    </row>
    <row r="899" spans="1:11" x14ac:dyDescent="0.25">
      <c r="A899" t="s">
        <v>939</v>
      </c>
      <c r="B899" s="1">
        <v>45940.405717592592</v>
      </c>
      <c r="C899" s="2" t="s">
        <v>41</v>
      </c>
      <c r="D899" t="s">
        <v>33</v>
      </c>
      <c r="E899">
        <v>71232</v>
      </c>
      <c r="F899" t="s">
        <v>50</v>
      </c>
      <c r="G899" t="s">
        <v>30</v>
      </c>
      <c r="H899" t="s">
        <v>16</v>
      </c>
      <c r="I899">
        <v>0</v>
      </c>
      <c r="J899">
        <v>0</v>
      </c>
      <c r="K899">
        <v>0</v>
      </c>
    </row>
    <row r="900" spans="1:11" x14ac:dyDescent="0.25">
      <c r="A900" t="s">
        <v>940</v>
      </c>
      <c r="B900" s="1">
        <v>46142.143784722219</v>
      </c>
      <c r="C900" s="2" t="s">
        <v>32</v>
      </c>
      <c r="D900" t="s">
        <v>13</v>
      </c>
      <c r="E900">
        <v>108000</v>
      </c>
      <c r="F900" t="s">
        <v>14</v>
      </c>
      <c r="G900" t="s">
        <v>27</v>
      </c>
      <c r="H900" t="s">
        <v>16</v>
      </c>
      <c r="I900">
        <v>1998</v>
      </c>
      <c r="J900">
        <v>799.2</v>
      </c>
      <c r="K900">
        <v>1198.8</v>
      </c>
    </row>
    <row r="901" spans="1:11" x14ac:dyDescent="0.25">
      <c r="A901" t="s">
        <v>941</v>
      </c>
      <c r="B901" s="1">
        <v>46061.133206018516</v>
      </c>
      <c r="C901" s="2" t="s">
        <v>22</v>
      </c>
      <c r="D901" t="s">
        <v>13</v>
      </c>
      <c r="E901">
        <v>20000</v>
      </c>
      <c r="F901" t="s">
        <v>14</v>
      </c>
      <c r="G901" t="s">
        <v>51</v>
      </c>
      <c r="H901" t="s">
        <v>16</v>
      </c>
      <c r="I901">
        <v>370</v>
      </c>
      <c r="J901">
        <v>148</v>
      </c>
      <c r="K901">
        <v>222</v>
      </c>
    </row>
    <row r="902" spans="1:11" x14ac:dyDescent="0.25">
      <c r="A902" t="s">
        <v>942</v>
      </c>
      <c r="B902" s="1">
        <v>46115.550474537034</v>
      </c>
      <c r="C902" s="2" t="s">
        <v>26</v>
      </c>
      <c r="D902" t="s">
        <v>13</v>
      </c>
      <c r="E902">
        <v>69500</v>
      </c>
      <c r="F902" t="s">
        <v>14</v>
      </c>
      <c r="G902" t="s">
        <v>58</v>
      </c>
      <c r="H902" t="s">
        <v>16</v>
      </c>
      <c r="I902">
        <v>1285.75</v>
      </c>
      <c r="J902">
        <v>514.29999999999995</v>
      </c>
      <c r="K902">
        <v>771.45</v>
      </c>
    </row>
    <row r="903" spans="1:11" x14ac:dyDescent="0.25">
      <c r="A903" t="s">
        <v>943</v>
      </c>
      <c r="B903" s="1">
        <v>46011.031608796293</v>
      </c>
      <c r="C903" s="2" t="s">
        <v>12</v>
      </c>
      <c r="D903" t="s">
        <v>33</v>
      </c>
      <c r="E903">
        <v>6697</v>
      </c>
      <c r="F903" t="s">
        <v>14</v>
      </c>
      <c r="G903" t="s">
        <v>20</v>
      </c>
      <c r="H903" t="s">
        <v>16</v>
      </c>
      <c r="I903">
        <v>0</v>
      </c>
      <c r="J903">
        <v>0</v>
      </c>
      <c r="K903">
        <v>0</v>
      </c>
    </row>
    <row r="904" spans="1:11" x14ac:dyDescent="0.25">
      <c r="A904" t="s">
        <v>944</v>
      </c>
      <c r="B904" s="1">
        <v>46044.052939814814</v>
      </c>
      <c r="C904" s="2" t="s">
        <v>39</v>
      </c>
      <c r="D904" t="s">
        <v>23</v>
      </c>
      <c r="E904">
        <v>4366</v>
      </c>
      <c r="F904" t="s">
        <v>14</v>
      </c>
      <c r="G904" t="s">
        <v>51</v>
      </c>
      <c r="H904" t="s">
        <v>16</v>
      </c>
      <c r="I904">
        <v>0</v>
      </c>
      <c r="J904">
        <v>0</v>
      </c>
      <c r="K904">
        <v>0</v>
      </c>
    </row>
    <row r="905" spans="1:11" x14ac:dyDescent="0.25">
      <c r="A905" t="s">
        <v>945</v>
      </c>
      <c r="B905" s="1">
        <v>45793.919745370367</v>
      </c>
      <c r="C905" s="2" t="s">
        <v>26</v>
      </c>
      <c r="D905" t="s">
        <v>23</v>
      </c>
      <c r="E905">
        <v>4958</v>
      </c>
      <c r="F905" t="s">
        <v>14</v>
      </c>
      <c r="G905" t="s">
        <v>58</v>
      </c>
      <c r="H905" t="s">
        <v>16</v>
      </c>
      <c r="I905">
        <v>0</v>
      </c>
      <c r="J905">
        <v>0</v>
      </c>
      <c r="K905">
        <v>0</v>
      </c>
    </row>
    <row r="906" spans="1:11" x14ac:dyDescent="0.25">
      <c r="A906" t="s">
        <v>946</v>
      </c>
      <c r="B906" s="1">
        <v>46109.728831018518</v>
      </c>
      <c r="C906" s="2" t="s">
        <v>41</v>
      </c>
      <c r="D906" t="s">
        <v>19</v>
      </c>
      <c r="E906">
        <v>2096</v>
      </c>
      <c r="F906" t="s">
        <v>14</v>
      </c>
      <c r="G906" t="s">
        <v>24</v>
      </c>
      <c r="H906" t="s">
        <v>16</v>
      </c>
      <c r="I906">
        <v>5</v>
      </c>
      <c r="J906">
        <v>0</v>
      </c>
      <c r="K906">
        <v>5</v>
      </c>
    </row>
    <row r="907" spans="1:11" x14ac:dyDescent="0.25">
      <c r="A907" t="s">
        <v>947</v>
      </c>
      <c r="B907" s="1">
        <v>46097.73951388889</v>
      </c>
      <c r="C907" s="2" t="s">
        <v>26</v>
      </c>
      <c r="D907" t="s">
        <v>23</v>
      </c>
      <c r="E907">
        <v>760</v>
      </c>
      <c r="F907" t="s">
        <v>14</v>
      </c>
      <c r="G907" t="s">
        <v>20</v>
      </c>
      <c r="H907" t="s">
        <v>16</v>
      </c>
      <c r="I907">
        <v>0</v>
      </c>
      <c r="J907">
        <v>0</v>
      </c>
      <c r="K907">
        <v>0</v>
      </c>
    </row>
    <row r="908" spans="1:11" x14ac:dyDescent="0.25">
      <c r="A908" t="s">
        <v>948</v>
      </c>
      <c r="B908" s="1">
        <v>46136.473796296297</v>
      </c>
      <c r="C908" s="2" t="s">
        <v>26</v>
      </c>
      <c r="D908" t="s">
        <v>33</v>
      </c>
      <c r="E908">
        <v>145368</v>
      </c>
      <c r="F908" t="s">
        <v>14</v>
      </c>
      <c r="G908" t="s">
        <v>34</v>
      </c>
      <c r="H908" t="s">
        <v>16</v>
      </c>
      <c r="I908">
        <v>0</v>
      </c>
      <c r="J908">
        <v>0</v>
      </c>
      <c r="K908">
        <v>0</v>
      </c>
    </row>
    <row r="909" spans="1:11" x14ac:dyDescent="0.25">
      <c r="A909" t="s">
        <v>949</v>
      </c>
      <c r="B909" s="1">
        <v>45954.361307870371</v>
      </c>
      <c r="C909" s="2" t="s">
        <v>12</v>
      </c>
      <c r="D909" t="s">
        <v>23</v>
      </c>
      <c r="E909">
        <v>620</v>
      </c>
      <c r="F909" t="s">
        <v>14</v>
      </c>
      <c r="G909" t="s">
        <v>20</v>
      </c>
      <c r="H909" t="s">
        <v>16</v>
      </c>
      <c r="I909">
        <v>0</v>
      </c>
      <c r="J909">
        <v>0</v>
      </c>
      <c r="K909">
        <v>0</v>
      </c>
    </row>
    <row r="910" spans="1:11" x14ac:dyDescent="0.25">
      <c r="A910" t="s">
        <v>950</v>
      </c>
      <c r="B910" s="1">
        <v>45889.315671296295</v>
      </c>
      <c r="C910" s="2" t="s">
        <v>41</v>
      </c>
      <c r="D910" t="s">
        <v>13</v>
      </c>
      <c r="E910">
        <v>200000</v>
      </c>
      <c r="F910" t="s">
        <v>14</v>
      </c>
      <c r="G910" t="s">
        <v>51</v>
      </c>
      <c r="H910" t="s">
        <v>16</v>
      </c>
      <c r="I910">
        <v>3700</v>
      </c>
      <c r="J910">
        <v>1480</v>
      </c>
      <c r="K910">
        <v>2220</v>
      </c>
    </row>
    <row r="911" spans="1:11" x14ac:dyDescent="0.25">
      <c r="A911" t="s">
        <v>951</v>
      </c>
      <c r="B911" s="1">
        <v>46099.319861111115</v>
      </c>
      <c r="C911" s="2" t="s">
        <v>12</v>
      </c>
      <c r="D911" t="s">
        <v>45</v>
      </c>
      <c r="E911">
        <v>78267</v>
      </c>
      <c r="F911" t="s">
        <v>14</v>
      </c>
      <c r="G911" t="s">
        <v>84</v>
      </c>
      <c r="H911" t="s">
        <v>56</v>
      </c>
      <c r="I911">
        <v>782.67</v>
      </c>
      <c r="J911">
        <v>0</v>
      </c>
      <c r="K911">
        <v>782.67</v>
      </c>
    </row>
    <row r="912" spans="1:11" x14ac:dyDescent="0.25">
      <c r="A912" t="s">
        <v>952</v>
      </c>
      <c r="B912" s="1">
        <v>45935.643136574072</v>
      </c>
      <c r="C912" s="2" t="s">
        <v>41</v>
      </c>
      <c r="D912" t="s">
        <v>23</v>
      </c>
      <c r="E912">
        <v>4100</v>
      </c>
      <c r="F912" t="s">
        <v>14</v>
      </c>
      <c r="G912" t="s">
        <v>51</v>
      </c>
      <c r="H912" t="s">
        <v>16</v>
      </c>
      <c r="I912">
        <v>0</v>
      </c>
      <c r="J912">
        <v>0</v>
      </c>
      <c r="K912">
        <v>0</v>
      </c>
    </row>
    <row r="913" spans="1:11" x14ac:dyDescent="0.25">
      <c r="A913" t="s">
        <v>953</v>
      </c>
      <c r="B913" s="1">
        <v>46103.514039351852</v>
      </c>
      <c r="C913" s="2" t="s">
        <v>18</v>
      </c>
      <c r="D913" t="s">
        <v>33</v>
      </c>
      <c r="E913">
        <v>88412</v>
      </c>
      <c r="F913" t="s">
        <v>14</v>
      </c>
      <c r="G913" t="s">
        <v>20</v>
      </c>
      <c r="H913" t="s">
        <v>16</v>
      </c>
      <c r="I913">
        <v>0</v>
      </c>
      <c r="J913">
        <v>0</v>
      </c>
      <c r="K913">
        <v>0</v>
      </c>
    </row>
    <row r="914" spans="1:11" x14ac:dyDescent="0.25">
      <c r="A914" t="s">
        <v>954</v>
      </c>
      <c r="B914" s="1">
        <v>45873.548368055555</v>
      </c>
      <c r="C914" s="2" t="s">
        <v>41</v>
      </c>
      <c r="D914" t="s">
        <v>33</v>
      </c>
      <c r="E914">
        <v>109019</v>
      </c>
      <c r="F914" t="s">
        <v>50</v>
      </c>
      <c r="G914" t="s">
        <v>84</v>
      </c>
      <c r="H914" t="s">
        <v>16</v>
      </c>
      <c r="I914">
        <v>0</v>
      </c>
      <c r="J914">
        <v>0</v>
      </c>
      <c r="K914">
        <v>0</v>
      </c>
    </row>
    <row r="915" spans="1:11" x14ac:dyDescent="0.25">
      <c r="A915" t="s">
        <v>955</v>
      </c>
      <c r="B915" s="1">
        <v>45806.911030092589</v>
      </c>
      <c r="C915" s="2" t="s">
        <v>12</v>
      </c>
      <c r="D915" t="s">
        <v>19</v>
      </c>
      <c r="E915">
        <v>62946</v>
      </c>
      <c r="F915" t="s">
        <v>14</v>
      </c>
      <c r="G915" t="s">
        <v>51</v>
      </c>
      <c r="H915" t="s">
        <v>16</v>
      </c>
      <c r="I915">
        <v>5</v>
      </c>
      <c r="J915">
        <v>0</v>
      </c>
      <c r="K915">
        <v>5</v>
      </c>
    </row>
    <row r="916" spans="1:11" x14ac:dyDescent="0.25">
      <c r="A916" t="s">
        <v>956</v>
      </c>
      <c r="B916" s="1">
        <v>45946.35528935185</v>
      </c>
      <c r="C916" s="2" t="s">
        <v>39</v>
      </c>
      <c r="D916" t="s">
        <v>45</v>
      </c>
      <c r="E916">
        <v>61666</v>
      </c>
      <c r="F916" t="s">
        <v>14</v>
      </c>
      <c r="G916" t="s">
        <v>34</v>
      </c>
      <c r="H916" t="s">
        <v>71</v>
      </c>
      <c r="I916">
        <v>616.66</v>
      </c>
      <c r="J916">
        <v>0</v>
      </c>
      <c r="K916">
        <v>616.66</v>
      </c>
    </row>
    <row r="917" spans="1:11" x14ac:dyDescent="0.25">
      <c r="A917" t="s">
        <v>957</v>
      </c>
      <c r="B917" s="1">
        <v>45818.264224537037</v>
      </c>
      <c r="C917" s="2" t="s">
        <v>18</v>
      </c>
      <c r="D917" t="s">
        <v>13</v>
      </c>
      <c r="E917">
        <v>222000</v>
      </c>
      <c r="F917" t="s">
        <v>14</v>
      </c>
      <c r="G917" t="s">
        <v>84</v>
      </c>
      <c r="H917" t="s">
        <v>16</v>
      </c>
      <c r="I917">
        <v>4107</v>
      </c>
      <c r="J917">
        <v>1642.8</v>
      </c>
      <c r="K917">
        <v>2464.1999999999998</v>
      </c>
    </row>
    <row r="918" spans="1:11" x14ac:dyDescent="0.25">
      <c r="A918" t="s">
        <v>958</v>
      </c>
      <c r="B918" s="1">
        <v>46099.279398148145</v>
      </c>
      <c r="C918" s="2" t="s">
        <v>18</v>
      </c>
      <c r="D918" t="s">
        <v>19</v>
      </c>
      <c r="E918">
        <v>33403</v>
      </c>
      <c r="F918" t="s">
        <v>14</v>
      </c>
      <c r="G918" t="s">
        <v>30</v>
      </c>
      <c r="H918" t="s">
        <v>16</v>
      </c>
      <c r="I918">
        <v>5</v>
      </c>
      <c r="J918">
        <v>0</v>
      </c>
      <c r="K918">
        <v>5</v>
      </c>
    </row>
    <row r="919" spans="1:11" x14ac:dyDescent="0.25">
      <c r="A919" t="s">
        <v>959</v>
      </c>
      <c r="B919" s="1">
        <v>45779.216273148151</v>
      </c>
      <c r="C919" s="2" t="s">
        <v>26</v>
      </c>
      <c r="D919" t="s">
        <v>19</v>
      </c>
      <c r="E919">
        <v>137730</v>
      </c>
      <c r="F919" t="s">
        <v>14</v>
      </c>
      <c r="G919" t="s">
        <v>20</v>
      </c>
      <c r="H919" t="s">
        <v>16</v>
      </c>
      <c r="I919">
        <v>5</v>
      </c>
      <c r="J919">
        <v>0</v>
      </c>
      <c r="K919">
        <v>5</v>
      </c>
    </row>
    <row r="920" spans="1:11" x14ac:dyDescent="0.25">
      <c r="A920" t="s">
        <v>960</v>
      </c>
      <c r="B920" s="1">
        <v>46061.863159722219</v>
      </c>
      <c r="C920" s="2" t="s">
        <v>29</v>
      </c>
      <c r="D920" t="s">
        <v>13</v>
      </c>
      <c r="E920">
        <v>19500</v>
      </c>
      <c r="F920" t="s">
        <v>99</v>
      </c>
      <c r="G920" t="s">
        <v>34</v>
      </c>
      <c r="H920" t="s">
        <v>16</v>
      </c>
      <c r="I920">
        <v>360.75</v>
      </c>
      <c r="J920">
        <v>144.30000000000001</v>
      </c>
      <c r="K920">
        <v>216.45</v>
      </c>
    </row>
    <row r="921" spans="1:11" x14ac:dyDescent="0.25">
      <c r="A921" t="s">
        <v>961</v>
      </c>
      <c r="B921" s="1">
        <v>46014.474999999999</v>
      </c>
      <c r="C921" s="2" t="s">
        <v>29</v>
      </c>
      <c r="D921" t="s">
        <v>23</v>
      </c>
      <c r="E921">
        <v>3716</v>
      </c>
      <c r="F921" t="s">
        <v>14</v>
      </c>
      <c r="G921" t="s">
        <v>27</v>
      </c>
      <c r="H921" t="s">
        <v>16</v>
      </c>
      <c r="I921">
        <v>0</v>
      </c>
      <c r="J921">
        <v>0</v>
      </c>
      <c r="K921">
        <v>0</v>
      </c>
    </row>
    <row r="922" spans="1:11" x14ac:dyDescent="0.25">
      <c r="A922" t="s">
        <v>962</v>
      </c>
      <c r="B922" s="1">
        <v>45993.123043981483</v>
      </c>
      <c r="C922" s="2" t="s">
        <v>26</v>
      </c>
      <c r="D922" t="s">
        <v>13</v>
      </c>
      <c r="E922">
        <v>48500</v>
      </c>
      <c r="F922" t="s">
        <v>14</v>
      </c>
      <c r="G922" t="s">
        <v>34</v>
      </c>
      <c r="H922" t="s">
        <v>16</v>
      </c>
      <c r="I922">
        <v>897.25</v>
      </c>
      <c r="J922">
        <v>358.9</v>
      </c>
      <c r="K922">
        <v>538.35</v>
      </c>
    </row>
    <row r="923" spans="1:11" x14ac:dyDescent="0.25">
      <c r="A923" t="s">
        <v>963</v>
      </c>
      <c r="B923" s="1">
        <v>46124.782604166663</v>
      </c>
      <c r="C923" s="2" t="s">
        <v>18</v>
      </c>
      <c r="D923" t="s">
        <v>13</v>
      </c>
      <c r="E923">
        <v>235000</v>
      </c>
      <c r="F923" t="s">
        <v>14</v>
      </c>
      <c r="G923" t="s">
        <v>27</v>
      </c>
      <c r="H923" t="s">
        <v>16</v>
      </c>
      <c r="I923">
        <v>4347.5</v>
      </c>
      <c r="J923">
        <v>1739</v>
      </c>
      <c r="K923">
        <v>2608.5</v>
      </c>
    </row>
    <row r="924" spans="1:11" x14ac:dyDescent="0.25">
      <c r="A924" t="s">
        <v>964</v>
      </c>
      <c r="B924" s="1">
        <v>45868.023287037038</v>
      </c>
      <c r="C924" s="2" t="s">
        <v>22</v>
      </c>
      <c r="D924" t="s">
        <v>33</v>
      </c>
      <c r="E924">
        <v>50381</v>
      </c>
      <c r="F924" t="s">
        <v>50</v>
      </c>
      <c r="G924" t="s">
        <v>24</v>
      </c>
      <c r="H924" t="s">
        <v>16</v>
      </c>
      <c r="I924">
        <v>0</v>
      </c>
      <c r="J924">
        <v>0</v>
      </c>
      <c r="K924">
        <v>0</v>
      </c>
    </row>
    <row r="925" spans="1:11" x14ac:dyDescent="0.25">
      <c r="A925" t="s">
        <v>965</v>
      </c>
      <c r="B925" s="1">
        <v>46065.703194444446</v>
      </c>
      <c r="C925" s="2" t="s">
        <v>32</v>
      </c>
      <c r="D925" t="s">
        <v>23</v>
      </c>
      <c r="E925">
        <v>1016</v>
      </c>
      <c r="F925" t="s">
        <v>50</v>
      </c>
      <c r="G925" t="s">
        <v>58</v>
      </c>
      <c r="H925" t="s">
        <v>16</v>
      </c>
      <c r="I925">
        <v>0</v>
      </c>
      <c r="J925">
        <v>0</v>
      </c>
      <c r="K925">
        <v>0</v>
      </c>
    </row>
    <row r="926" spans="1:11" x14ac:dyDescent="0.25">
      <c r="A926" t="s">
        <v>966</v>
      </c>
      <c r="B926" s="1">
        <v>46110.898472222223</v>
      </c>
      <c r="C926" s="2" t="s">
        <v>12</v>
      </c>
      <c r="D926" t="s">
        <v>23</v>
      </c>
      <c r="E926">
        <v>2256</v>
      </c>
      <c r="F926" t="s">
        <v>14</v>
      </c>
      <c r="G926" t="s">
        <v>34</v>
      </c>
      <c r="H926" t="s">
        <v>16</v>
      </c>
      <c r="I926">
        <v>0</v>
      </c>
      <c r="J926">
        <v>0</v>
      </c>
      <c r="K926">
        <v>0</v>
      </c>
    </row>
    <row r="927" spans="1:11" x14ac:dyDescent="0.25">
      <c r="A927" t="s">
        <v>967</v>
      </c>
      <c r="B927" s="1">
        <v>45979.433182870373</v>
      </c>
      <c r="C927" s="2" t="s">
        <v>26</v>
      </c>
      <c r="D927" t="s">
        <v>33</v>
      </c>
      <c r="E927">
        <v>55306</v>
      </c>
      <c r="F927" t="s">
        <v>14</v>
      </c>
      <c r="G927" t="s">
        <v>15</v>
      </c>
      <c r="H927" t="s">
        <v>16</v>
      </c>
      <c r="I927">
        <v>0</v>
      </c>
      <c r="J927">
        <v>0</v>
      </c>
      <c r="K927">
        <v>0</v>
      </c>
    </row>
    <row r="928" spans="1:11" x14ac:dyDescent="0.25">
      <c r="A928" t="s">
        <v>968</v>
      </c>
      <c r="B928" s="1">
        <v>46070.664537037039</v>
      </c>
      <c r="C928" s="2" t="s">
        <v>41</v>
      </c>
      <c r="D928" t="s">
        <v>45</v>
      </c>
      <c r="E928">
        <v>11366</v>
      </c>
      <c r="F928" t="s">
        <v>14</v>
      </c>
      <c r="G928" t="s">
        <v>24</v>
      </c>
      <c r="H928" t="s">
        <v>59</v>
      </c>
      <c r="I928">
        <v>113.66</v>
      </c>
      <c r="J928">
        <v>0</v>
      </c>
      <c r="K928">
        <v>113.66</v>
      </c>
    </row>
    <row r="929" spans="1:11" x14ac:dyDescent="0.25">
      <c r="A929" t="s">
        <v>969</v>
      </c>
      <c r="B929" s="1">
        <v>45963.044583333336</v>
      </c>
      <c r="C929" s="2" t="s">
        <v>18</v>
      </c>
      <c r="D929" t="s">
        <v>19</v>
      </c>
      <c r="E929">
        <v>146614</v>
      </c>
      <c r="F929" t="s">
        <v>14</v>
      </c>
      <c r="G929" t="s">
        <v>34</v>
      </c>
      <c r="H929" t="s">
        <v>16</v>
      </c>
      <c r="I929">
        <v>5</v>
      </c>
      <c r="J929">
        <v>0</v>
      </c>
      <c r="K929">
        <v>5</v>
      </c>
    </row>
    <row r="930" spans="1:11" x14ac:dyDescent="0.25">
      <c r="A930" t="s">
        <v>970</v>
      </c>
      <c r="B930" s="1">
        <v>46096.566030092596</v>
      </c>
      <c r="C930" s="2" t="s">
        <v>18</v>
      </c>
      <c r="D930" t="s">
        <v>13</v>
      </c>
      <c r="E930">
        <v>123500</v>
      </c>
      <c r="F930" t="s">
        <v>14</v>
      </c>
      <c r="G930" t="s">
        <v>58</v>
      </c>
      <c r="H930" t="s">
        <v>16</v>
      </c>
      <c r="I930">
        <v>2284.75</v>
      </c>
      <c r="J930">
        <v>913.9</v>
      </c>
      <c r="K930">
        <v>1370.85</v>
      </c>
    </row>
    <row r="931" spans="1:11" x14ac:dyDescent="0.25">
      <c r="A931" t="s">
        <v>971</v>
      </c>
      <c r="B931" s="1">
        <v>46103.803842592592</v>
      </c>
      <c r="C931" s="2" t="s">
        <v>26</v>
      </c>
      <c r="D931" t="s">
        <v>23</v>
      </c>
      <c r="E931">
        <v>1886</v>
      </c>
      <c r="F931" t="s">
        <v>14</v>
      </c>
      <c r="G931" t="s">
        <v>84</v>
      </c>
      <c r="H931" t="s">
        <v>16</v>
      </c>
      <c r="I931">
        <v>0</v>
      </c>
      <c r="J931">
        <v>0</v>
      </c>
      <c r="K931">
        <v>0</v>
      </c>
    </row>
    <row r="932" spans="1:11" x14ac:dyDescent="0.25">
      <c r="A932" t="s">
        <v>972</v>
      </c>
      <c r="B932" s="1">
        <v>45925.745266203703</v>
      </c>
      <c r="C932" s="2" t="s">
        <v>39</v>
      </c>
      <c r="D932" t="s">
        <v>33</v>
      </c>
      <c r="E932">
        <v>112336</v>
      </c>
      <c r="F932" t="s">
        <v>14</v>
      </c>
      <c r="G932" t="s">
        <v>84</v>
      </c>
      <c r="H932" t="s">
        <v>16</v>
      </c>
      <c r="I932">
        <v>0</v>
      </c>
      <c r="J932">
        <v>0</v>
      </c>
      <c r="K932">
        <v>0</v>
      </c>
    </row>
    <row r="933" spans="1:11" x14ac:dyDescent="0.25">
      <c r="A933" t="s">
        <v>973</v>
      </c>
      <c r="B933" s="1">
        <v>46037.628136574072</v>
      </c>
      <c r="C933" s="2" t="s">
        <v>12</v>
      </c>
      <c r="D933" t="s">
        <v>23</v>
      </c>
      <c r="E933">
        <v>3524</v>
      </c>
      <c r="F933" t="s">
        <v>14</v>
      </c>
      <c r="G933" t="s">
        <v>20</v>
      </c>
      <c r="H933" t="s">
        <v>16</v>
      </c>
      <c r="I933">
        <v>0</v>
      </c>
      <c r="J933">
        <v>0</v>
      </c>
      <c r="K933">
        <v>0</v>
      </c>
    </row>
    <row r="934" spans="1:11" x14ac:dyDescent="0.25">
      <c r="A934" t="s">
        <v>974</v>
      </c>
      <c r="B934" s="1">
        <v>46053.836041666669</v>
      </c>
      <c r="C934" s="2" t="s">
        <v>22</v>
      </c>
      <c r="D934" t="s">
        <v>23</v>
      </c>
      <c r="E934">
        <v>2060</v>
      </c>
      <c r="F934" t="s">
        <v>14</v>
      </c>
      <c r="G934" t="s">
        <v>15</v>
      </c>
      <c r="H934" t="s">
        <v>16</v>
      </c>
      <c r="I934">
        <v>0</v>
      </c>
      <c r="J934">
        <v>0</v>
      </c>
      <c r="K934">
        <v>0</v>
      </c>
    </row>
    <row r="935" spans="1:11" x14ac:dyDescent="0.25">
      <c r="A935" t="s">
        <v>975</v>
      </c>
      <c r="B935" s="1">
        <v>45933.504953703705</v>
      </c>
      <c r="C935" s="2" t="s">
        <v>29</v>
      </c>
      <c r="D935" t="s">
        <v>13</v>
      </c>
      <c r="E935">
        <v>188000</v>
      </c>
      <c r="F935" t="s">
        <v>14</v>
      </c>
      <c r="G935" t="s">
        <v>30</v>
      </c>
      <c r="H935" t="s">
        <v>16</v>
      </c>
      <c r="I935">
        <v>3478</v>
      </c>
      <c r="J935">
        <v>1391.2</v>
      </c>
      <c r="K935">
        <v>2086.8000000000002</v>
      </c>
    </row>
    <row r="936" spans="1:11" x14ac:dyDescent="0.25">
      <c r="A936" t="s">
        <v>976</v>
      </c>
      <c r="B936" s="1">
        <v>46138.046111111114</v>
      </c>
      <c r="C936" s="2" t="s">
        <v>12</v>
      </c>
      <c r="D936" t="s">
        <v>45</v>
      </c>
      <c r="E936">
        <v>97232</v>
      </c>
      <c r="F936" t="s">
        <v>14</v>
      </c>
      <c r="G936" t="s">
        <v>27</v>
      </c>
      <c r="H936" t="s">
        <v>71</v>
      </c>
      <c r="I936">
        <v>972.32</v>
      </c>
      <c r="J936">
        <v>0</v>
      </c>
      <c r="K936">
        <v>972.32</v>
      </c>
    </row>
    <row r="937" spans="1:11" x14ac:dyDescent="0.25">
      <c r="A937" t="s">
        <v>977</v>
      </c>
      <c r="B937" s="1">
        <v>45990.011724537035</v>
      </c>
      <c r="C937" s="2" t="s">
        <v>18</v>
      </c>
      <c r="D937" t="s">
        <v>19</v>
      </c>
      <c r="E937">
        <v>59589</v>
      </c>
      <c r="F937" t="s">
        <v>14</v>
      </c>
      <c r="G937" t="s">
        <v>30</v>
      </c>
      <c r="H937" t="s">
        <v>16</v>
      </c>
      <c r="I937">
        <v>5</v>
      </c>
      <c r="J937">
        <v>0</v>
      </c>
      <c r="K937">
        <v>5</v>
      </c>
    </row>
    <row r="938" spans="1:11" x14ac:dyDescent="0.25">
      <c r="A938" t="s">
        <v>978</v>
      </c>
      <c r="B938" s="1">
        <v>45837.349918981483</v>
      </c>
      <c r="C938" s="2" t="s">
        <v>41</v>
      </c>
      <c r="D938" t="s">
        <v>33</v>
      </c>
      <c r="E938">
        <v>102583</v>
      </c>
      <c r="F938" t="s">
        <v>50</v>
      </c>
      <c r="G938" t="s">
        <v>15</v>
      </c>
      <c r="H938" t="s">
        <v>16</v>
      </c>
      <c r="I938">
        <v>0</v>
      </c>
      <c r="J938">
        <v>0</v>
      </c>
      <c r="K938">
        <v>0</v>
      </c>
    </row>
    <row r="939" spans="1:11" x14ac:dyDescent="0.25">
      <c r="A939" t="s">
        <v>979</v>
      </c>
      <c r="B939" s="1">
        <v>46086.376122685186</v>
      </c>
      <c r="C939" s="2" t="s">
        <v>18</v>
      </c>
      <c r="D939" t="s">
        <v>19</v>
      </c>
      <c r="E939">
        <v>2136</v>
      </c>
      <c r="F939" t="s">
        <v>14</v>
      </c>
      <c r="G939" t="s">
        <v>24</v>
      </c>
      <c r="H939" t="s">
        <v>16</v>
      </c>
      <c r="I939">
        <v>5</v>
      </c>
      <c r="J939">
        <v>0</v>
      </c>
      <c r="K939">
        <v>5</v>
      </c>
    </row>
    <row r="940" spans="1:11" x14ac:dyDescent="0.25">
      <c r="A940" t="s">
        <v>980</v>
      </c>
      <c r="B940" s="1">
        <v>45928.798449074071</v>
      </c>
      <c r="C940" s="2" t="s">
        <v>18</v>
      </c>
      <c r="D940" t="s">
        <v>23</v>
      </c>
      <c r="E940">
        <v>2996</v>
      </c>
      <c r="F940" t="s">
        <v>14</v>
      </c>
      <c r="G940" t="s">
        <v>34</v>
      </c>
      <c r="H940" t="s">
        <v>16</v>
      </c>
      <c r="I940">
        <v>0</v>
      </c>
      <c r="J940">
        <v>0</v>
      </c>
      <c r="K940">
        <v>0</v>
      </c>
    </row>
    <row r="941" spans="1:11" x14ac:dyDescent="0.25">
      <c r="A941" t="s">
        <v>981</v>
      </c>
      <c r="B941" s="1">
        <v>45879.237384259257</v>
      </c>
      <c r="C941" s="2" t="s">
        <v>29</v>
      </c>
      <c r="D941" t="s">
        <v>33</v>
      </c>
      <c r="E941">
        <v>5426</v>
      </c>
      <c r="F941" t="s">
        <v>14</v>
      </c>
      <c r="G941" t="s">
        <v>27</v>
      </c>
      <c r="H941" t="s">
        <v>16</v>
      </c>
      <c r="I941">
        <v>0</v>
      </c>
      <c r="J941">
        <v>0</v>
      </c>
      <c r="K941">
        <v>0</v>
      </c>
    </row>
    <row r="942" spans="1:11" x14ac:dyDescent="0.25">
      <c r="A942" t="s">
        <v>982</v>
      </c>
      <c r="B942" s="1">
        <v>45868.649050925924</v>
      </c>
      <c r="C942" s="2" t="s">
        <v>22</v>
      </c>
      <c r="D942" t="s">
        <v>33</v>
      </c>
      <c r="E942">
        <v>3731</v>
      </c>
      <c r="F942" t="s">
        <v>14</v>
      </c>
      <c r="G942" t="s">
        <v>51</v>
      </c>
      <c r="H942" t="s">
        <v>16</v>
      </c>
      <c r="I942">
        <v>0</v>
      </c>
      <c r="J942">
        <v>0</v>
      </c>
      <c r="K942">
        <v>0</v>
      </c>
    </row>
    <row r="943" spans="1:11" x14ac:dyDescent="0.25">
      <c r="A943" t="s">
        <v>983</v>
      </c>
      <c r="B943" s="1">
        <v>45899.591782407406</v>
      </c>
      <c r="C943" s="2" t="s">
        <v>39</v>
      </c>
      <c r="D943" t="s">
        <v>19</v>
      </c>
      <c r="E943">
        <v>16525</v>
      </c>
      <c r="F943" t="s">
        <v>50</v>
      </c>
      <c r="G943" t="s">
        <v>27</v>
      </c>
      <c r="H943" t="s">
        <v>16</v>
      </c>
      <c r="I943">
        <v>5</v>
      </c>
      <c r="J943">
        <v>0</v>
      </c>
      <c r="K943">
        <v>5</v>
      </c>
    </row>
    <row r="944" spans="1:11" x14ac:dyDescent="0.25">
      <c r="A944" t="s">
        <v>984</v>
      </c>
      <c r="B944" s="1">
        <v>45981.586863425924</v>
      </c>
      <c r="C944" s="2" t="s">
        <v>12</v>
      </c>
      <c r="D944" t="s">
        <v>33</v>
      </c>
      <c r="E944">
        <v>3275</v>
      </c>
      <c r="F944" t="s">
        <v>14</v>
      </c>
      <c r="G944" t="s">
        <v>27</v>
      </c>
      <c r="H944" t="s">
        <v>16</v>
      </c>
      <c r="I944">
        <v>0</v>
      </c>
      <c r="J944">
        <v>0</v>
      </c>
      <c r="K944">
        <v>0</v>
      </c>
    </row>
    <row r="945" spans="1:11" x14ac:dyDescent="0.25">
      <c r="A945" t="s">
        <v>985</v>
      </c>
      <c r="B945" s="1">
        <v>45924.106134259258</v>
      </c>
      <c r="C945" s="2" t="s">
        <v>26</v>
      </c>
      <c r="D945" t="s">
        <v>33</v>
      </c>
      <c r="E945">
        <v>63969</v>
      </c>
      <c r="F945" t="s">
        <v>14</v>
      </c>
      <c r="G945" t="s">
        <v>34</v>
      </c>
      <c r="H945" t="s">
        <v>16</v>
      </c>
      <c r="I945">
        <v>0</v>
      </c>
      <c r="J945">
        <v>0</v>
      </c>
      <c r="K945">
        <v>0</v>
      </c>
    </row>
    <row r="946" spans="1:11" x14ac:dyDescent="0.25">
      <c r="A946" t="s">
        <v>986</v>
      </c>
      <c r="B946" s="1">
        <v>45843.871828703705</v>
      </c>
      <c r="C946" s="2" t="s">
        <v>39</v>
      </c>
      <c r="D946" t="s">
        <v>19</v>
      </c>
      <c r="E946">
        <v>133488</v>
      </c>
      <c r="F946" t="s">
        <v>50</v>
      </c>
      <c r="G946" t="s">
        <v>20</v>
      </c>
      <c r="H946" t="s">
        <v>16</v>
      </c>
      <c r="I946">
        <v>5</v>
      </c>
      <c r="J946">
        <v>0</v>
      </c>
      <c r="K946">
        <v>5</v>
      </c>
    </row>
    <row r="947" spans="1:11" x14ac:dyDescent="0.25">
      <c r="A947" t="s">
        <v>987</v>
      </c>
      <c r="B947" s="1">
        <v>45890.906481481485</v>
      </c>
      <c r="C947" s="2" t="s">
        <v>12</v>
      </c>
      <c r="D947" t="s">
        <v>19</v>
      </c>
      <c r="E947">
        <v>49122</v>
      </c>
      <c r="F947" t="s">
        <v>14</v>
      </c>
      <c r="G947" t="s">
        <v>27</v>
      </c>
      <c r="H947" t="s">
        <v>16</v>
      </c>
      <c r="I947">
        <v>5</v>
      </c>
      <c r="J947">
        <v>0</v>
      </c>
      <c r="K947">
        <v>5</v>
      </c>
    </row>
    <row r="948" spans="1:11" x14ac:dyDescent="0.25">
      <c r="A948" t="s">
        <v>988</v>
      </c>
      <c r="B948" s="1">
        <v>45792.193298611113</v>
      </c>
      <c r="C948" s="2" t="s">
        <v>29</v>
      </c>
      <c r="D948" t="s">
        <v>23</v>
      </c>
      <c r="E948">
        <v>4352</v>
      </c>
      <c r="F948" t="s">
        <v>14</v>
      </c>
      <c r="G948" t="s">
        <v>51</v>
      </c>
      <c r="H948" t="s">
        <v>16</v>
      </c>
      <c r="I948">
        <v>0</v>
      </c>
      <c r="J948">
        <v>0</v>
      </c>
      <c r="K948">
        <v>0</v>
      </c>
    </row>
    <row r="949" spans="1:11" x14ac:dyDescent="0.25">
      <c r="A949" t="s">
        <v>989</v>
      </c>
      <c r="B949" s="1">
        <v>46053.243692129632</v>
      </c>
      <c r="C949" s="2" t="s">
        <v>22</v>
      </c>
      <c r="D949" t="s">
        <v>45</v>
      </c>
      <c r="E949">
        <v>130391</v>
      </c>
      <c r="F949" t="s">
        <v>14</v>
      </c>
      <c r="G949" t="s">
        <v>51</v>
      </c>
      <c r="H949" t="s">
        <v>59</v>
      </c>
      <c r="I949">
        <v>1303.9100000000001</v>
      </c>
      <c r="J949">
        <v>0</v>
      </c>
      <c r="K949">
        <v>1303.9100000000001</v>
      </c>
    </row>
    <row r="950" spans="1:11" x14ac:dyDescent="0.25">
      <c r="A950" t="s">
        <v>990</v>
      </c>
      <c r="B950" s="1">
        <v>45811.668356481481</v>
      </c>
      <c r="C950" s="2" t="s">
        <v>29</v>
      </c>
      <c r="D950" t="s">
        <v>23</v>
      </c>
      <c r="E950">
        <v>2533</v>
      </c>
      <c r="F950" t="s">
        <v>14</v>
      </c>
      <c r="G950" t="s">
        <v>84</v>
      </c>
      <c r="H950" t="s">
        <v>16</v>
      </c>
      <c r="I950">
        <v>0</v>
      </c>
      <c r="J950">
        <v>0</v>
      </c>
      <c r="K950">
        <v>0</v>
      </c>
    </row>
    <row r="951" spans="1:11" x14ac:dyDescent="0.25">
      <c r="A951" t="s">
        <v>991</v>
      </c>
      <c r="B951" s="1">
        <v>45795.394363425927</v>
      </c>
      <c r="C951" s="2" t="s">
        <v>22</v>
      </c>
      <c r="D951" t="s">
        <v>19</v>
      </c>
      <c r="E951">
        <v>130953</v>
      </c>
      <c r="F951" t="s">
        <v>14</v>
      </c>
      <c r="G951" t="s">
        <v>58</v>
      </c>
      <c r="H951" t="s">
        <v>16</v>
      </c>
      <c r="I951">
        <v>5</v>
      </c>
      <c r="J951">
        <v>0</v>
      </c>
      <c r="K951">
        <v>5</v>
      </c>
    </row>
    <row r="952" spans="1:11" x14ac:dyDescent="0.25">
      <c r="A952" t="s">
        <v>992</v>
      </c>
      <c r="B952" s="1">
        <v>46010.88958333333</v>
      </c>
      <c r="C952" s="2" t="s">
        <v>39</v>
      </c>
      <c r="D952" t="s">
        <v>23</v>
      </c>
      <c r="E952">
        <v>3425</v>
      </c>
      <c r="F952" t="s">
        <v>14</v>
      </c>
      <c r="G952" t="s">
        <v>58</v>
      </c>
      <c r="H952" t="s">
        <v>16</v>
      </c>
      <c r="I952">
        <v>0</v>
      </c>
      <c r="J952">
        <v>0</v>
      </c>
      <c r="K952">
        <v>0</v>
      </c>
    </row>
    <row r="953" spans="1:11" x14ac:dyDescent="0.25">
      <c r="A953" t="s">
        <v>993</v>
      </c>
      <c r="B953" s="1">
        <v>45919.6796875</v>
      </c>
      <c r="C953" s="2" t="s">
        <v>18</v>
      </c>
      <c r="D953" t="s">
        <v>19</v>
      </c>
      <c r="E953">
        <v>106571</v>
      </c>
      <c r="F953" t="s">
        <v>14</v>
      </c>
      <c r="G953" t="s">
        <v>15</v>
      </c>
      <c r="H953" t="s">
        <v>16</v>
      </c>
      <c r="I953">
        <v>5</v>
      </c>
      <c r="J953">
        <v>0</v>
      </c>
      <c r="K953">
        <v>5</v>
      </c>
    </row>
    <row r="954" spans="1:11" x14ac:dyDescent="0.25">
      <c r="A954" t="s">
        <v>994</v>
      </c>
      <c r="B954" s="1">
        <v>46005.583923611113</v>
      </c>
      <c r="C954" s="2" t="s">
        <v>41</v>
      </c>
      <c r="D954" t="s">
        <v>19</v>
      </c>
      <c r="E954">
        <v>143398</v>
      </c>
      <c r="F954" t="s">
        <v>50</v>
      </c>
      <c r="G954" t="s">
        <v>51</v>
      </c>
      <c r="H954" t="s">
        <v>16</v>
      </c>
      <c r="I954">
        <v>5</v>
      </c>
      <c r="J954">
        <v>0</v>
      </c>
      <c r="K954">
        <v>5</v>
      </c>
    </row>
    <row r="955" spans="1:11" x14ac:dyDescent="0.25">
      <c r="A955" t="s">
        <v>995</v>
      </c>
      <c r="B955" s="1">
        <v>46104.374293981484</v>
      </c>
      <c r="C955" s="2" t="s">
        <v>32</v>
      </c>
      <c r="D955" t="s">
        <v>13</v>
      </c>
      <c r="E955">
        <v>131000</v>
      </c>
      <c r="F955" t="s">
        <v>14</v>
      </c>
      <c r="G955" t="s">
        <v>24</v>
      </c>
      <c r="H955" t="s">
        <v>16</v>
      </c>
      <c r="I955">
        <v>2423.5</v>
      </c>
      <c r="J955">
        <v>969.4</v>
      </c>
      <c r="K955">
        <v>1454.1</v>
      </c>
    </row>
    <row r="956" spans="1:11" x14ac:dyDescent="0.25">
      <c r="A956" t="s">
        <v>996</v>
      </c>
      <c r="B956" s="1">
        <v>45991.11787037037</v>
      </c>
      <c r="C956" s="2" t="s">
        <v>29</v>
      </c>
      <c r="D956" t="s">
        <v>19</v>
      </c>
      <c r="E956">
        <v>74273</v>
      </c>
      <c r="F956" t="s">
        <v>14</v>
      </c>
      <c r="G956" t="s">
        <v>24</v>
      </c>
      <c r="H956" t="s">
        <v>16</v>
      </c>
      <c r="I956">
        <v>5</v>
      </c>
      <c r="J956">
        <v>0</v>
      </c>
      <c r="K956">
        <v>5</v>
      </c>
    </row>
    <row r="957" spans="1:11" x14ac:dyDescent="0.25">
      <c r="A957" t="s">
        <v>997</v>
      </c>
      <c r="B957" s="1">
        <v>46049.200671296298</v>
      </c>
      <c r="C957" s="2" t="s">
        <v>29</v>
      </c>
      <c r="D957" t="s">
        <v>13</v>
      </c>
      <c r="E957">
        <v>123500</v>
      </c>
      <c r="F957" t="s">
        <v>14</v>
      </c>
      <c r="G957" t="s">
        <v>84</v>
      </c>
      <c r="H957" t="s">
        <v>16</v>
      </c>
      <c r="I957">
        <v>2284.75</v>
      </c>
      <c r="J957">
        <v>913.9</v>
      </c>
      <c r="K957">
        <v>1370.85</v>
      </c>
    </row>
    <row r="958" spans="1:11" x14ac:dyDescent="0.25">
      <c r="A958" t="s">
        <v>998</v>
      </c>
      <c r="B958" s="1">
        <v>45967.267650462964</v>
      </c>
      <c r="C958" s="2" t="s">
        <v>22</v>
      </c>
      <c r="D958" t="s">
        <v>33</v>
      </c>
      <c r="E958">
        <v>66657</v>
      </c>
      <c r="F958" t="s">
        <v>14</v>
      </c>
      <c r="G958" t="s">
        <v>34</v>
      </c>
      <c r="H958" t="s">
        <v>16</v>
      </c>
      <c r="I958">
        <v>0</v>
      </c>
      <c r="J958">
        <v>0</v>
      </c>
      <c r="K958">
        <v>0</v>
      </c>
    </row>
    <row r="959" spans="1:11" x14ac:dyDescent="0.25">
      <c r="A959" t="s">
        <v>999</v>
      </c>
      <c r="B959" s="1">
        <v>45900.374328703707</v>
      </c>
      <c r="C959" s="2" t="s">
        <v>26</v>
      </c>
      <c r="D959" t="s">
        <v>33</v>
      </c>
      <c r="E959">
        <v>40667</v>
      </c>
      <c r="F959" t="s">
        <v>14</v>
      </c>
      <c r="G959" t="s">
        <v>24</v>
      </c>
      <c r="H959" t="s">
        <v>16</v>
      </c>
      <c r="I959">
        <v>0</v>
      </c>
      <c r="J959">
        <v>0</v>
      </c>
      <c r="K959">
        <v>0</v>
      </c>
    </row>
    <row r="960" spans="1:11" x14ac:dyDescent="0.25">
      <c r="A960" t="s">
        <v>1000</v>
      </c>
      <c r="B960" s="1">
        <v>46001.154432870368</v>
      </c>
      <c r="C960" s="2" t="s">
        <v>18</v>
      </c>
      <c r="D960" t="s">
        <v>23</v>
      </c>
      <c r="E960">
        <v>2956</v>
      </c>
      <c r="F960" t="s">
        <v>14</v>
      </c>
      <c r="G960" t="s">
        <v>27</v>
      </c>
      <c r="H960" t="s">
        <v>16</v>
      </c>
      <c r="I960">
        <v>0</v>
      </c>
      <c r="J960">
        <v>0</v>
      </c>
      <c r="K960">
        <v>0</v>
      </c>
    </row>
    <row r="961" spans="1:11" x14ac:dyDescent="0.25">
      <c r="A961" t="s">
        <v>1001</v>
      </c>
      <c r="B961" s="1">
        <v>46121.921863425923</v>
      </c>
      <c r="C961" s="2" t="s">
        <v>26</v>
      </c>
      <c r="D961" t="s">
        <v>45</v>
      </c>
      <c r="E961">
        <v>109456</v>
      </c>
      <c r="F961" t="s">
        <v>14</v>
      </c>
      <c r="G961" t="s">
        <v>24</v>
      </c>
      <c r="H961" t="s">
        <v>178</v>
      </c>
      <c r="I961">
        <v>1094.56</v>
      </c>
      <c r="J961">
        <v>0</v>
      </c>
      <c r="K961">
        <v>1094.56</v>
      </c>
    </row>
    <row r="962" spans="1:11" x14ac:dyDescent="0.25">
      <c r="A962" t="s">
        <v>1002</v>
      </c>
      <c r="B962" s="1">
        <v>45857.056296296294</v>
      </c>
      <c r="C962" s="2" t="s">
        <v>41</v>
      </c>
      <c r="D962" t="s">
        <v>33</v>
      </c>
      <c r="E962">
        <v>58194</v>
      </c>
      <c r="F962" t="s">
        <v>14</v>
      </c>
      <c r="G962" t="s">
        <v>15</v>
      </c>
      <c r="H962" t="s">
        <v>16</v>
      </c>
      <c r="I962">
        <v>0</v>
      </c>
      <c r="J962">
        <v>0</v>
      </c>
      <c r="K962">
        <v>0</v>
      </c>
    </row>
    <row r="963" spans="1:11" x14ac:dyDescent="0.25">
      <c r="A963" t="s">
        <v>1003</v>
      </c>
      <c r="B963" s="1">
        <v>46084.86278935185</v>
      </c>
      <c r="C963" s="2" t="s">
        <v>39</v>
      </c>
      <c r="D963" t="s">
        <v>23</v>
      </c>
      <c r="E963">
        <v>4308</v>
      </c>
      <c r="F963" t="s">
        <v>14</v>
      </c>
      <c r="G963" t="s">
        <v>34</v>
      </c>
      <c r="H963" t="s">
        <v>16</v>
      </c>
      <c r="I963">
        <v>0</v>
      </c>
      <c r="J963">
        <v>0</v>
      </c>
      <c r="K963">
        <v>0</v>
      </c>
    </row>
    <row r="964" spans="1:11" x14ac:dyDescent="0.25">
      <c r="A964" t="s">
        <v>1004</v>
      </c>
      <c r="B964" s="1">
        <v>45893.116180555553</v>
      </c>
      <c r="C964" s="2" t="s">
        <v>22</v>
      </c>
      <c r="D964" t="s">
        <v>13</v>
      </c>
      <c r="E964">
        <v>187000</v>
      </c>
      <c r="F964" t="s">
        <v>14</v>
      </c>
      <c r="G964" t="s">
        <v>20</v>
      </c>
      <c r="H964" t="s">
        <v>16</v>
      </c>
      <c r="I964">
        <v>3459.5</v>
      </c>
      <c r="J964">
        <v>1383.8</v>
      </c>
      <c r="K964">
        <v>2075.6999999999998</v>
      </c>
    </row>
    <row r="965" spans="1:11" x14ac:dyDescent="0.25">
      <c r="A965" t="s">
        <v>1005</v>
      </c>
      <c r="B965" s="1">
        <v>45990.290300925924</v>
      </c>
      <c r="C965" s="2" t="s">
        <v>39</v>
      </c>
      <c r="D965" t="s">
        <v>13</v>
      </c>
      <c r="E965">
        <v>139000</v>
      </c>
      <c r="F965" t="s">
        <v>14</v>
      </c>
      <c r="G965" t="s">
        <v>20</v>
      </c>
      <c r="H965" t="s">
        <v>16</v>
      </c>
      <c r="I965">
        <v>2571.5</v>
      </c>
      <c r="J965">
        <v>1028.5999999999999</v>
      </c>
      <c r="K965">
        <v>1542.9</v>
      </c>
    </row>
    <row r="966" spans="1:11" x14ac:dyDescent="0.25">
      <c r="A966" t="s">
        <v>1006</v>
      </c>
      <c r="B966" s="1">
        <v>45920.568379629629</v>
      </c>
      <c r="C966" s="2" t="s">
        <v>12</v>
      </c>
      <c r="D966" t="s">
        <v>13</v>
      </c>
      <c r="E966">
        <v>86000</v>
      </c>
      <c r="F966" t="s">
        <v>14</v>
      </c>
      <c r="G966" t="s">
        <v>27</v>
      </c>
      <c r="H966" t="s">
        <v>16</v>
      </c>
      <c r="I966">
        <v>1591</v>
      </c>
      <c r="J966">
        <v>636.4</v>
      </c>
      <c r="K966">
        <v>954.6</v>
      </c>
    </row>
    <row r="967" spans="1:11" x14ac:dyDescent="0.25">
      <c r="A967" t="s">
        <v>1007</v>
      </c>
      <c r="B967" s="1">
        <v>46131.514282407406</v>
      </c>
      <c r="C967" s="2" t="s">
        <v>26</v>
      </c>
      <c r="D967" t="s">
        <v>33</v>
      </c>
      <c r="E967">
        <v>103050</v>
      </c>
      <c r="F967" t="s">
        <v>50</v>
      </c>
      <c r="G967" t="s">
        <v>51</v>
      </c>
      <c r="H967" t="s">
        <v>16</v>
      </c>
      <c r="I967">
        <v>0</v>
      </c>
      <c r="J967">
        <v>0</v>
      </c>
      <c r="K967">
        <v>0</v>
      </c>
    </row>
    <row r="968" spans="1:11" x14ac:dyDescent="0.25">
      <c r="A968" t="s">
        <v>1008</v>
      </c>
      <c r="B968" s="1">
        <v>45785.150219907409</v>
      </c>
      <c r="C968" s="2" t="s">
        <v>26</v>
      </c>
      <c r="D968" t="s">
        <v>19</v>
      </c>
      <c r="E968">
        <v>104830</v>
      </c>
      <c r="F968" t="s">
        <v>14</v>
      </c>
      <c r="G968" t="s">
        <v>51</v>
      </c>
      <c r="H968" t="s">
        <v>16</v>
      </c>
      <c r="I968">
        <v>5</v>
      </c>
      <c r="J968">
        <v>0</v>
      </c>
      <c r="K968">
        <v>5</v>
      </c>
    </row>
    <row r="969" spans="1:11" x14ac:dyDescent="0.25">
      <c r="A969" t="s">
        <v>1009</v>
      </c>
      <c r="B969" s="1">
        <v>45958.906956018516</v>
      </c>
      <c r="C969" s="2" t="s">
        <v>26</v>
      </c>
      <c r="D969" t="s">
        <v>19</v>
      </c>
      <c r="E969">
        <v>47360</v>
      </c>
      <c r="F969" t="s">
        <v>50</v>
      </c>
      <c r="G969" t="s">
        <v>34</v>
      </c>
      <c r="H969" t="s">
        <v>16</v>
      </c>
      <c r="I969">
        <v>5</v>
      </c>
      <c r="J969">
        <v>0</v>
      </c>
      <c r="K969">
        <v>5</v>
      </c>
    </row>
    <row r="970" spans="1:11" x14ac:dyDescent="0.25">
      <c r="A970" t="s">
        <v>1010</v>
      </c>
      <c r="B970" s="1">
        <v>45971.051631944443</v>
      </c>
      <c r="C970" s="2" t="s">
        <v>22</v>
      </c>
      <c r="D970" t="s">
        <v>33</v>
      </c>
      <c r="E970">
        <v>7984</v>
      </c>
      <c r="F970" t="s">
        <v>50</v>
      </c>
      <c r="G970" t="s">
        <v>15</v>
      </c>
      <c r="H970" t="s">
        <v>16</v>
      </c>
      <c r="I970">
        <v>0</v>
      </c>
      <c r="J970">
        <v>0</v>
      </c>
      <c r="K970">
        <v>0</v>
      </c>
    </row>
    <row r="971" spans="1:11" x14ac:dyDescent="0.25">
      <c r="A971" t="s">
        <v>1011</v>
      </c>
      <c r="B971" s="1">
        <v>45890.967928240738</v>
      </c>
      <c r="C971" s="2" t="s">
        <v>39</v>
      </c>
      <c r="D971" t="s">
        <v>45</v>
      </c>
      <c r="E971">
        <v>131349</v>
      </c>
      <c r="F971" t="s">
        <v>14</v>
      </c>
      <c r="G971" t="s">
        <v>24</v>
      </c>
      <c r="H971" t="s">
        <v>178</v>
      </c>
      <c r="I971">
        <v>1313.49</v>
      </c>
      <c r="J971">
        <v>0</v>
      </c>
      <c r="K971">
        <v>1313.49</v>
      </c>
    </row>
    <row r="972" spans="1:11" x14ac:dyDescent="0.25">
      <c r="A972" t="s">
        <v>1012</v>
      </c>
      <c r="B972" s="1">
        <v>45921.478854166664</v>
      </c>
      <c r="C972" s="2" t="s">
        <v>12</v>
      </c>
      <c r="D972" t="s">
        <v>23</v>
      </c>
      <c r="E972">
        <v>3865</v>
      </c>
      <c r="F972" t="s">
        <v>99</v>
      </c>
      <c r="G972" t="s">
        <v>20</v>
      </c>
      <c r="H972" t="s">
        <v>16</v>
      </c>
      <c r="I972">
        <v>0</v>
      </c>
      <c r="J972">
        <v>0</v>
      </c>
      <c r="K972">
        <v>0</v>
      </c>
    </row>
    <row r="973" spans="1:11" x14ac:dyDescent="0.25">
      <c r="A973" t="s">
        <v>1013</v>
      </c>
      <c r="B973" s="1">
        <v>46066.781458333331</v>
      </c>
      <c r="C973" s="2" t="s">
        <v>32</v>
      </c>
      <c r="D973" t="s">
        <v>23</v>
      </c>
      <c r="E973">
        <v>2416</v>
      </c>
      <c r="F973" t="s">
        <v>14</v>
      </c>
      <c r="G973" t="s">
        <v>15</v>
      </c>
      <c r="H973" t="s">
        <v>16</v>
      </c>
      <c r="I973">
        <v>0</v>
      </c>
      <c r="J973">
        <v>0</v>
      </c>
      <c r="K973">
        <v>0</v>
      </c>
    </row>
    <row r="974" spans="1:11" x14ac:dyDescent="0.25">
      <c r="A974" t="s">
        <v>1014</v>
      </c>
      <c r="B974" s="1">
        <v>46083.201053240744</v>
      </c>
      <c r="C974" s="2" t="s">
        <v>39</v>
      </c>
      <c r="D974" t="s">
        <v>33</v>
      </c>
      <c r="E974">
        <v>4409</v>
      </c>
      <c r="F974" t="s">
        <v>14</v>
      </c>
      <c r="G974" t="s">
        <v>30</v>
      </c>
      <c r="H974" t="s">
        <v>16</v>
      </c>
      <c r="I974">
        <v>0</v>
      </c>
      <c r="J974">
        <v>0</v>
      </c>
      <c r="K974">
        <v>0</v>
      </c>
    </row>
    <row r="975" spans="1:11" x14ac:dyDescent="0.25">
      <c r="A975" t="s">
        <v>1015</v>
      </c>
      <c r="B975" s="1">
        <v>45827.368437500001</v>
      </c>
      <c r="C975" s="2" t="s">
        <v>18</v>
      </c>
      <c r="D975" t="s">
        <v>33</v>
      </c>
      <c r="E975">
        <v>146248</v>
      </c>
      <c r="F975" t="s">
        <v>14</v>
      </c>
      <c r="G975" t="s">
        <v>34</v>
      </c>
      <c r="H975" t="s">
        <v>16</v>
      </c>
      <c r="I975">
        <v>0</v>
      </c>
      <c r="J975">
        <v>0</v>
      </c>
      <c r="K975">
        <v>0</v>
      </c>
    </row>
    <row r="976" spans="1:11" x14ac:dyDescent="0.25">
      <c r="A976" t="s">
        <v>1016</v>
      </c>
      <c r="B976" s="1">
        <v>46065.270868055559</v>
      </c>
      <c r="C976" s="2" t="s">
        <v>41</v>
      </c>
      <c r="D976" t="s">
        <v>23</v>
      </c>
      <c r="E976">
        <v>3222</v>
      </c>
      <c r="F976" t="s">
        <v>14</v>
      </c>
      <c r="G976" t="s">
        <v>58</v>
      </c>
      <c r="H976" t="s">
        <v>16</v>
      </c>
      <c r="I976">
        <v>0</v>
      </c>
      <c r="J976">
        <v>0</v>
      </c>
      <c r="K976">
        <v>0</v>
      </c>
    </row>
    <row r="977" spans="1:11" x14ac:dyDescent="0.25">
      <c r="A977" t="s">
        <v>1017</v>
      </c>
      <c r="B977" s="1">
        <v>46006.506284722222</v>
      </c>
      <c r="C977" s="2" t="s">
        <v>39</v>
      </c>
      <c r="D977" t="s">
        <v>23</v>
      </c>
      <c r="E977">
        <v>3178</v>
      </c>
      <c r="F977" t="s">
        <v>14</v>
      </c>
      <c r="G977" t="s">
        <v>51</v>
      </c>
      <c r="H977" t="s">
        <v>16</v>
      </c>
      <c r="I977">
        <v>0</v>
      </c>
      <c r="J977">
        <v>0</v>
      </c>
      <c r="K977">
        <v>0</v>
      </c>
    </row>
    <row r="978" spans="1:11" x14ac:dyDescent="0.25">
      <c r="A978" t="s">
        <v>1018</v>
      </c>
      <c r="B978" s="1">
        <v>45786.659224537034</v>
      </c>
      <c r="C978" s="2" t="s">
        <v>12</v>
      </c>
      <c r="D978" t="s">
        <v>33</v>
      </c>
      <c r="E978">
        <v>35847</v>
      </c>
      <c r="F978" t="s">
        <v>50</v>
      </c>
      <c r="G978" t="s">
        <v>58</v>
      </c>
      <c r="H978" t="s">
        <v>16</v>
      </c>
      <c r="I978">
        <v>0</v>
      </c>
      <c r="J978">
        <v>0</v>
      </c>
      <c r="K978">
        <v>0</v>
      </c>
    </row>
    <row r="979" spans="1:11" x14ac:dyDescent="0.25">
      <c r="A979" t="s">
        <v>1019</v>
      </c>
      <c r="B979" s="1">
        <v>46003.752118055556</v>
      </c>
      <c r="C979" s="2" t="s">
        <v>22</v>
      </c>
      <c r="D979" t="s">
        <v>45</v>
      </c>
      <c r="E979">
        <v>144031</v>
      </c>
      <c r="F979" t="s">
        <v>50</v>
      </c>
      <c r="G979" t="s">
        <v>30</v>
      </c>
      <c r="H979" t="s">
        <v>46</v>
      </c>
      <c r="I979">
        <v>1440.31</v>
      </c>
      <c r="J979">
        <v>0</v>
      </c>
      <c r="K979">
        <v>1440.31</v>
      </c>
    </row>
    <row r="980" spans="1:11" x14ac:dyDescent="0.25">
      <c r="A980" t="s">
        <v>1020</v>
      </c>
      <c r="B980" s="1">
        <v>45965.100277777776</v>
      </c>
      <c r="C980" s="2" t="s">
        <v>39</v>
      </c>
      <c r="D980" t="s">
        <v>45</v>
      </c>
      <c r="E980">
        <v>48127</v>
      </c>
      <c r="F980" t="s">
        <v>14</v>
      </c>
      <c r="G980" t="s">
        <v>58</v>
      </c>
      <c r="H980" t="s">
        <v>56</v>
      </c>
      <c r="I980">
        <v>481.27</v>
      </c>
      <c r="J980">
        <v>0</v>
      </c>
      <c r="K980">
        <v>481.27</v>
      </c>
    </row>
    <row r="981" spans="1:11" x14ac:dyDescent="0.25">
      <c r="A981" t="s">
        <v>1021</v>
      </c>
      <c r="B981" s="1">
        <v>46118.154502314814</v>
      </c>
      <c r="C981" s="2" t="s">
        <v>22</v>
      </c>
      <c r="D981" t="s">
        <v>19</v>
      </c>
      <c r="E981">
        <v>146299</v>
      </c>
      <c r="F981" t="s">
        <v>14</v>
      </c>
      <c r="G981" t="s">
        <v>20</v>
      </c>
      <c r="H981" t="s">
        <v>16</v>
      </c>
      <c r="I981">
        <v>5</v>
      </c>
      <c r="J981">
        <v>0</v>
      </c>
      <c r="K981">
        <v>5</v>
      </c>
    </row>
    <row r="982" spans="1:11" x14ac:dyDescent="0.25">
      <c r="A982" t="s">
        <v>1022</v>
      </c>
      <c r="B982" s="1">
        <v>45893.618576388886</v>
      </c>
      <c r="C982" s="2" t="s">
        <v>22</v>
      </c>
      <c r="D982" t="s">
        <v>19</v>
      </c>
      <c r="E982">
        <v>78432</v>
      </c>
      <c r="F982" t="s">
        <v>99</v>
      </c>
      <c r="G982" t="s">
        <v>34</v>
      </c>
      <c r="H982" t="s">
        <v>16</v>
      </c>
      <c r="I982">
        <v>5</v>
      </c>
      <c r="J982">
        <v>0</v>
      </c>
      <c r="K982">
        <v>5</v>
      </c>
    </row>
    <row r="983" spans="1:11" x14ac:dyDescent="0.25">
      <c r="A983" t="s">
        <v>1023</v>
      </c>
      <c r="B983" s="1">
        <v>45833.029224537036</v>
      </c>
      <c r="C983" s="2" t="s">
        <v>29</v>
      </c>
      <c r="D983" t="s">
        <v>13</v>
      </c>
      <c r="E983">
        <v>15000</v>
      </c>
      <c r="F983" t="s">
        <v>99</v>
      </c>
      <c r="G983" t="s">
        <v>51</v>
      </c>
      <c r="H983" t="s">
        <v>16</v>
      </c>
      <c r="I983">
        <v>277.5</v>
      </c>
      <c r="J983">
        <v>111</v>
      </c>
      <c r="K983">
        <v>166.5</v>
      </c>
    </row>
    <row r="984" spans="1:11" x14ac:dyDescent="0.25">
      <c r="A984" t="s">
        <v>1024</v>
      </c>
      <c r="B984" s="1">
        <v>46087.095578703702</v>
      </c>
      <c r="C984" s="2" t="s">
        <v>18</v>
      </c>
      <c r="D984" t="s">
        <v>19</v>
      </c>
      <c r="E984">
        <v>33360</v>
      </c>
      <c r="F984" t="s">
        <v>14</v>
      </c>
      <c r="G984" t="s">
        <v>84</v>
      </c>
      <c r="H984" t="s">
        <v>16</v>
      </c>
      <c r="I984">
        <v>5</v>
      </c>
      <c r="J984">
        <v>0</v>
      </c>
      <c r="K984">
        <v>5</v>
      </c>
    </row>
    <row r="985" spans="1:11" x14ac:dyDescent="0.25">
      <c r="A985" t="s">
        <v>1025</v>
      </c>
      <c r="B985" s="1">
        <v>45802.764884259261</v>
      </c>
      <c r="C985" s="2" t="s">
        <v>41</v>
      </c>
      <c r="D985" t="s">
        <v>23</v>
      </c>
      <c r="E985">
        <v>2087</v>
      </c>
      <c r="F985" t="s">
        <v>14</v>
      </c>
      <c r="G985" t="s">
        <v>24</v>
      </c>
      <c r="H985" t="s">
        <v>16</v>
      </c>
      <c r="I985">
        <v>0</v>
      </c>
      <c r="J985">
        <v>0</v>
      </c>
      <c r="K985">
        <v>0</v>
      </c>
    </row>
    <row r="986" spans="1:11" x14ac:dyDescent="0.25">
      <c r="A986" t="s">
        <v>1026</v>
      </c>
      <c r="B986" s="1">
        <v>45884.368437500001</v>
      </c>
      <c r="C986" s="2" t="s">
        <v>12</v>
      </c>
      <c r="D986" t="s">
        <v>33</v>
      </c>
      <c r="E986">
        <v>80422</v>
      </c>
      <c r="F986" t="s">
        <v>99</v>
      </c>
      <c r="G986" t="s">
        <v>58</v>
      </c>
      <c r="H986" t="s">
        <v>16</v>
      </c>
      <c r="I986">
        <v>0</v>
      </c>
      <c r="J986">
        <v>0</v>
      </c>
      <c r="K986">
        <v>0</v>
      </c>
    </row>
    <row r="987" spans="1:11" x14ac:dyDescent="0.25">
      <c r="A987" t="s">
        <v>1027</v>
      </c>
      <c r="B987" s="1">
        <v>45976.072384259256</v>
      </c>
      <c r="C987" s="2" t="s">
        <v>26</v>
      </c>
      <c r="D987" t="s">
        <v>23</v>
      </c>
      <c r="E987">
        <v>1232</v>
      </c>
      <c r="F987" t="s">
        <v>14</v>
      </c>
      <c r="G987" t="s">
        <v>30</v>
      </c>
      <c r="H987" t="s">
        <v>16</v>
      </c>
      <c r="I987">
        <v>0</v>
      </c>
      <c r="J987">
        <v>0</v>
      </c>
      <c r="K987">
        <v>0</v>
      </c>
    </row>
    <row r="988" spans="1:11" x14ac:dyDescent="0.25">
      <c r="A988" t="s">
        <v>1028</v>
      </c>
      <c r="B988" s="1">
        <v>45871.360625000001</v>
      </c>
      <c r="C988" s="2" t="s">
        <v>41</v>
      </c>
      <c r="D988" t="s">
        <v>23</v>
      </c>
      <c r="E988">
        <v>1470</v>
      </c>
      <c r="F988" t="s">
        <v>14</v>
      </c>
      <c r="G988" t="s">
        <v>58</v>
      </c>
      <c r="H988" t="s">
        <v>16</v>
      </c>
      <c r="I988">
        <v>0</v>
      </c>
      <c r="J988">
        <v>0</v>
      </c>
      <c r="K988">
        <v>0</v>
      </c>
    </row>
    <row r="989" spans="1:11" x14ac:dyDescent="0.25">
      <c r="A989" t="s">
        <v>1029</v>
      </c>
      <c r="B989" s="1">
        <v>45876.635555555556</v>
      </c>
      <c r="C989" s="2" t="s">
        <v>12</v>
      </c>
      <c r="D989" t="s">
        <v>33</v>
      </c>
      <c r="E989">
        <v>39422</v>
      </c>
      <c r="F989" t="s">
        <v>99</v>
      </c>
      <c r="G989" t="s">
        <v>27</v>
      </c>
      <c r="H989" t="s">
        <v>16</v>
      </c>
      <c r="I989">
        <v>0</v>
      </c>
      <c r="J989">
        <v>0</v>
      </c>
      <c r="K989">
        <v>0</v>
      </c>
    </row>
    <row r="990" spans="1:11" x14ac:dyDescent="0.25">
      <c r="A990" t="s">
        <v>1030</v>
      </c>
      <c r="B990" s="1">
        <v>45978.460150462961</v>
      </c>
      <c r="C990" s="2" t="s">
        <v>29</v>
      </c>
      <c r="D990" t="s">
        <v>19</v>
      </c>
      <c r="E990">
        <v>94935</v>
      </c>
      <c r="F990" t="s">
        <v>14</v>
      </c>
      <c r="G990" t="s">
        <v>58</v>
      </c>
      <c r="H990" t="s">
        <v>16</v>
      </c>
      <c r="I990">
        <v>5</v>
      </c>
      <c r="J990">
        <v>0</v>
      </c>
      <c r="K990">
        <v>5</v>
      </c>
    </row>
    <row r="991" spans="1:11" x14ac:dyDescent="0.25">
      <c r="A991" t="s">
        <v>1031</v>
      </c>
      <c r="B991" s="1">
        <v>46090.243819444448</v>
      </c>
      <c r="C991" s="2" t="s">
        <v>12</v>
      </c>
      <c r="D991" t="s">
        <v>19</v>
      </c>
      <c r="E991">
        <v>55219</v>
      </c>
      <c r="F991" t="s">
        <v>14</v>
      </c>
      <c r="G991" t="s">
        <v>84</v>
      </c>
      <c r="H991" t="s">
        <v>16</v>
      </c>
      <c r="I991">
        <v>5</v>
      </c>
      <c r="J991">
        <v>0</v>
      </c>
      <c r="K991">
        <v>5</v>
      </c>
    </row>
    <row r="992" spans="1:11" x14ac:dyDescent="0.25">
      <c r="A992" t="s">
        <v>1032</v>
      </c>
      <c r="B992" s="1">
        <v>46129.912581018521</v>
      </c>
      <c r="C992" s="2" t="s">
        <v>32</v>
      </c>
      <c r="D992" t="s">
        <v>19</v>
      </c>
      <c r="E992">
        <v>148972</v>
      </c>
      <c r="F992" t="s">
        <v>14</v>
      </c>
      <c r="G992" t="s">
        <v>24</v>
      </c>
      <c r="H992" t="s">
        <v>16</v>
      </c>
      <c r="I992">
        <v>5</v>
      </c>
      <c r="J992">
        <v>0</v>
      </c>
      <c r="K992">
        <v>5</v>
      </c>
    </row>
    <row r="993" spans="1:11" x14ac:dyDescent="0.25">
      <c r="A993" t="s">
        <v>1033</v>
      </c>
      <c r="B993" s="1">
        <v>45952.307638888888</v>
      </c>
      <c r="C993" s="2" t="s">
        <v>39</v>
      </c>
      <c r="D993" t="s">
        <v>33</v>
      </c>
      <c r="E993">
        <v>48008</v>
      </c>
      <c r="F993" t="s">
        <v>14</v>
      </c>
      <c r="G993" t="s">
        <v>34</v>
      </c>
      <c r="H993" t="s">
        <v>16</v>
      </c>
      <c r="I993">
        <v>0</v>
      </c>
      <c r="J993">
        <v>0</v>
      </c>
      <c r="K993">
        <v>0</v>
      </c>
    </row>
    <row r="994" spans="1:11" x14ac:dyDescent="0.25">
      <c r="A994" t="s">
        <v>1034</v>
      </c>
      <c r="B994" s="1">
        <v>45875.647407407407</v>
      </c>
      <c r="C994" s="2" t="s">
        <v>26</v>
      </c>
      <c r="D994" t="s">
        <v>45</v>
      </c>
      <c r="E994">
        <v>91883</v>
      </c>
      <c r="F994" t="s">
        <v>14</v>
      </c>
      <c r="G994" t="s">
        <v>58</v>
      </c>
      <c r="H994" t="s">
        <v>56</v>
      </c>
      <c r="I994">
        <v>918.83</v>
      </c>
      <c r="J994">
        <v>0</v>
      </c>
      <c r="K994">
        <v>918.83</v>
      </c>
    </row>
    <row r="995" spans="1:11" x14ac:dyDescent="0.25">
      <c r="A995" t="s">
        <v>1035</v>
      </c>
      <c r="B995" s="1">
        <v>46010.372361111113</v>
      </c>
      <c r="C995" s="2" t="s">
        <v>39</v>
      </c>
      <c r="D995" t="s">
        <v>23</v>
      </c>
      <c r="E995">
        <v>1175</v>
      </c>
      <c r="F995" t="s">
        <v>14</v>
      </c>
      <c r="G995" t="s">
        <v>30</v>
      </c>
      <c r="H995" t="s">
        <v>16</v>
      </c>
      <c r="I995">
        <v>0</v>
      </c>
      <c r="J995">
        <v>0</v>
      </c>
      <c r="K995">
        <v>0</v>
      </c>
    </row>
    <row r="996" spans="1:11" x14ac:dyDescent="0.25">
      <c r="A996" t="s">
        <v>1036</v>
      </c>
      <c r="B996" s="1">
        <v>46131.728506944448</v>
      </c>
      <c r="C996" s="2" t="s">
        <v>22</v>
      </c>
      <c r="D996" t="s">
        <v>19</v>
      </c>
      <c r="E996">
        <v>34626</v>
      </c>
      <c r="F996" t="s">
        <v>14</v>
      </c>
      <c r="G996" t="s">
        <v>84</v>
      </c>
      <c r="H996" t="s">
        <v>16</v>
      </c>
      <c r="I996">
        <v>5</v>
      </c>
      <c r="J996">
        <v>0</v>
      </c>
      <c r="K996">
        <v>5</v>
      </c>
    </row>
    <row r="997" spans="1:11" x14ac:dyDescent="0.25">
      <c r="A997" t="s">
        <v>1037</v>
      </c>
      <c r="B997" s="1">
        <v>45821.585532407407</v>
      </c>
      <c r="C997" s="2" t="s">
        <v>32</v>
      </c>
      <c r="D997" t="s">
        <v>13</v>
      </c>
      <c r="E997">
        <v>159000</v>
      </c>
      <c r="F997" t="s">
        <v>14</v>
      </c>
      <c r="G997" t="s">
        <v>20</v>
      </c>
      <c r="H997" t="s">
        <v>16</v>
      </c>
      <c r="I997">
        <v>2941.5</v>
      </c>
      <c r="J997">
        <v>1176.5999999999999</v>
      </c>
      <c r="K997">
        <v>1764.9</v>
      </c>
    </row>
    <row r="998" spans="1:11" x14ac:dyDescent="0.25">
      <c r="A998" t="s">
        <v>1038</v>
      </c>
      <c r="B998" s="1">
        <v>45944.715381944443</v>
      </c>
      <c r="C998" s="2" t="s">
        <v>18</v>
      </c>
      <c r="D998" t="s">
        <v>19</v>
      </c>
      <c r="E998">
        <v>129223</v>
      </c>
      <c r="F998" t="s">
        <v>14</v>
      </c>
      <c r="G998" t="s">
        <v>24</v>
      </c>
      <c r="H998" t="s">
        <v>16</v>
      </c>
      <c r="I998">
        <v>5</v>
      </c>
      <c r="J998">
        <v>0</v>
      </c>
      <c r="K998">
        <v>5</v>
      </c>
    </row>
    <row r="999" spans="1:11" x14ac:dyDescent="0.25">
      <c r="A999" t="s">
        <v>1039</v>
      </c>
      <c r="B999" s="1">
        <v>46135.275682870371</v>
      </c>
      <c r="C999" s="2" t="s">
        <v>41</v>
      </c>
      <c r="D999" t="s">
        <v>23</v>
      </c>
      <c r="E999">
        <v>82</v>
      </c>
      <c r="F999" t="s">
        <v>50</v>
      </c>
      <c r="G999" t="s">
        <v>15</v>
      </c>
      <c r="H999" t="s">
        <v>16</v>
      </c>
      <c r="I999">
        <v>0</v>
      </c>
      <c r="J999">
        <v>0</v>
      </c>
      <c r="K999">
        <v>0</v>
      </c>
    </row>
    <row r="1000" spans="1:11" x14ac:dyDescent="0.25">
      <c r="A1000" t="s">
        <v>1040</v>
      </c>
      <c r="B1000" s="1">
        <v>46047.016863425924</v>
      </c>
      <c r="C1000" s="2" t="s">
        <v>29</v>
      </c>
      <c r="D1000" t="s">
        <v>33</v>
      </c>
      <c r="E1000">
        <v>118282</v>
      </c>
      <c r="F1000" t="s">
        <v>14</v>
      </c>
      <c r="G1000" t="s">
        <v>15</v>
      </c>
      <c r="H1000" t="s">
        <v>16</v>
      </c>
      <c r="I1000">
        <v>0</v>
      </c>
      <c r="J1000">
        <v>0</v>
      </c>
      <c r="K1000">
        <v>0</v>
      </c>
    </row>
    <row r="1001" spans="1:11" x14ac:dyDescent="0.25">
      <c r="A1001" t="s">
        <v>1041</v>
      </c>
      <c r="B1001" s="1">
        <v>45778.234236111108</v>
      </c>
      <c r="C1001" s="2" t="s">
        <v>22</v>
      </c>
      <c r="D1001" t="s">
        <v>23</v>
      </c>
      <c r="E1001">
        <v>3948</v>
      </c>
      <c r="F1001" t="s">
        <v>14</v>
      </c>
      <c r="G1001" t="s">
        <v>30</v>
      </c>
      <c r="H1001" t="s">
        <v>16</v>
      </c>
      <c r="I1001">
        <v>0</v>
      </c>
      <c r="J1001">
        <v>0</v>
      </c>
      <c r="K1001">
        <v>0</v>
      </c>
    </row>
    <row r="1002" spans="1:11" x14ac:dyDescent="0.25">
      <c r="A1002" t="s">
        <v>1042</v>
      </c>
      <c r="B1002" s="1">
        <v>46130.770092592589</v>
      </c>
      <c r="C1002" s="2" t="s">
        <v>41</v>
      </c>
      <c r="D1002" t="s">
        <v>13</v>
      </c>
      <c r="E1002">
        <v>97000</v>
      </c>
      <c r="F1002" t="s">
        <v>14</v>
      </c>
      <c r="G1002" t="s">
        <v>58</v>
      </c>
      <c r="H1002" t="s">
        <v>16</v>
      </c>
      <c r="I1002">
        <v>1794.5</v>
      </c>
      <c r="J1002">
        <v>717.8</v>
      </c>
      <c r="K1002">
        <v>1076.7</v>
      </c>
    </row>
    <row r="1003" spans="1:11" x14ac:dyDescent="0.25">
      <c r="A1003" t="s">
        <v>1043</v>
      </c>
      <c r="B1003" s="1">
        <v>46122.697256944448</v>
      </c>
      <c r="C1003" s="2" t="s">
        <v>22</v>
      </c>
      <c r="D1003" t="s">
        <v>33</v>
      </c>
      <c r="E1003">
        <v>31220</v>
      </c>
      <c r="F1003" t="s">
        <v>99</v>
      </c>
      <c r="G1003" t="s">
        <v>58</v>
      </c>
      <c r="H1003" t="s">
        <v>16</v>
      </c>
      <c r="I1003">
        <v>0</v>
      </c>
      <c r="J1003">
        <v>0</v>
      </c>
      <c r="K1003">
        <v>0</v>
      </c>
    </row>
    <row r="1004" spans="1:11" x14ac:dyDescent="0.25">
      <c r="A1004" t="s">
        <v>1044</v>
      </c>
      <c r="B1004" s="1">
        <v>45907.269618055558</v>
      </c>
      <c r="C1004" s="2" t="s">
        <v>41</v>
      </c>
      <c r="D1004" t="s">
        <v>19</v>
      </c>
      <c r="E1004">
        <v>115690</v>
      </c>
      <c r="F1004" t="s">
        <v>14</v>
      </c>
      <c r="G1004" t="s">
        <v>27</v>
      </c>
      <c r="H1004" t="s">
        <v>16</v>
      </c>
      <c r="I1004">
        <v>5</v>
      </c>
      <c r="J1004">
        <v>0</v>
      </c>
      <c r="K1004">
        <v>5</v>
      </c>
    </row>
    <row r="1005" spans="1:11" x14ac:dyDescent="0.25">
      <c r="A1005" t="s">
        <v>1045</v>
      </c>
      <c r="B1005" s="1">
        <v>45858.883414351854</v>
      </c>
      <c r="C1005" s="2" t="s">
        <v>12</v>
      </c>
      <c r="D1005" t="s">
        <v>19</v>
      </c>
      <c r="E1005">
        <v>87514</v>
      </c>
      <c r="F1005" t="s">
        <v>14</v>
      </c>
      <c r="G1005" t="s">
        <v>27</v>
      </c>
      <c r="H1005" t="s">
        <v>16</v>
      </c>
      <c r="I1005">
        <v>5</v>
      </c>
      <c r="J1005">
        <v>0</v>
      </c>
      <c r="K1005">
        <v>5</v>
      </c>
    </row>
    <row r="1006" spans="1:11" x14ac:dyDescent="0.25">
      <c r="A1006" t="s">
        <v>1046</v>
      </c>
      <c r="B1006" s="1">
        <v>46132.587800925925</v>
      </c>
      <c r="C1006" s="2" t="s">
        <v>26</v>
      </c>
      <c r="D1006" t="s">
        <v>19</v>
      </c>
      <c r="E1006">
        <v>77690</v>
      </c>
      <c r="F1006" t="s">
        <v>50</v>
      </c>
      <c r="G1006" t="s">
        <v>34</v>
      </c>
      <c r="H1006" t="s">
        <v>16</v>
      </c>
      <c r="I1006">
        <v>5</v>
      </c>
      <c r="J1006">
        <v>0</v>
      </c>
      <c r="K1006">
        <v>5</v>
      </c>
    </row>
    <row r="1007" spans="1:11" x14ac:dyDescent="0.25">
      <c r="A1007" t="s">
        <v>1047</v>
      </c>
      <c r="B1007" s="1">
        <v>45832.371504629627</v>
      </c>
      <c r="C1007" s="2" t="s">
        <v>41</v>
      </c>
      <c r="D1007" t="s">
        <v>23</v>
      </c>
      <c r="E1007">
        <v>4480</v>
      </c>
      <c r="F1007" t="s">
        <v>99</v>
      </c>
      <c r="G1007" t="s">
        <v>27</v>
      </c>
      <c r="H1007" t="s">
        <v>16</v>
      </c>
      <c r="I1007">
        <v>0</v>
      </c>
      <c r="J1007">
        <v>0</v>
      </c>
      <c r="K1007">
        <v>0</v>
      </c>
    </row>
    <row r="1008" spans="1:11" x14ac:dyDescent="0.25">
      <c r="A1008" t="s">
        <v>1048</v>
      </c>
      <c r="B1008" s="1">
        <v>45779.021006944444</v>
      </c>
      <c r="C1008" s="2" t="s">
        <v>12</v>
      </c>
      <c r="D1008" t="s">
        <v>33</v>
      </c>
      <c r="E1008">
        <v>50497</v>
      </c>
      <c r="F1008" t="s">
        <v>14</v>
      </c>
      <c r="G1008" t="s">
        <v>30</v>
      </c>
      <c r="H1008" t="s">
        <v>16</v>
      </c>
      <c r="I1008">
        <v>0</v>
      </c>
      <c r="J1008">
        <v>0</v>
      </c>
      <c r="K1008">
        <v>0</v>
      </c>
    </row>
    <row r="1009" spans="1:11" x14ac:dyDescent="0.25">
      <c r="A1009" t="s">
        <v>1049</v>
      </c>
      <c r="B1009" s="1">
        <v>45790.53565972222</v>
      </c>
      <c r="C1009" s="2" t="s">
        <v>26</v>
      </c>
      <c r="D1009" t="s">
        <v>33</v>
      </c>
      <c r="E1009">
        <v>129443</v>
      </c>
      <c r="F1009" t="s">
        <v>14</v>
      </c>
      <c r="G1009" t="s">
        <v>34</v>
      </c>
      <c r="H1009" t="s">
        <v>16</v>
      </c>
      <c r="I1009">
        <v>0</v>
      </c>
      <c r="J1009">
        <v>0</v>
      </c>
      <c r="K1009">
        <v>0</v>
      </c>
    </row>
    <row r="1010" spans="1:11" x14ac:dyDescent="0.25">
      <c r="A1010" t="s">
        <v>1050</v>
      </c>
      <c r="B1010" s="1">
        <v>46127.23810185185</v>
      </c>
      <c r="C1010" s="2" t="s">
        <v>18</v>
      </c>
      <c r="D1010" t="s">
        <v>45</v>
      </c>
      <c r="E1010">
        <v>69860</v>
      </c>
      <c r="F1010" t="s">
        <v>99</v>
      </c>
      <c r="G1010" t="s">
        <v>15</v>
      </c>
      <c r="H1010" t="s">
        <v>178</v>
      </c>
      <c r="I1010">
        <v>698.6</v>
      </c>
      <c r="J1010">
        <v>0</v>
      </c>
      <c r="K1010">
        <v>698.6</v>
      </c>
    </row>
    <row r="1011" spans="1:11" x14ac:dyDescent="0.25">
      <c r="A1011" t="s">
        <v>1051</v>
      </c>
      <c r="B1011" s="1">
        <v>46026.186226851853</v>
      </c>
      <c r="C1011" s="2" t="s">
        <v>39</v>
      </c>
      <c r="D1011" t="s">
        <v>19</v>
      </c>
      <c r="E1011">
        <v>59434</v>
      </c>
      <c r="F1011" t="s">
        <v>50</v>
      </c>
      <c r="G1011" t="s">
        <v>84</v>
      </c>
      <c r="H1011" t="s">
        <v>16</v>
      </c>
      <c r="I1011">
        <v>5</v>
      </c>
      <c r="J1011">
        <v>0</v>
      </c>
      <c r="K1011">
        <v>5</v>
      </c>
    </row>
    <row r="1012" spans="1:11" x14ac:dyDescent="0.25">
      <c r="A1012" t="s">
        <v>1052</v>
      </c>
      <c r="B1012" s="1">
        <v>46075.680925925924</v>
      </c>
      <c r="C1012" s="2" t="s">
        <v>29</v>
      </c>
      <c r="D1012" t="s">
        <v>13</v>
      </c>
      <c r="E1012">
        <v>46500</v>
      </c>
      <c r="F1012" t="s">
        <v>14</v>
      </c>
      <c r="G1012" t="s">
        <v>34</v>
      </c>
      <c r="H1012" t="s">
        <v>16</v>
      </c>
      <c r="I1012">
        <v>860.25</v>
      </c>
      <c r="J1012">
        <v>344.1</v>
      </c>
      <c r="K1012">
        <v>516.15</v>
      </c>
    </row>
    <row r="1013" spans="1:11" x14ac:dyDescent="0.25">
      <c r="A1013" t="s">
        <v>1053</v>
      </c>
      <c r="B1013" s="1">
        <v>45827.343263888892</v>
      </c>
      <c r="C1013" s="2" t="s">
        <v>26</v>
      </c>
      <c r="D1013" t="s">
        <v>19</v>
      </c>
      <c r="E1013">
        <v>67963</v>
      </c>
      <c r="F1013" t="s">
        <v>14</v>
      </c>
      <c r="G1013" t="s">
        <v>58</v>
      </c>
      <c r="H1013" t="s">
        <v>16</v>
      </c>
      <c r="I1013">
        <v>5</v>
      </c>
      <c r="J1013">
        <v>0</v>
      </c>
      <c r="K1013">
        <v>5</v>
      </c>
    </row>
    <row r="1014" spans="1:11" x14ac:dyDescent="0.25">
      <c r="A1014" t="s">
        <v>1054</v>
      </c>
      <c r="B1014" s="1">
        <v>46060.515868055554</v>
      </c>
      <c r="C1014" s="2" t="s">
        <v>22</v>
      </c>
      <c r="D1014" t="s">
        <v>13</v>
      </c>
      <c r="E1014">
        <v>193500</v>
      </c>
      <c r="F1014" t="s">
        <v>14</v>
      </c>
      <c r="G1014" t="s">
        <v>27</v>
      </c>
      <c r="H1014" t="s">
        <v>16</v>
      </c>
      <c r="I1014">
        <v>3579.75</v>
      </c>
      <c r="J1014">
        <v>1431.9</v>
      </c>
      <c r="K1014">
        <v>2147.85</v>
      </c>
    </row>
    <row r="1015" spans="1:11" x14ac:dyDescent="0.25">
      <c r="A1015" t="s">
        <v>1055</v>
      </c>
      <c r="B1015" s="1">
        <v>46101.137349537035</v>
      </c>
      <c r="C1015" s="2" t="s">
        <v>18</v>
      </c>
      <c r="D1015" t="s">
        <v>19</v>
      </c>
      <c r="E1015">
        <v>29701</v>
      </c>
      <c r="F1015" t="s">
        <v>14</v>
      </c>
      <c r="G1015" t="s">
        <v>20</v>
      </c>
      <c r="H1015" t="s">
        <v>16</v>
      </c>
      <c r="I1015">
        <v>5</v>
      </c>
      <c r="J1015">
        <v>0</v>
      </c>
      <c r="K1015">
        <v>5</v>
      </c>
    </row>
    <row r="1016" spans="1:11" x14ac:dyDescent="0.25">
      <c r="A1016" t="s">
        <v>1056</v>
      </c>
      <c r="B1016" s="1">
        <v>46033.044479166667</v>
      </c>
      <c r="C1016" s="2" t="s">
        <v>41</v>
      </c>
      <c r="D1016" t="s">
        <v>45</v>
      </c>
      <c r="E1016">
        <v>93528</v>
      </c>
      <c r="F1016" t="s">
        <v>99</v>
      </c>
      <c r="G1016" t="s">
        <v>84</v>
      </c>
      <c r="H1016" t="s">
        <v>59</v>
      </c>
      <c r="I1016">
        <v>935.28</v>
      </c>
      <c r="J1016">
        <v>0</v>
      </c>
      <c r="K1016">
        <v>935.28</v>
      </c>
    </row>
    <row r="1017" spans="1:11" x14ac:dyDescent="0.25">
      <c r="A1017" t="s">
        <v>1057</v>
      </c>
      <c r="B1017" s="1">
        <v>46133.485636574071</v>
      </c>
      <c r="C1017" s="2" t="s">
        <v>39</v>
      </c>
      <c r="D1017" t="s">
        <v>45</v>
      </c>
      <c r="E1017">
        <v>21405</v>
      </c>
      <c r="F1017" t="s">
        <v>14</v>
      </c>
      <c r="G1017" t="s">
        <v>34</v>
      </c>
      <c r="H1017" t="s">
        <v>71</v>
      </c>
      <c r="I1017">
        <v>214.05</v>
      </c>
      <c r="J1017">
        <v>0</v>
      </c>
      <c r="K1017">
        <v>214.05</v>
      </c>
    </row>
    <row r="1018" spans="1:11" x14ac:dyDescent="0.25">
      <c r="A1018" t="s">
        <v>1058</v>
      </c>
      <c r="B1018" s="1">
        <v>46047.60087962963</v>
      </c>
      <c r="C1018" s="2" t="s">
        <v>22</v>
      </c>
      <c r="D1018" t="s">
        <v>13</v>
      </c>
      <c r="E1018">
        <v>139500</v>
      </c>
      <c r="F1018" t="s">
        <v>14</v>
      </c>
      <c r="G1018" t="s">
        <v>84</v>
      </c>
      <c r="H1018" t="s">
        <v>16</v>
      </c>
      <c r="I1018">
        <v>2580.75</v>
      </c>
      <c r="J1018">
        <v>1032.3</v>
      </c>
      <c r="K1018">
        <v>1548.45</v>
      </c>
    </row>
    <row r="1019" spans="1:11" x14ac:dyDescent="0.25">
      <c r="A1019" t="s">
        <v>1059</v>
      </c>
      <c r="B1019" s="1">
        <v>45985.824432870373</v>
      </c>
      <c r="C1019" s="2" t="s">
        <v>12</v>
      </c>
      <c r="D1019" t="s">
        <v>23</v>
      </c>
      <c r="E1019">
        <v>2734</v>
      </c>
      <c r="F1019" t="s">
        <v>14</v>
      </c>
      <c r="G1019" t="s">
        <v>58</v>
      </c>
      <c r="H1019" t="s">
        <v>16</v>
      </c>
      <c r="I1019">
        <v>0</v>
      </c>
      <c r="J1019">
        <v>0</v>
      </c>
      <c r="K1019">
        <v>0</v>
      </c>
    </row>
    <row r="1020" spans="1:11" x14ac:dyDescent="0.25">
      <c r="A1020" t="s">
        <v>1060</v>
      </c>
      <c r="B1020" s="1">
        <v>46127.474085648151</v>
      </c>
      <c r="C1020" s="2" t="s">
        <v>39</v>
      </c>
      <c r="D1020" t="s">
        <v>19</v>
      </c>
      <c r="E1020">
        <v>65157</v>
      </c>
      <c r="F1020" t="s">
        <v>14</v>
      </c>
      <c r="G1020" t="s">
        <v>84</v>
      </c>
      <c r="H1020" t="s">
        <v>16</v>
      </c>
      <c r="I1020">
        <v>5</v>
      </c>
      <c r="J1020">
        <v>0</v>
      </c>
      <c r="K1020">
        <v>5</v>
      </c>
    </row>
    <row r="1021" spans="1:11" x14ac:dyDescent="0.25">
      <c r="A1021" t="s">
        <v>1061</v>
      </c>
      <c r="B1021" s="1">
        <v>45830.040902777779</v>
      </c>
      <c r="C1021" s="2" t="s">
        <v>32</v>
      </c>
      <c r="D1021" t="s">
        <v>13</v>
      </c>
      <c r="E1021">
        <v>9000</v>
      </c>
      <c r="F1021" t="s">
        <v>14</v>
      </c>
      <c r="G1021" t="s">
        <v>27</v>
      </c>
      <c r="H1021" t="s">
        <v>16</v>
      </c>
      <c r="I1021">
        <v>166.5</v>
      </c>
      <c r="J1021">
        <v>66.599999999999994</v>
      </c>
      <c r="K1021">
        <v>99.9</v>
      </c>
    </row>
    <row r="1022" spans="1:11" x14ac:dyDescent="0.25">
      <c r="A1022" t="s">
        <v>1062</v>
      </c>
      <c r="B1022" s="1">
        <v>45962.945196759261</v>
      </c>
      <c r="C1022" s="2" t="s">
        <v>18</v>
      </c>
      <c r="D1022" t="s">
        <v>23</v>
      </c>
      <c r="E1022">
        <v>295</v>
      </c>
      <c r="F1022" t="s">
        <v>99</v>
      </c>
      <c r="G1022" t="s">
        <v>15</v>
      </c>
      <c r="H1022" t="s">
        <v>16</v>
      </c>
      <c r="I1022">
        <v>0</v>
      </c>
      <c r="J1022">
        <v>0</v>
      </c>
      <c r="K1022">
        <v>0</v>
      </c>
    </row>
    <row r="1023" spans="1:11" x14ac:dyDescent="0.25">
      <c r="A1023" t="s">
        <v>1063</v>
      </c>
      <c r="B1023" s="1">
        <v>46022.220046296294</v>
      </c>
      <c r="C1023" s="2" t="s">
        <v>41</v>
      </c>
      <c r="D1023" t="s">
        <v>45</v>
      </c>
      <c r="E1023">
        <v>51510</v>
      </c>
      <c r="F1023" t="s">
        <v>14</v>
      </c>
      <c r="G1023" t="s">
        <v>27</v>
      </c>
      <c r="H1023" t="s">
        <v>59</v>
      </c>
      <c r="I1023">
        <v>515.1</v>
      </c>
      <c r="J1023">
        <v>0</v>
      </c>
      <c r="K1023">
        <v>515.1</v>
      </c>
    </row>
    <row r="1024" spans="1:11" x14ac:dyDescent="0.25">
      <c r="A1024" t="s">
        <v>1064</v>
      </c>
      <c r="B1024" s="1">
        <v>45964.277245370373</v>
      </c>
      <c r="C1024" s="2" t="s">
        <v>26</v>
      </c>
      <c r="D1024" t="s">
        <v>45</v>
      </c>
      <c r="E1024">
        <v>132971</v>
      </c>
      <c r="F1024" t="s">
        <v>14</v>
      </c>
      <c r="G1024" t="s">
        <v>34</v>
      </c>
      <c r="H1024" t="s">
        <v>71</v>
      </c>
      <c r="I1024">
        <v>1329.71</v>
      </c>
      <c r="J1024">
        <v>0</v>
      </c>
      <c r="K1024">
        <v>1329.71</v>
      </c>
    </row>
    <row r="1025" spans="1:11" x14ac:dyDescent="0.25">
      <c r="A1025" t="s">
        <v>1065</v>
      </c>
      <c r="B1025" s="1">
        <v>45907.211273148147</v>
      </c>
      <c r="C1025" s="2" t="s">
        <v>12</v>
      </c>
      <c r="D1025" t="s">
        <v>33</v>
      </c>
      <c r="E1025">
        <v>129734</v>
      </c>
      <c r="F1025" t="s">
        <v>14</v>
      </c>
      <c r="G1025" t="s">
        <v>24</v>
      </c>
      <c r="H1025" t="s">
        <v>16</v>
      </c>
      <c r="I1025">
        <v>0</v>
      </c>
      <c r="J1025">
        <v>0</v>
      </c>
      <c r="K1025">
        <v>0</v>
      </c>
    </row>
    <row r="1026" spans="1:11" x14ac:dyDescent="0.25">
      <c r="A1026" t="s">
        <v>1066</v>
      </c>
      <c r="B1026" s="1">
        <v>45842.741770833331</v>
      </c>
      <c r="C1026" s="2" t="s">
        <v>41</v>
      </c>
      <c r="D1026" t="s">
        <v>19</v>
      </c>
      <c r="E1026">
        <v>103261</v>
      </c>
      <c r="F1026" t="s">
        <v>14</v>
      </c>
      <c r="G1026" t="s">
        <v>15</v>
      </c>
      <c r="H1026" t="s">
        <v>16</v>
      </c>
      <c r="I1026">
        <v>5</v>
      </c>
      <c r="J1026">
        <v>0</v>
      </c>
      <c r="K1026">
        <v>5</v>
      </c>
    </row>
    <row r="1027" spans="1:11" x14ac:dyDescent="0.25">
      <c r="A1027" t="s">
        <v>1067</v>
      </c>
      <c r="B1027" s="1">
        <v>45868.966493055559</v>
      </c>
      <c r="C1027" s="2" t="s">
        <v>26</v>
      </c>
      <c r="D1027" t="s">
        <v>19</v>
      </c>
      <c r="E1027">
        <v>111312</v>
      </c>
      <c r="F1027" t="s">
        <v>14</v>
      </c>
      <c r="G1027" t="s">
        <v>27</v>
      </c>
      <c r="H1027" t="s">
        <v>16</v>
      </c>
      <c r="I1027">
        <v>5</v>
      </c>
      <c r="J1027">
        <v>0</v>
      </c>
      <c r="K1027">
        <v>5</v>
      </c>
    </row>
    <row r="1028" spans="1:11" x14ac:dyDescent="0.25">
      <c r="A1028" t="s">
        <v>1068</v>
      </c>
      <c r="B1028" s="1">
        <v>46070.624537037038</v>
      </c>
      <c r="C1028" s="2" t="s">
        <v>26</v>
      </c>
      <c r="D1028" t="s">
        <v>33</v>
      </c>
      <c r="E1028">
        <v>4297</v>
      </c>
      <c r="F1028" t="s">
        <v>50</v>
      </c>
      <c r="G1028" t="s">
        <v>34</v>
      </c>
      <c r="H1028" t="s">
        <v>16</v>
      </c>
      <c r="I1028">
        <v>0</v>
      </c>
      <c r="J1028">
        <v>0</v>
      </c>
      <c r="K1028">
        <v>0</v>
      </c>
    </row>
    <row r="1029" spans="1:11" x14ac:dyDescent="0.25">
      <c r="A1029" t="s">
        <v>1069</v>
      </c>
      <c r="B1029" s="1">
        <v>45835.362962962965</v>
      </c>
      <c r="C1029" s="2" t="s">
        <v>32</v>
      </c>
      <c r="D1029" t="s">
        <v>13</v>
      </c>
      <c r="E1029">
        <v>145500</v>
      </c>
      <c r="F1029" t="s">
        <v>14</v>
      </c>
      <c r="G1029" t="s">
        <v>20</v>
      </c>
      <c r="H1029" t="s">
        <v>16</v>
      </c>
      <c r="I1029">
        <v>2691.75</v>
      </c>
      <c r="J1029">
        <v>1076.7</v>
      </c>
      <c r="K1029">
        <v>1615.05</v>
      </c>
    </row>
    <row r="1030" spans="1:11" x14ac:dyDescent="0.25">
      <c r="A1030" t="s">
        <v>1070</v>
      </c>
      <c r="B1030" s="1">
        <v>46128.245219907411</v>
      </c>
      <c r="C1030" s="2" t="s">
        <v>26</v>
      </c>
      <c r="D1030" t="s">
        <v>13</v>
      </c>
      <c r="E1030">
        <v>211500</v>
      </c>
      <c r="F1030" t="s">
        <v>14</v>
      </c>
      <c r="G1030" t="s">
        <v>30</v>
      </c>
      <c r="H1030" t="s">
        <v>16</v>
      </c>
      <c r="I1030">
        <v>3912.75</v>
      </c>
      <c r="J1030">
        <v>1565.1</v>
      </c>
      <c r="K1030">
        <v>2347.65</v>
      </c>
    </row>
    <row r="1031" spans="1:11" x14ac:dyDescent="0.25">
      <c r="A1031" t="s">
        <v>1071</v>
      </c>
      <c r="B1031" s="1">
        <v>46068.119328703702</v>
      </c>
      <c r="C1031" s="2" t="s">
        <v>26</v>
      </c>
      <c r="D1031" t="s">
        <v>45</v>
      </c>
      <c r="E1031">
        <v>139401</v>
      </c>
      <c r="F1031" t="s">
        <v>14</v>
      </c>
      <c r="G1031" t="s">
        <v>34</v>
      </c>
      <c r="H1031" t="s">
        <v>59</v>
      </c>
      <c r="I1031">
        <v>1394.01</v>
      </c>
      <c r="J1031">
        <v>0</v>
      </c>
      <c r="K1031">
        <v>1394.01</v>
      </c>
    </row>
    <row r="1032" spans="1:11" x14ac:dyDescent="0.25">
      <c r="A1032" t="s">
        <v>1072</v>
      </c>
      <c r="B1032" s="1">
        <v>45976.666284722225</v>
      </c>
      <c r="C1032" s="2" t="s">
        <v>12</v>
      </c>
      <c r="D1032" t="s">
        <v>13</v>
      </c>
      <c r="E1032">
        <v>247000</v>
      </c>
      <c r="F1032" t="s">
        <v>50</v>
      </c>
      <c r="G1032" t="s">
        <v>34</v>
      </c>
      <c r="H1032" t="s">
        <v>16</v>
      </c>
      <c r="I1032">
        <v>4569.5</v>
      </c>
      <c r="J1032">
        <v>1827.8</v>
      </c>
      <c r="K1032">
        <v>2741.7</v>
      </c>
    </row>
    <row r="1033" spans="1:11" x14ac:dyDescent="0.25">
      <c r="A1033" t="s">
        <v>1073</v>
      </c>
      <c r="B1033" s="1">
        <v>45972.509513888886</v>
      </c>
      <c r="C1033" s="2" t="s">
        <v>39</v>
      </c>
      <c r="D1033" t="s">
        <v>13</v>
      </c>
      <c r="E1033">
        <v>58000</v>
      </c>
      <c r="F1033" t="s">
        <v>14</v>
      </c>
      <c r="G1033" t="s">
        <v>34</v>
      </c>
      <c r="H1033" t="s">
        <v>16</v>
      </c>
      <c r="I1033">
        <v>1073</v>
      </c>
      <c r="J1033">
        <v>429.2</v>
      </c>
      <c r="K1033">
        <v>643.79999999999995</v>
      </c>
    </row>
    <row r="1034" spans="1:11" x14ac:dyDescent="0.25">
      <c r="A1034" t="s">
        <v>1074</v>
      </c>
      <c r="B1034" s="1">
        <v>45853.355636574073</v>
      </c>
      <c r="C1034" s="2" t="s">
        <v>32</v>
      </c>
      <c r="D1034" t="s">
        <v>19</v>
      </c>
      <c r="E1034">
        <v>53691</v>
      </c>
      <c r="F1034" t="s">
        <v>14</v>
      </c>
      <c r="G1034" t="s">
        <v>51</v>
      </c>
      <c r="H1034" t="s">
        <v>16</v>
      </c>
      <c r="I1034">
        <v>5</v>
      </c>
      <c r="J1034">
        <v>0</v>
      </c>
      <c r="K1034">
        <v>5</v>
      </c>
    </row>
    <row r="1035" spans="1:11" x14ac:dyDescent="0.25">
      <c r="A1035" t="s">
        <v>1075</v>
      </c>
      <c r="B1035" s="1">
        <v>45927.480347222219</v>
      </c>
      <c r="C1035" s="2" t="s">
        <v>39</v>
      </c>
      <c r="D1035" t="s">
        <v>33</v>
      </c>
      <c r="E1035">
        <v>42819</v>
      </c>
      <c r="F1035" t="s">
        <v>14</v>
      </c>
      <c r="G1035" t="s">
        <v>15</v>
      </c>
      <c r="H1035" t="s">
        <v>16</v>
      </c>
      <c r="I1035">
        <v>0</v>
      </c>
      <c r="J1035">
        <v>0</v>
      </c>
      <c r="K1035">
        <v>0</v>
      </c>
    </row>
    <row r="1036" spans="1:11" x14ac:dyDescent="0.25">
      <c r="A1036" t="s">
        <v>1076</v>
      </c>
      <c r="B1036" s="1">
        <v>46080.759097222224</v>
      </c>
      <c r="C1036" s="2" t="s">
        <v>12</v>
      </c>
      <c r="D1036" t="s">
        <v>23</v>
      </c>
      <c r="E1036">
        <v>1740</v>
      </c>
      <c r="F1036" t="s">
        <v>14</v>
      </c>
      <c r="G1036" t="s">
        <v>34</v>
      </c>
      <c r="H1036" t="s">
        <v>16</v>
      </c>
      <c r="I1036">
        <v>0</v>
      </c>
      <c r="J1036">
        <v>0</v>
      </c>
      <c r="K1036">
        <v>0</v>
      </c>
    </row>
    <row r="1037" spans="1:11" x14ac:dyDescent="0.25">
      <c r="A1037" t="s">
        <v>1077</v>
      </c>
      <c r="B1037" s="1">
        <v>46049.0862037037</v>
      </c>
      <c r="C1037" s="2" t="s">
        <v>41</v>
      </c>
      <c r="D1037" t="s">
        <v>45</v>
      </c>
      <c r="E1037">
        <v>70621</v>
      </c>
      <c r="F1037" t="s">
        <v>14</v>
      </c>
      <c r="G1037" t="s">
        <v>20</v>
      </c>
      <c r="H1037" t="s">
        <v>46</v>
      </c>
      <c r="I1037">
        <v>706.21</v>
      </c>
      <c r="J1037">
        <v>0</v>
      </c>
      <c r="K1037">
        <v>706.21</v>
      </c>
    </row>
    <row r="1038" spans="1:11" x14ac:dyDescent="0.25">
      <c r="A1038" t="s">
        <v>1078</v>
      </c>
      <c r="B1038" s="1">
        <v>46123.968958333331</v>
      </c>
      <c r="C1038" s="2" t="s">
        <v>41</v>
      </c>
      <c r="D1038" t="s">
        <v>33</v>
      </c>
      <c r="E1038">
        <v>142604</v>
      </c>
      <c r="F1038" t="s">
        <v>14</v>
      </c>
      <c r="G1038" t="s">
        <v>27</v>
      </c>
      <c r="H1038" t="s">
        <v>16</v>
      </c>
      <c r="I1038">
        <v>0</v>
      </c>
      <c r="J1038">
        <v>0</v>
      </c>
      <c r="K1038">
        <v>0</v>
      </c>
    </row>
    <row r="1039" spans="1:11" x14ac:dyDescent="0.25">
      <c r="A1039" t="s">
        <v>1079</v>
      </c>
      <c r="B1039" s="1">
        <v>45924.041990740741</v>
      </c>
      <c r="C1039" s="2" t="s">
        <v>18</v>
      </c>
      <c r="D1039" t="s">
        <v>33</v>
      </c>
      <c r="E1039">
        <v>70590</v>
      </c>
      <c r="F1039" t="s">
        <v>99</v>
      </c>
      <c r="G1039" t="s">
        <v>58</v>
      </c>
      <c r="H1039" t="s">
        <v>16</v>
      </c>
      <c r="I1039">
        <v>0</v>
      </c>
      <c r="J1039">
        <v>0</v>
      </c>
      <c r="K1039">
        <v>0</v>
      </c>
    </row>
    <row r="1040" spans="1:11" x14ac:dyDescent="0.25">
      <c r="A1040" t="s">
        <v>1080</v>
      </c>
      <c r="B1040" s="1">
        <v>45984.561435185184</v>
      </c>
      <c r="C1040" s="2" t="s">
        <v>41</v>
      </c>
      <c r="D1040" t="s">
        <v>19</v>
      </c>
      <c r="E1040">
        <v>142990</v>
      </c>
      <c r="F1040" t="s">
        <v>50</v>
      </c>
      <c r="G1040" t="s">
        <v>34</v>
      </c>
      <c r="H1040" t="s">
        <v>16</v>
      </c>
      <c r="I1040">
        <v>5</v>
      </c>
      <c r="J1040">
        <v>0</v>
      </c>
      <c r="K1040">
        <v>5</v>
      </c>
    </row>
    <row r="1041" spans="1:11" x14ac:dyDescent="0.25">
      <c r="A1041" t="s">
        <v>1081</v>
      </c>
      <c r="B1041" s="1">
        <v>45997.119849537034</v>
      </c>
      <c r="C1041" s="2" t="s">
        <v>26</v>
      </c>
      <c r="D1041" t="s">
        <v>45</v>
      </c>
      <c r="E1041">
        <v>42234</v>
      </c>
      <c r="F1041" t="s">
        <v>14</v>
      </c>
      <c r="G1041" t="s">
        <v>30</v>
      </c>
      <c r="H1041" t="s">
        <v>178</v>
      </c>
      <c r="I1041">
        <v>422.34</v>
      </c>
      <c r="J1041">
        <v>0</v>
      </c>
      <c r="K1041">
        <v>422.34</v>
      </c>
    </row>
    <row r="1042" spans="1:11" x14ac:dyDescent="0.25">
      <c r="A1042" t="s">
        <v>1082</v>
      </c>
      <c r="B1042" s="1">
        <v>45936.066412037035</v>
      </c>
      <c r="C1042" s="2" t="s">
        <v>29</v>
      </c>
      <c r="D1042" t="s">
        <v>13</v>
      </c>
      <c r="E1042">
        <v>81000</v>
      </c>
      <c r="F1042" t="s">
        <v>14</v>
      </c>
      <c r="G1042" t="s">
        <v>15</v>
      </c>
      <c r="H1042" t="s">
        <v>16</v>
      </c>
      <c r="I1042">
        <v>1498.5</v>
      </c>
      <c r="J1042">
        <v>599.4</v>
      </c>
      <c r="K1042">
        <v>899.1</v>
      </c>
    </row>
    <row r="1043" spans="1:11" x14ac:dyDescent="0.25">
      <c r="A1043" t="s">
        <v>1083</v>
      </c>
      <c r="B1043" s="1">
        <v>46044.859756944446</v>
      </c>
      <c r="C1043" s="2" t="s">
        <v>12</v>
      </c>
      <c r="D1043" t="s">
        <v>23</v>
      </c>
      <c r="E1043">
        <v>2601</v>
      </c>
      <c r="F1043" t="s">
        <v>14</v>
      </c>
      <c r="G1043" t="s">
        <v>24</v>
      </c>
      <c r="H1043" t="s">
        <v>16</v>
      </c>
      <c r="I1043">
        <v>0</v>
      </c>
      <c r="J1043">
        <v>0</v>
      </c>
      <c r="K1043">
        <v>0</v>
      </c>
    </row>
    <row r="1044" spans="1:11" x14ac:dyDescent="0.25">
      <c r="A1044" t="s">
        <v>1084</v>
      </c>
      <c r="B1044" s="1">
        <v>45894.090532407405</v>
      </c>
      <c r="C1044" s="2" t="s">
        <v>26</v>
      </c>
      <c r="D1044" t="s">
        <v>23</v>
      </c>
      <c r="E1044">
        <v>2800</v>
      </c>
      <c r="F1044" t="s">
        <v>14</v>
      </c>
      <c r="G1044" t="s">
        <v>34</v>
      </c>
      <c r="H1044" t="s">
        <v>16</v>
      </c>
      <c r="I1044">
        <v>0</v>
      </c>
      <c r="J1044">
        <v>0</v>
      </c>
      <c r="K1044">
        <v>0</v>
      </c>
    </row>
    <row r="1045" spans="1:11" x14ac:dyDescent="0.25">
      <c r="A1045" t="s">
        <v>1085</v>
      </c>
      <c r="B1045" s="1">
        <v>46127.382314814815</v>
      </c>
      <c r="C1045" s="2" t="s">
        <v>39</v>
      </c>
      <c r="D1045" t="s">
        <v>23</v>
      </c>
      <c r="E1045">
        <v>698</v>
      </c>
      <c r="F1045" t="s">
        <v>14</v>
      </c>
      <c r="G1045" t="s">
        <v>34</v>
      </c>
      <c r="H1045" t="s">
        <v>16</v>
      </c>
      <c r="I1045">
        <v>0</v>
      </c>
      <c r="J1045">
        <v>0</v>
      </c>
      <c r="K1045">
        <v>0</v>
      </c>
    </row>
    <row r="1046" spans="1:11" x14ac:dyDescent="0.25">
      <c r="A1046" t="s">
        <v>1086</v>
      </c>
      <c r="B1046" s="1">
        <v>46079.641701388886</v>
      </c>
      <c r="C1046" s="2" t="s">
        <v>22</v>
      </c>
      <c r="D1046" t="s">
        <v>13</v>
      </c>
      <c r="E1046">
        <v>192500</v>
      </c>
      <c r="F1046" t="s">
        <v>99</v>
      </c>
      <c r="G1046" t="s">
        <v>30</v>
      </c>
      <c r="H1046" t="s">
        <v>16</v>
      </c>
      <c r="I1046">
        <v>3561.25</v>
      </c>
      <c r="J1046">
        <v>1424.5</v>
      </c>
      <c r="K1046">
        <v>2136.75</v>
      </c>
    </row>
    <row r="1047" spans="1:11" x14ac:dyDescent="0.25">
      <c r="A1047" t="s">
        <v>1087</v>
      </c>
      <c r="B1047" s="1">
        <v>45907.856550925928</v>
      </c>
      <c r="C1047" s="2" t="s">
        <v>12</v>
      </c>
      <c r="D1047" t="s">
        <v>13</v>
      </c>
      <c r="E1047">
        <v>59000</v>
      </c>
      <c r="F1047" t="s">
        <v>14</v>
      </c>
      <c r="G1047" t="s">
        <v>84</v>
      </c>
      <c r="H1047" t="s">
        <v>16</v>
      </c>
      <c r="I1047">
        <v>1091.5</v>
      </c>
      <c r="J1047">
        <v>436.6</v>
      </c>
      <c r="K1047">
        <v>654.9</v>
      </c>
    </row>
    <row r="1048" spans="1:11" x14ac:dyDescent="0.25">
      <c r="A1048" t="s">
        <v>1088</v>
      </c>
      <c r="B1048" s="1">
        <v>45983.63386574074</v>
      </c>
      <c r="C1048" s="2" t="s">
        <v>22</v>
      </c>
      <c r="D1048" t="s">
        <v>19</v>
      </c>
      <c r="E1048">
        <v>84782</v>
      </c>
      <c r="F1048" t="s">
        <v>99</v>
      </c>
      <c r="G1048" t="s">
        <v>24</v>
      </c>
      <c r="H1048" t="s">
        <v>16</v>
      </c>
      <c r="I1048">
        <v>5</v>
      </c>
      <c r="J1048">
        <v>0</v>
      </c>
      <c r="K1048">
        <v>5</v>
      </c>
    </row>
    <row r="1049" spans="1:11" x14ac:dyDescent="0.25">
      <c r="A1049" t="s">
        <v>1089</v>
      </c>
      <c r="B1049" s="1">
        <v>45804.51363425926</v>
      </c>
      <c r="C1049" s="2" t="s">
        <v>12</v>
      </c>
      <c r="D1049" t="s">
        <v>45</v>
      </c>
      <c r="E1049">
        <v>147627</v>
      </c>
      <c r="F1049" t="s">
        <v>14</v>
      </c>
      <c r="G1049" t="s">
        <v>34</v>
      </c>
      <c r="H1049" t="s">
        <v>46</v>
      </c>
      <c r="I1049">
        <v>1476.27</v>
      </c>
      <c r="J1049">
        <v>0</v>
      </c>
      <c r="K1049">
        <v>1476.27</v>
      </c>
    </row>
    <row r="1050" spans="1:11" x14ac:dyDescent="0.25">
      <c r="A1050" t="s">
        <v>1090</v>
      </c>
      <c r="B1050" s="1">
        <v>45840.793379629627</v>
      </c>
      <c r="C1050" s="2" t="s">
        <v>12</v>
      </c>
      <c r="D1050" t="s">
        <v>13</v>
      </c>
      <c r="E1050">
        <v>66000</v>
      </c>
      <c r="F1050" t="s">
        <v>14</v>
      </c>
      <c r="G1050" t="s">
        <v>58</v>
      </c>
      <c r="H1050" t="s">
        <v>16</v>
      </c>
      <c r="I1050">
        <v>1221</v>
      </c>
      <c r="J1050">
        <v>488.4</v>
      </c>
      <c r="K1050">
        <v>732.6</v>
      </c>
    </row>
    <row r="1051" spans="1:11" x14ac:dyDescent="0.25">
      <c r="A1051" t="s">
        <v>1091</v>
      </c>
      <c r="B1051" s="1">
        <v>46053.295752314814</v>
      </c>
      <c r="C1051" s="2" t="s">
        <v>39</v>
      </c>
      <c r="D1051" t="s">
        <v>23</v>
      </c>
      <c r="E1051">
        <v>1177</v>
      </c>
      <c r="F1051" t="s">
        <v>14</v>
      </c>
      <c r="G1051" t="s">
        <v>84</v>
      </c>
      <c r="H1051" t="s">
        <v>16</v>
      </c>
      <c r="I1051">
        <v>0</v>
      </c>
      <c r="J1051">
        <v>0</v>
      </c>
      <c r="K1051">
        <v>0</v>
      </c>
    </row>
    <row r="1052" spans="1:11" x14ac:dyDescent="0.25">
      <c r="A1052" t="s">
        <v>1092</v>
      </c>
      <c r="B1052" s="1">
        <v>45927.517465277779</v>
      </c>
      <c r="C1052" s="2" t="s">
        <v>12</v>
      </c>
      <c r="D1052" t="s">
        <v>23</v>
      </c>
      <c r="E1052">
        <v>2584</v>
      </c>
      <c r="F1052" t="s">
        <v>50</v>
      </c>
      <c r="G1052" t="s">
        <v>15</v>
      </c>
      <c r="H1052" t="s">
        <v>16</v>
      </c>
      <c r="I1052">
        <v>0</v>
      </c>
      <c r="J1052">
        <v>0</v>
      </c>
      <c r="K1052">
        <v>0</v>
      </c>
    </row>
    <row r="1053" spans="1:11" x14ac:dyDescent="0.25">
      <c r="A1053" t="s">
        <v>1093</v>
      </c>
      <c r="B1053" s="1">
        <v>45881.284166666665</v>
      </c>
      <c r="C1053" s="2" t="s">
        <v>29</v>
      </c>
      <c r="D1053" t="s">
        <v>33</v>
      </c>
      <c r="E1053">
        <v>112075</v>
      </c>
      <c r="F1053" t="s">
        <v>14</v>
      </c>
      <c r="G1053" t="s">
        <v>27</v>
      </c>
      <c r="H1053" t="s">
        <v>16</v>
      </c>
      <c r="I1053">
        <v>0</v>
      </c>
      <c r="J1053">
        <v>0</v>
      </c>
      <c r="K1053">
        <v>0</v>
      </c>
    </row>
    <row r="1054" spans="1:11" x14ac:dyDescent="0.25">
      <c r="A1054" t="s">
        <v>1094</v>
      </c>
      <c r="B1054" s="1">
        <v>45783.019687499997</v>
      </c>
      <c r="C1054" s="2" t="s">
        <v>18</v>
      </c>
      <c r="D1054" t="s">
        <v>45</v>
      </c>
      <c r="E1054">
        <v>56531</v>
      </c>
      <c r="F1054" t="s">
        <v>14</v>
      </c>
      <c r="G1054" t="s">
        <v>34</v>
      </c>
      <c r="H1054" t="s">
        <v>56</v>
      </c>
      <c r="I1054">
        <v>565.30999999999995</v>
      </c>
      <c r="J1054">
        <v>0</v>
      </c>
      <c r="K1054">
        <v>565.30999999999995</v>
      </c>
    </row>
    <row r="1055" spans="1:11" x14ac:dyDescent="0.25">
      <c r="A1055" t="s">
        <v>1095</v>
      </c>
      <c r="B1055" s="1">
        <v>45988.857662037037</v>
      </c>
      <c r="C1055" s="2" t="s">
        <v>22</v>
      </c>
      <c r="D1055" t="s">
        <v>45</v>
      </c>
      <c r="E1055">
        <v>71408</v>
      </c>
      <c r="F1055" t="s">
        <v>14</v>
      </c>
      <c r="G1055" t="s">
        <v>30</v>
      </c>
      <c r="H1055" t="s">
        <v>178</v>
      </c>
      <c r="I1055">
        <v>714.08</v>
      </c>
      <c r="J1055">
        <v>0</v>
      </c>
      <c r="K1055">
        <v>714.08</v>
      </c>
    </row>
    <row r="1056" spans="1:11" x14ac:dyDescent="0.25">
      <c r="A1056" t="s">
        <v>1096</v>
      </c>
      <c r="B1056" s="1">
        <v>45821.243935185186</v>
      </c>
      <c r="C1056" s="2" t="s">
        <v>32</v>
      </c>
      <c r="D1056" t="s">
        <v>45</v>
      </c>
      <c r="E1056">
        <v>60512</v>
      </c>
      <c r="F1056" t="s">
        <v>14</v>
      </c>
      <c r="G1056" t="s">
        <v>84</v>
      </c>
      <c r="H1056" t="s">
        <v>46</v>
      </c>
      <c r="I1056">
        <v>605.12</v>
      </c>
      <c r="J1056">
        <v>0</v>
      </c>
      <c r="K1056">
        <v>605.12</v>
      </c>
    </row>
    <row r="1057" spans="1:11" x14ac:dyDescent="0.25">
      <c r="A1057" t="s">
        <v>1097</v>
      </c>
      <c r="B1057" s="1">
        <v>45883.188587962963</v>
      </c>
      <c r="C1057" s="2" t="s">
        <v>29</v>
      </c>
      <c r="D1057" t="s">
        <v>13</v>
      </c>
      <c r="E1057">
        <v>96500</v>
      </c>
      <c r="F1057" t="s">
        <v>14</v>
      </c>
      <c r="G1057" t="s">
        <v>27</v>
      </c>
      <c r="H1057" t="s">
        <v>16</v>
      </c>
      <c r="I1057">
        <v>1785.25</v>
      </c>
      <c r="J1057">
        <v>714.1</v>
      </c>
      <c r="K1057">
        <v>1071.1500000000001</v>
      </c>
    </row>
    <row r="1058" spans="1:11" x14ac:dyDescent="0.25">
      <c r="A1058" t="s">
        <v>1098</v>
      </c>
      <c r="B1058" s="1">
        <v>46132.686956018515</v>
      </c>
      <c r="C1058" s="2" t="s">
        <v>26</v>
      </c>
      <c r="D1058" t="s">
        <v>33</v>
      </c>
      <c r="E1058">
        <v>40875</v>
      </c>
      <c r="F1058" t="s">
        <v>14</v>
      </c>
      <c r="G1058" t="s">
        <v>34</v>
      </c>
      <c r="H1058" t="s">
        <v>16</v>
      </c>
      <c r="I1058">
        <v>0</v>
      </c>
      <c r="J1058">
        <v>0</v>
      </c>
      <c r="K1058">
        <v>0</v>
      </c>
    </row>
    <row r="1059" spans="1:11" x14ac:dyDescent="0.25">
      <c r="A1059" t="s">
        <v>1099</v>
      </c>
      <c r="B1059" s="1">
        <v>45940.112164351849</v>
      </c>
      <c r="C1059" s="2" t="s">
        <v>26</v>
      </c>
      <c r="D1059" t="s">
        <v>23</v>
      </c>
      <c r="E1059">
        <v>4397</v>
      </c>
      <c r="F1059" t="s">
        <v>14</v>
      </c>
      <c r="G1059" t="s">
        <v>24</v>
      </c>
      <c r="H1059" t="s">
        <v>16</v>
      </c>
      <c r="I1059">
        <v>0</v>
      </c>
      <c r="J1059">
        <v>0</v>
      </c>
      <c r="K1059">
        <v>0</v>
      </c>
    </row>
    <row r="1060" spans="1:11" x14ac:dyDescent="0.25">
      <c r="A1060" t="s">
        <v>1100</v>
      </c>
      <c r="B1060" s="1">
        <v>45881.392511574071</v>
      </c>
      <c r="C1060" s="2" t="s">
        <v>39</v>
      </c>
      <c r="D1060" t="s">
        <v>45</v>
      </c>
      <c r="E1060">
        <v>61235</v>
      </c>
      <c r="F1060" t="s">
        <v>14</v>
      </c>
      <c r="G1060" t="s">
        <v>58</v>
      </c>
      <c r="H1060" t="s">
        <v>178</v>
      </c>
      <c r="I1060">
        <v>612.35</v>
      </c>
      <c r="J1060">
        <v>0</v>
      </c>
      <c r="K1060">
        <v>612.35</v>
      </c>
    </row>
    <row r="1061" spans="1:11" x14ac:dyDescent="0.25">
      <c r="A1061" t="s">
        <v>1101</v>
      </c>
      <c r="B1061" s="1">
        <v>46129.875335648147</v>
      </c>
      <c r="C1061" s="2" t="s">
        <v>18</v>
      </c>
      <c r="D1061" t="s">
        <v>45</v>
      </c>
      <c r="E1061">
        <v>11574</v>
      </c>
      <c r="F1061" t="s">
        <v>14</v>
      </c>
      <c r="G1061" t="s">
        <v>27</v>
      </c>
      <c r="H1061" t="s">
        <v>59</v>
      </c>
      <c r="I1061">
        <v>115.74</v>
      </c>
      <c r="J1061">
        <v>0</v>
      </c>
      <c r="K1061">
        <v>115.74</v>
      </c>
    </row>
    <row r="1062" spans="1:11" x14ac:dyDescent="0.25">
      <c r="A1062" t="s">
        <v>1102</v>
      </c>
      <c r="B1062" s="1">
        <v>45789.96502314815</v>
      </c>
      <c r="C1062" s="2" t="s">
        <v>26</v>
      </c>
      <c r="D1062" t="s">
        <v>13</v>
      </c>
      <c r="E1062">
        <v>192500</v>
      </c>
      <c r="F1062" t="s">
        <v>14</v>
      </c>
      <c r="G1062" t="s">
        <v>27</v>
      </c>
      <c r="H1062" t="s">
        <v>16</v>
      </c>
      <c r="I1062">
        <v>3561.25</v>
      </c>
      <c r="J1062">
        <v>1424.5</v>
      </c>
      <c r="K1062">
        <v>2136.75</v>
      </c>
    </row>
    <row r="1063" spans="1:11" x14ac:dyDescent="0.25">
      <c r="A1063" t="s">
        <v>1103</v>
      </c>
      <c r="B1063" s="1">
        <v>45954.686539351853</v>
      </c>
      <c r="C1063" s="2" t="s">
        <v>39</v>
      </c>
      <c r="D1063" t="s">
        <v>19</v>
      </c>
      <c r="E1063">
        <v>12191</v>
      </c>
      <c r="F1063" t="s">
        <v>14</v>
      </c>
      <c r="G1063" t="s">
        <v>51</v>
      </c>
      <c r="H1063" t="s">
        <v>16</v>
      </c>
      <c r="I1063">
        <v>5</v>
      </c>
      <c r="J1063">
        <v>0</v>
      </c>
      <c r="K1063">
        <v>5</v>
      </c>
    </row>
    <row r="1064" spans="1:11" x14ac:dyDescent="0.25">
      <c r="A1064" t="s">
        <v>1104</v>
      </c>
      <c r="B1064" s="1">
        <v>46071.976226851853</v>
      </c>
      <c r="C1064" s="2" t="s">
        <v>26</v>
      </c>
      <c r="D1064" t="s">
        <v>23</v>
      </c>
      <c r="E1064">
        <v>665</v>
      </c>
      <c r="F1064" t="s">
        <v>14</v>
      </c>
      <c r="G1064" t="s">
        <v>84</v>
      </c>
      <c r="H1064" t="s">
        <v>16</v>
      </c>
      <c r="I1064">
        <v>0</v>
      </c>
      <c r="J1064">
        <v>0</v>
      </c>
      <c r="K1064">
        <v>0</v>
      </c>
    </row>
    <row r="1065" spans="1:11" x14ac:dyDescent="0.25">
      <c r="A1065" t="s">
        <v>1105</v>
      </c>
      <c r="B1065" s="1">
        <v>46134.386030092595</v>
      </c>
      <c r="C1065" s="2" t="s">
        <v>41</v>
      </c>
      <c r="D1065" t="s">
        <v>19</v>
      </c>
      <c r="E1065">
        <v>27482</v>
      </c>
      <c r="F1065" t="s">
        <v>14</v>
      </c>
      <c r="G1065" t="s">
        <v>84</v>
      </c>
      <c r="H1065" t="s">
        <v>16</v>
      </c>
      <c r="I1065">
        <v>5</v>
      </c>
      <c r="J1065">
        <v>0</v>
      </c>
      <c r="K1065">
        <v>5</v>
      </c>
    </row>
    <row r="1066" spans="1:11" x14ac:dyDescent="0.25">
      <c r="A1066" t="s">
        <v>1106</v>
      </c>
      <c r="B1066" s="1">
        <v>45973.63789351852</v>
      </c>
      <c r="C1066" s="2" t="s">
        <v>18</v>
      </c>
      <c r="D1066" t="s">
        <v>13</v>
      </c>
      <c r="E1066">
        <v>67500</v>
      </c>
      <c r="F1066" t="s">
        <v>14</v>
      </c>
      <c r="G1066" t="s">
        <v>34</v>
      </c>
      <c r="H1066" t="s">
        <v>16</v>
      </c>
      <c r="I1066">
        <v>1248.75</v>
      </c>
      <c r="J1066">
        <v>499.5</v>
      </c>
      <c r="K1066">
        <v>749.25</v>
      </c>
    </row>
    <row r="1067" spans="1:11" x14ac:dyDescent="0.25">
      <c r="A1067" t="s">
        <v>1107</v>
      </c>
      <c r="B1067" s="1">
        <v>45782.626377314817</v>
      </c>
      <c r="C1067" s="2" t="s">
        <v>26</v>
      </c>
      <c r="D1067" t="s">
        <v>33</v>
      </c>
      <c r="E1067">
        <v>33875</v>
      </c>
      <c r="F1067" t="s">
        <v>14</v>
      </c>
      <c r="G1067" t="s">
        <v>34</v>
      </c>
      <c r="H1067" t="s">
        <v>16</v>
      </c>
      <c r="I1067">
        <v>0</v>
      </c>
      <c r="J1067">
        <v>0</v>
      </c>
      <c r="K1067">
        <v>0</v>
      </c>
    </row>
    <row r="1068" spans="1:11" x14ac:dyDescent="0.25">
      <c r="A1068" t="s">
        <v>1108</v>
      </c>
      <c r="B1068" s="1">
        <v>45888.76734953704</v>
      </c>
      <c r="C1068" s="2" t="s">
        <v>26</v>
      </c>
      <c r="D1068" t="s">
        <v>13</v>
      </c>
      <c r="E1068">
        <v>70000</v>
      </c>
      <c r="F1068" t="s">
        <v>50</v>
      </c>
      <c r="G1068" t="s">
        <v>34</v>
      </c>
      <c r="H1068" t="s">
        <v>16</v>
      </c>
      <c r="I1068">
        <v>1295</v>
      </c>
      <c r="J1068">
        <v>518</v>
      </c>
      <c r="K1068">
        <v>777</v>
      </c>
    </row>
    <row r="1069" spans="1:11" x14ac:dyDescent="0.25">
      <c r="A1069" t="s">
        <v>1109</v>
      </c>
      <c r="B1069" s="1">
        <v>45920.644085648149</v>
      </c>
      <c r="C1069" s="2" t="s">
        <v>29</v>
      </c>
      <c r="D1069" t="s">
        <v>33</v>
      </c>
      <c r="E1069">
        <v>36827</v>
      </c>
      <c r="F1069" t="s">
        <v>14</v>
      </c>
      <c r="G1069" t="s">
        <v>34</v>
      </c>
      <c r="H1069" t="s">
        <v>16</v>
      </c>
      <c r="I1069">
        <v>0</v>
      </c>
      <c r="J1069">
        <v>0</v>
      </c>
      <c r="K1069">
        <v>0</v>
      </c>
    </row>
    <row r="1070" spans="1:11" x14ac:dyDescent="0.25">
      <c r="A1070" t="s">
        <v>1110</v>
      </c>
      <c r="B1070" s="1">
        <v>45879.89340277778</v>
      </c>
      <c r="C1070" s="2" t="s">
        <v>39</v>
      </c>
      <c r="D1070" t="s">
        <v>19</v>
      </c>
      <c r="E1070">
        <v>43340</v>
      </c>
      <c r="F1070" t="s">
        <v>14</v>
      </c>
      <c r="G1070" t="s">
        <v>34</v>
      </c>
      <c r="H1070" t="s">
        <v>16</v>
      </c>
      <c r="I1070">
        <v>5</v>
      </c>
      <c r="J1070">
        <v>0</v>
      </c>
      <c r="K1070">
        <v>5</v>
      </c>
    </row>
    <row r="1071" spans="1:11" x14ac:dyDescent="0.25">
      <c r="A1071" t="s">
        <v>1111</v>
      </c>
      <c r="B1071" s="1">
        <v>46067.114212962966</v>
      </c>
      <c r="C1071" s="2" t="s">
        <v>26</v>
      </c>
      <c r="D1071" t="s">
        <v>23</v>
      </c>
      <c r="E1071">
        <v>3367</v>
      </c>
      <c r="F1071" t="s">
        <v>14</v>
      </c>
      <c r="G1071" t="s">
        <v>51</v>
      </c>
      <c r="H1071" t="s">
        <v>16</v>
      </c>
      <c r="I1071">
        <v>0</v>
      </c>
      <c r="J1071">
        <v>0</v>
      </c>
      <c r="K1071">
        <v>0</v>
      </c>
    </row>
    <row r="1072" spans="1:11" x14ac:dyDescent="0.25">
      <c r="A1072" t="s">
        <v>1112</v>
      </c>
      <c r="B1072" s="1">
        <v>45972.914710648147</v>
      </c>
      <c r="C1072" s="2" t="s">
        <v>26</v>
      </c>
      <c r="D1072" t="s">
        <v>45</v>
      </c>
      <c r="E1072">
        <v>2924</v>
      </c>
      <c r="F1072" t="s">
        <v>50</v>
      </c>
      <c r="G1072" t="s">
        <v>58</v>
      </c>
      <c r="H1072" t="s">
        <v>46</v>
      </c>
      <c r="I1072">
        <v>29.24</v>
      </c>
      <c r="J1072">
        <v>0</v>
      </c>
      <c r="K1072">
        <v>29.24</v>
      </c>
    </row>
    <row r="1073" spans="1:11" x14ac:dyDescent="0.25">
      <c r="A1073" t="s">
        <v>1113</v>
      </c>
      <c r="B1073" s="1">
        <v>45855.845694444448</v>
      </c>
      <c r="C1073" s="2" t="s">
        <v>22</v>
      </c>
      <c r="D1073" t="s">
        <v>13</v>
      </c>
      <c r="E1073">
        <v>106000</v>
      </c>
      <c r="F1073" t="s">
        <v>14</v>
      </c>
      <c r="G1073" t="s">
        <v>34</v>
      </c>
      <c r="H1073" t="s">
        <v>16</v>
      </c>
      <c r="I1073">
        <v>1961</v>
      </c>
      <c r="J1073">
        <v>784.4</v>
      </c>
      <c r="K1073">
        <v>1176.5999999999999</v>
      </c>
    </row>
    <row r="1074" spans="1:11" x14ac:dyDescent="0.25">
      <c r="A1074" t="s">
        <v>1114</v>
      </c>
      <c r="B1074" s="1">
        <v>45800.375405092593</v>
      </c>
      <c r="C1074" s="2" t="s">
        <v>22</v>
      </c>
      <c r="D1074" t="s">
        <v>45</v>
      </c>
      <c r="E1074">
        <v>46046</v>
      </c>
      <c r="F1074" t="s">
        <v>14</v>
      </c>
      <c r="G1074" t="s">
        <v>24</v>
      </c>
      <c r="H1074" t="s">
        <v>56</v>
      </c>
      <c r="I1074">
        <v>460.46</v>
      </c>
      <c r="J1074">
        <v>0</v>
      </c>
      <c r="K1074">
        <v>460.46</v>
      </c>
    </row>
    <row r="1075" spans="1:11" x14ac:dyDescent="0.25">
      <c r="A1075" t="s">
        <v>1115</v>
      </c>
      <c r="B1075" s="1">
        <v>46044.675937499997</v>
      </c>
      <c r="C1075" s="2" t="s">
        <v>22</v>
      </c>
      <c r="D1075" t="s">
        <v>23</v>
      </c>
      <c r="E1075">
        <v>206</v>
      </c>
      <c r="F1075" t="s">
        <v>99</v>
      </c>
      <c r="G1075" t="s">
        <v>34</v>
      </c>
      <c r="H1075" t="s">
        <v>16</v>
      </c>
      <c r="I1075">
        <v>0</v>
      </c>
      <c r="J1075">
        <v>0</v>
      </c>
      <c r="K1075">
        <v>0</v>
      </c>
    </row>
    <row r="1076" spans="1:11" x14ac:dyDescent="0.25">
      <c r="A1076" t="s">
        <v>1116</v>
      </c>
      <c r="B1076" s="1">
        <v>46002.34747685185</v>
      </c>
      <c r="C1076" s="2" t="s">
        <v>41</v>
      </c>
      <c r="D1076" t="s">
        <v>33</v>
      </c>
      <c r="E1076">
        <v>132905</v>
      </c>
      <c r="F1076" t="s">
        <v>14</v>
      </c>
      <c r="G1076" t="s">
        <v>34</v>
      </c>
      <c r="H1076" t="s">
        <v>16</v>
      </c>
      <c r="I1076">
        <v>0</v>
      </c>
      <c r="J1076">
        <v>0</v>
      </c>
      <c r="K1076">
        <v>0</v>
      </c>
    </row>
    <row r="1077" spans="1:11" x14ac:dyDescent="0.25">
      <c r="A1077" t="s">
        <v>1117</v>
      </c>
      <c r="B1077" s="1">
        <v>45883.504710648151</v>
      </c>
      <c r="C1077" s="2" t="s">
        <v>26</v>
      </c>
      <c r="D1077" t="s">
        <v>33</v>
      </c>
      <c r="E1077">
        <v>19273</v>
      </c>
      <c r="F1077" t="s">
        <v>14</v>
      </c>
      <c r="G1077" t="s">
        <v>84</v>
      </c>
      <c r="H1077" t="s">
        <v>16</v>
      </c>
      <c r="I1077">
        <v>0</v>
      </c>
      <c r="J1077">
        <v>0</v>
      </c>
      <c r="K1077">
        <v>0</v>
      </c>
    </row>
    <row r="1078" spans="1:11" x14ac:dyDescent="0.25">
      <c r="A1078" t="s">
        <v>1118</v>
      </c>
      <c r="B1078" s="1">
        <v>46042.516168981485</v>
      </c>
      <c r="C1078" s="2" t="s">
        <v>26</v>
      </c>
      <c r="D1078" t="s">
        <v>23</v>
      </c>
      <c r="E1078">
        <v>3412</v>
      </c>
      <c r="F1078" t="s">
        <v>14</v>
      </c>
      <c r="G1078" t="s">
        <v>30</v>
      </c>
      <c r="H1078" t="s">
        <v>16</v>
      </c>
      <c r="I1078">
        <v>0</v>
      </c>
      <c r="J1078">
        <v>0</v>
      </c>
      <c r="K1078">
        <v>0</v>
      </c>
    </row>
    <row r="1079" spans="1:11" x14ac:dyDescent="0.25">
      <c r="A1079" t="s">
        <v>1119</v>
      </c>
      <c r="B1079" s="1">
        <v>45985.000381944446</v>
      </c>
      <c r="C1079" s="2" t="s">
        <v>39</v>
      </c>
      <c r="D1079" t="s">
        <v>33</v>
      </c>
      <c r="E1079">
        <v>148346</v>
      </c>
      <c r="F1079" t="s">
        <v>14</v>
      </c>
      <c r="G1079" t="s">
        <v>27</v>
      </c>
      <c r="H1079" t="s">
        <v>16</v>
      </c>
      <c r="I1079">
        <v>0</v>
      </c>
      <c r="J1079">
        <v>0</v>
      </c>
      <c r="K1079">
        <v>0</v>
      </c>
    </row>
    <row r="1080" spans="1:11" x14ac:dyDescent="0.25">
      <c r="A1080" t="s">
        <v>1120</v>
      </c>
      <c r="B1080" s="1">
        <v>45783.192743055559</v>
      </c>
      <c r="C1080" s="2" t="s">
        <v>12</v>
      </c>
      <c r="D1080" t="s">
        <v>23</v>
      </c>
      <c r="E1080">
        <v>415</v>
      </c>
      <c r="F1080" t="s">
        <v>14</v>
      </c>
      <c r="G1080" t="s">
        <v>27</v>
      </c>
      <c r="H1080" t="s">
        <v>16</v>
      </c>
      <c r="I1080">
        <v>0</v>
      </c>
      <c r="J1080">
        <v>0</v>
      </c>
      <c r="K1080">
        <v>0</v>
      </c>
    </row>
    <row r="1081" spans="1:11" x14ac:dyDescent="0.25">
      <c r="A1081" t="s">
        <v>1121</v>
      </c>
      <c r="B1081" s="1">
        <v>45802.016759259262</v>
      </c>
      <c r="C1081" s="2" t="s">
        <v>18</v>
      </c>
      <c r="D1081" t="s">
        <v>33</v>
      </c>
      <c r="E1081">
        <v>47623</v>
      </c>
      <c r="F1081" t="s">
        <v>14</v>
      </c>
      <c r="G1081" t="s">
        <v>30</v>
      </c>
      <c r="H1081" t="s">
        <v>16</v>
      </c>
      <c r="I1081">
        <v>0</v>
      </c>
      <c r="J1081">
        <v>0</v>
      </c>
      <c r="K1081">
        <v>0</v>
      </c>
    </row>
    <row r="1082" spans="1:11" x14ac:dyDescent="0.25">
      <c r="A1082" t="s">
        <v>1122</v>
      </c>
      <c r="B1082" s="1">
        <v>45878.881122685183</v>
      </c>
      <c r="C1082" s="2" t="s">
        <v>41</v>
      </c>
      <c r="D1082" t="s">
        <v>33</v>
      </c>
      <c r="E1082">
        <v>144318</v>
      </c>
      <c r="F1082" t="s">
        <v>14</v>
      </c>
      <c r="G1082" t="s">
        <v>27</v>
      </c>
      <c r="H1082" t="s">
        <v>16</v>
      </c>
      <c r="I1082">
        <v>0</v>
      </c>
      <c r="J1082">
        <v>0</v>
      </c>
      <c r="K1082">
        <v>0</v>
      </c>
    </row>
    <row r="1083" spans="1:11" x14ac:dyDescent="0.25">
      <c r="A1083" t="s">
        <v>1123</v>
      </c>
      <c r="B1083" s="1">
        <v>45935.880011574074</v>
      </c>
      <c r="C1083" s="2" t="s">
        <v>26</v>
      </c>
      <c r="D1083" t="s">
        <v>19</v>
      </c>
      <c r="E1083">
        <v>58895</v>
      </c>
      <c r="F1083" t="s">
        <v>14</v>
      </c>
      <c r="G1083" t="s">
        <v>84</v>
      </c>
      <c r="H1083" t="s">
        <v>16</v>
      </c>
      <c r="I1083">
        <v>5</v>
      </c>
      <c r="J1083">
        <v>0</v>
      </c>
      <c r="K1083">
        <v>5</v>
      </c>
    </row>
    <row r="1084" spans="1:11" x14ac:dyDescent="0.25">
      <c r="A1084" t="s">
        <v>1124</v>
      </c>
      <c r="B1084" s="1">
        <v>46136.746736111112</v>
      </c>
      <c r="C1084" s="2" t="s">
        <v>12</v>
      </c>
      <c r="D1084" t="s">
        <v>13</v>
      </c>
      <c r="E1084">
        <v>157500</v>
      </c>
      <c r="F1084" t="s">
        <v>14</v>
      </c>
      <c r="G1084" t="s">
        <v>84</v>
      </c>
      <c r="H1084" t="s">
        <v>16</v>
      </c>
      <c r="I1084">
        <v>2913.75</v>
      </c>
      <c r="J1084">
        <v>1165.5</v>
      </c>
      <c r="K1084">
        <v>1748.25</v>
      </c>
    </row>
    <row r="1085" spans="1:11" x14ac:dyDescent="0.25">
      <c r="A1085" t="s">
        <v>1125</v>
      </c>
      <c r="B1085" s="1">
        <v>45907.214780092596</v>
      </c>
      <c r="C1085" s="2" t="s">
        <v>41</v>
      </c>
      <c r="D1085" t="s">
        <v>13</v>
      </c>
      <c r="E1085">
        <v>35500</v>
      </c>
      <c r="F1085" t="s">
        <v>14</v>
      </c>
      <c r="G1085" t="s">
        <v>27</v>
      </c>
      <c r="H1085" t="s">
        <v>16</v>
      </c>
      <c r="I1085">
        <v>656.75</v>
      </c>
      <c r="J1085">
        <v>262.7</v>
      </c>
      <c r="K1085">
        <v>394.05</v>
      </c>
    </row>
    <row r="1086" spans="1:11" x14ac:dyDescent="0.25">
      <c r="A1086" t="s">
        <v>1126</v>
      </c>
      <c r="B1086" s="1">
        <v>45964.405486111114</v>
      </c>
      <c r="C1086" s="2" t="s">
        <v>12</v>
      </c>
      <c r="D1086" t="s">
        <v>33</v>
      </c>
      <c r="E1086">
        <v>114291</v>
      </c>
      <c r="F1086" t="s">
        <v>14</v>
      </c>
      <c r="G1086" t="s">
        <v>24</v>
      </c>
      <c r="H1086" t="s">
        <v>16</v>
      </c>
      <c r="I1086">
        <v>0</v>
      </c>
      <c r="J1086">
        <v>0</v>
      </c>
      <c r="K1086">
        <v>0</v>
      </c>
    </row>
    <row r="1087" spans="1:11" x14ac:dyDescent="0.25">
      <c r="A1087" t="s">
        <v>1127</v>
      </c>
      <c r="B1087" s="1">
        <v>45992.669942129629</v>
      </c>
      <c r="C1087" s="2" t="s">
        <v>12</v>
      </c>
      <c r="D1087" t="s">
        <v>13</v>
      </c>
      <c r="E1087">
        <v>41500</v>
      </c>
      <c r="F1087" t="s">
        <v>50</v>
      </c>
      <c r="G1087" t="s">
        <v>34</v>
      </c>
      <c r="H1087" t="s">
        <v>16</v>
      </c>
      <c r="I1087">
        <v>767.75</v>
      </c>
      <c r="J1087">
        <v>307.10000000000002</v>
      </c>
      <c r="K1087">
        <v>460.65</v>
      </c>
    </row>
    <row r="1088" spans="1:11" x14ac:dyDescent="0.25">
      <c r="A1088" t="s">
        <v>1128</v>
      </c>
      <c r="B1088" s="1">
        <v>45789.869201388887</v>
      </c>
      <c r="C1088" s="2" t="s">
        <v>26</v>
      </c>
      <c r="D1088" t="s">
        <v>33</v>
      </c>
      <c r="E1088">
        <v>133499</v>
      </c>
      <c r="F1088" t="s">
        <v>14</v>
      </c>
      <c r="G1088" t="s">
        <v>27</v>
      </c>
      <c r="H1088" t="s">
        <v>16</v>
      </c>
      <c r="I1088">
        <v>0</v>
      </c>
      <c r="J1088">
        <v>0</v>
      </c>
      <c r="K1088">
        <v>0</v>
      </c>
    </row>
    <row r="1089" spans="1:11" x14ac:dyDescent="0.25">
      <c r="A1089" t="s">
        <v>1129</v>
      </c>
      <c r="B1089" s="1">
        <v>45947.727800925924</v>
      </c>
      <c r="C1089" s="2" t="s">
        <v>22</v>
      </c>
      <c r="D1089" t="s">
        <v>19</v>
      </c>
      <c r="E1089">
        <v>26759</v>
      </c>
      <c r="F1089" t="s">
        <v>14</v>
      </c>
      <c r="G1089" t="s">
        <v>20</v>
      </c>
      <c r="H1089" t="s">
        <v>16</v>
      </c>
      <c r="I1089">
        <v>5</v>
      </c>
      <c r="J1089">
        <v>0</v>
      </c>
      <c r="K1089">
        <v>5</v>
      </c>
    </row>
    <row r="1090" spans="1:11" x14ac:dyDescent="0.25">
      <c r="A1090" t="s">
        <v>1130</v>
      </c>
      <c r="B1090" s="1">
        <v>46024.115231481483</v>
      </c>
      <c r="C1090" s="2" t="s">
        <v>41</v>
      </c>
      <c r="D1090" t="s">
        <v>45</v>
      </c>
      <c r="E1090">
        <v>73453</v>
      </c>
      <c r="F1090" t="s">
        <v>50</v>
      </c>
      <c r="G1090" t="s">
        <v>24</v>
      </c>
      <c r="H1090" t="s">
        <v>178</v>
      </c>
      <c r="I1090">
        <v>734.53</v>
      </c>
      <c r="J1090">
        <v>0</v>
      </c>
      <c r="K1090">
        <v>734.53</v>
      </c>
    </row>
    <row r="1091" spans="1:11" x14ac:dyDescent="0.25">
      <c r="A1091" t="s">
        <v>1131</v>
      </c>
      <c r="B1091" s="1">
        <v>46018.628310185188</v>
      </c>
      <c r="C1091" s="2" t="s">
        <v>41</v>
      </c>
      <c r="D1091" t="s">
        <v>45</v>
      </c>
      <c r="E1091">
        <v>128761</v>
      </c>
      <c r="F1091" t="s">
        <v>14</v>
      </c>
      <c r="G1091" t="s">
        <v>20</v>
      </c>
      <c r="H1091" t="s">
        <v>46</v>
      </c>
      <c r="I1091">
        <v>1287.6099999999999</v>
      </c>
      <c r="J1091">
        <v>0</v>
      </c>
      <c r="K1091">
        <v>1287.6099999999999</v>
      </c>
    </row>
    <row r="1092" spans="1:11" x14ac:dyDescent="0.25">
      <c r="A1092" t="s">
        <v>1132</v>
      </c>
      <c r="B1092" s="1">
        <v>46036.157002314816</v>
      </c>
      <c r="C1092" s="2" t="s">
        <v>39</v>
      </c>
      <c r="D1092" t="s">
        <v>13</v>
      </c>
      <c r="E1092">
        <v>240500</v>
      </c>
      <c r="F1092" t="s">
        <v>14</v>
      </c>
      <c r="G1092" t="s">
        <v>34</v>
      </c>
      <c r="H1092" t="s">
        <v>16</v>
      </c>
      <c r="I1092">
        <v>4449.25</v>
      </c>
      <c r="J1092">
        <v>1779.7</v>
      </c>
      <c r="K1092">
        <v>2669.55</v>
      </c>
    </row>
    <row r="1093" spans="1:11" x14ac:dyDescent="0.25">
      <c r="A1093" t="s">
        <v>1133</v>
      </c>
      <c r="B1093" s="1">
        <v>46069.77306712963</v>
      </c>
      <c r="C1093" s="2" t="s">
        <v>12</v>
      </c>
      <c r="D1093" t="s">
        <v>23</v>
      </c>
      <c r="E1093">
        <v>1680</v>
      </c>
      <c r="F1093" t="s">
        <v>14</v>
      </c>
      <c r="G1093" t="s">
        <v>84</v>
      </c>
      <c r="H1093" t="s">
        <v>16</v>
      </c>
      <c r="I1093">
        <v>0</v>
      </c>
      <c r="J1093">
        <v>0</v>
      </c>
      <c r="K1093">
        <v>0</v>
      </c>
    </row>
    <row r="1094" spans="1:11" x14ac:dyDescent="0.25">
      <c r="A1094" t="s">
        <v>1134</v>
      </c>
      <c r="B1094" s="1">
        <v>45910.540972222225</v>
      </c>
      <c r="C1094" s="2" t="s">
        <v>12</v>
      </c>
      <c r="D1094" t="s">
        <v>33</v>
      </c>
      <c r="E1094">
        <v>126352</v>
      </c>
      <c r="F1094" t="s">
        <v>99</v>
      </c>
      <c r="G1094" t="s">
        <v>84</v>
      </c>
      <c r="H1094" t="s">
        <v>16</v>
      </c>
      <c r="I1094">
        <v>0</v>
      </c>
      <c r="J1094">
        <v>0</v>
      </c>
      <c r="K1094">
        <v>0</v>
      </c>
    </row>
    <row r="1095" spans="1:11" x14ac:dyDescent="0.25">
      <c r="A1095" t="s">
        <v>1135</v>
      </c>
      <c r="B1095" s="1">
        <v>45917.653495370374</v>
      </c>
      <c r="C1095" s="2" t="s">
        <v>18</v>
      </c>
      <c r="D1095" t="s">
        <v>23</v>
      </c>
      <c r="E1095">
        <v>1162</v>
      </c>
      <c r="F1095" t="s">
        <v>14</v>
      </c>
      <c r="G1095" t="s">
        <v>27</v>
      </c>
      <c r="H1095" t="s">
        <v>16</v>
      </c>
      <c r="I1095">
        <v>0</v>
      </c>
      <c r="J1095">
        <v>0</v>
      </c>
      <c r="K1095">
        <v>0</v>
      </c>
    </row>
    <row r="1096" spans="1:11" x14ac:dyDescent="0.25">
      <c r="A1096" t="s">
        <v>1136</v>
      </c>
      <c r="B1096" s="1">
        <v>45971.160532407404</v>
      </c>
      <c r="C1096" s="2" t="s">
        <v>12</v>
      </c>
      <c r="D1096" t="s">
        <v>23</v>
      </c>
      <c r="E1096">
        <v>4863</v>
      </c>
      <c r="F1096" t="s">
        <v>14</v>
      </c>
      <c r="G1096" t="s">
        <v>27</v>
      </c>
      <c r="H1096" t="s">
        <v>16</v>
      </c>
      <c r="I1096">
        <v>0</v>
      </c>
      <c r="J1096">
        <v>0</v>
      </c>
      <c r="K1096">
        <v>0</v>
      </c>
    </row>
    <row r="1097" spans="1:11" x14ac:dyDescent="0.25">
      <c r="A1097" t="s">
        <v>1137</v>
      </c>
      <c r="B1097" s="1">
        <v>46131.392905092594</v>
      </c>
      <c r="C1097" s="2" t="s">
        <v>32</v>
      </c>
      <c r="D1097" t="s">
        <v>45</v>
      </c>
      <c r="E1097">
        <v>68722</v>
      </c>
      <c r="F1097" t="s">
        <v>50</v>
      </c>
      <c r="G1097" t="s">
        <v>34</v>
      </c>
      <c r="H1097" t="s">
        <v>56</v>
      </c>
      <c r="I1097">
        <v>687.22</v>
      </c>
      <c r="J1097">
        <v>0</v>
      </c>
      <c r="K1097">
        <v>687.22</v>
      </c>
    </row>
    <row r="1098" spans="1:11" x14ac:dyDescent="0.25">
      <c r="A1098" t="s">
        <v>1138</v>
      </c>
      <c r="B1098" s="1">
        <v>46065.299837962964</v>
      </c>
      <c r="C1098" s="2" t="s">
        <v>32</v>
      </c>
      <c r="D1098" t="s">
        <v>13</v>
      </c>
      <c r="E1098">
        <v>47000</v>
      </c>
      <c r="F1098" t="s">
        <v>14</v>
      </c>
      <c r="G1098" t="s">
        <v>34</v>
      </c>
      <c r="H1098" t="s">
        <v>16</v>
      </c>
      <c r="I1098">
        <v>869.5</v>
      </c>
      <c r="J1098">
        <v>347.8</v>
      </c>
      <c r="K1098">
        <v>521.70000000000005</v>
      </c>
    </row>
    <row r="1099" spans="1:11" x14ac:dyDescent="0.25">
      <c r="A1099" t="s">
        <v>1139</v>
      </c>
      <c r="B1099" s="1">
        <v>45862.181481481479</v>
      </c>
      <c r="C1099" s="2" t="s">
        <v>32</v>
      </c>
      <c r="D1099" t="s">
        <v>19</v>
      </c>
      <c r="E1099">
        <v>87692</v>
      </c>
      <c r="F1099" t="s">
        <v>14</v>
      </c>
      <c r="G1099" t="s">
        <v>84</v>
      </c>
      <c r="H1099" t="s">
        <v>16</v>
      </c>
      <c r="I1099">
        <v>5</v>
      </c>
      <c r="J1099">
        <v>0</v>
      </c>
      <c r="K1099">
        <v>5</v>
      </c>
    </row>
    <row r="1100" spans="1:11" x14ac:dyDescent="0.25">
      <c r="A1100" t="s">
        <v>1140</v>
      </c>
      <c r="B1100" s="1">
        <v>46056.283055555556</v>
      </c>
      <c r="C1100" s="2" t="s">
        <v>18</v>
      </c>
      <c r="D1100" t="s">
        <v>13</v>
      </c>
      <c r="E1100">
        <v>2000</v>
      </c>
      <c r="F1100" t="s">
        <v>14</v>
      </c>
      <c r="G1100" t="s">
        <v>30</v>
      </c>
      <c r="H1100" t="s">
        <v>16</v>
      </c>
      <c r="I1100">
        <v>37</v>
      </c>
      <c r="J1100">
        <v>14.8</v>
      </c>
      <c r="K1100">
        <v>22.2</v>
      </c>
    </row>
    <row r="1101" spans="1:11" x14ac:dyDescent="0.25">
      <c r="A1101" t="s">
        <v>1141</v>
      </c>
      <c r="B1101" s="1">
        <v>46134.706875000003</v>
      </c>
      <c r="C1101" s="2" t="s">
        <v>18</v>
      </c>
      <c r="D1101" t="s">
        <v>45</v>
      </c>
      <c r="E1101">
        <v>35966</v>
      </c>
      <c r="F1101" t="s">
        <v>14</v>
      </c>
      <c r="G1101" t="s">
        <v>34</v>
      </c>
      <c r="H1101" t="s">
        <v>56</v>
      </c>
      <c r="I1101">
        <v>359.66</v>
      </c>
      <c r="J1101">
        <v>0</v>
      </c>
      <c r="K1101">
        <v>359.66</v>
      </c>
    </row>
    <row r="1102" spans="1:11" x14ac:dyDescent="0.25">
      <c r="A1102" t="s">
        <v>1142</v>
      </c>
      <c r="B1102" s="1">
        <v>45812.252430555556</v>
      </c>
      <c r="C1102" s="2" t="s">
        <v>41</v>
      </c>
      <c r="D1102" t="s">
        <v>13</v>
      </c>
      <c r="E1102">
        <v>190500</v>
      </c>
      <c r="F1102" t="s">
        <v>99</v>
      </c>
      <c r="G1102" t="s">
        <v>20</v>
      </c>
      <c r="H1102" t="s">
        <v>16</v>
      </c>
      <c r="I1102">
        <v>3524.25</v>
      </c>
      <c r="J1102">
        <v>1409.7</v>
      </c>
      <c r="K1102">
        <v>2114.5500000000002</v>
      </c>
    </row>
    <row r="1103" spans="1:11" x14ac:dyDescent="0.25">
      <c r="A1103" t="s">
        <v>1143</v>
      </c>
      <c r="B1103" s="1">
        <v>45781.733391203707</v>
      </c>
      <c r="C1103" s="2" t="s">
        <v>32</v>
      </c>
      <c r="D1103" t="s">
        <v>33</v>
      </c>
      <c r="E1103">
        <v>9254</v>
      </c>
      <c r="F1103" t="s">
        <v>50</v>
      </c>
      <c r="G1103" t="s">
        <v>15</v>
      </c>
      <c r="H1103" t="s">
        <v>16</v>
      </c>
      <c r="I1103">
        <v>0</v>
      </c>
      <c r="J1103">
        <v>0</v>
      </c>
      <c r="K1103">
        <v>0</v>
      </c>
    </row>
    <row r="1104" spans="1:11" x14ac:dyDescent="0.25">
      <c r="A1104" t="s">
        <v>1144</v>
      </c>
      <c r="B1104" s="1">
        <v>45787.135717592595</v>
      </c>
      <c r="C1104" s="2" t="s">
        <v>26</v>
      </c>
      <c r="D1104" t="s">
        <v>13</v>
      </c>
      <c r="E1104">
        <v>7000</v>
      </c>
      <c r="F1104" t="s">
        <v>14</v>
      </c>
      <c r="G1104" t="s">
        <v>27</v>
      </c>
      <c r="H1104" t="s">
        <v>16</v>
      </c>
      <c r="I1104">
        <v>129.5</v>
      </c>
      <c r="J1104">
        <v>51.8</v>
      </c>
      <c r="K1104">
        <v>77.7</v>
      </c>
    </row>
    <row r="1105" spans="1:11" x14ac:dyDescent="0.25">
      <c r="A1105" t="s">
        <v>1145</v>
      </c>
      <c r="B1105" s="1">
        <v>45938.638784722221</v>
      </c>
      <c r="C1105" s="2" t="s">
        <v>26</v>
      </c>
      <c r="D1105" t="s">
        <v>33</v>
      </c>
      <c r="E1105">
        <v>128414</v>
      </c>
      <c r="F1105" t="s">
        <v>14</v>
      </c>
      <c r="G1105" t="s">
        <v>51</v>
      </c>
      <c r="H1105" t="s">
        <v>16</v>
      </c>
      <c r="I1105">
        <v>0</v>
      </c>
      <c r="J1105">
        <v>0</v>
      </c>
      <c r="K1105">
        <v>0</v>
      </c>
    </row>
    <row r="1106" spans="1:11" x14ac:dyDescent="0.25">
      <c r="A1106" t="s">
        <v>1146</v>
      </c>
      <c r="B1106" s="1">
        <v>46066.356076388889</v>
      </c>
      <c r="C1106" s="2" t="s">
        <v>18</v>
      </c>
      <c r="D1106" t="s">
        <v>19</v>
      </c>
      <c r="E1106">
        <v>62313</v>
      </c>
      <c r="F1106" t="s">
        <v>14</v>
      </c>
      <c r="G1106" t="s">
        <v>58</v>
      </c>
      <c r="H1106" t="s">
        <v>16</v>
      </c>
      <c r="I1106">
        <v>5</v>
      </c>
      <c r="J1106">
        <v>0</v>
      </c>
      <c r="K1106">
        <v>5</v>
      </c>
    </row>
    <row r="1107" spans="1:11" x14ac:dyDescent="0.25">
      <c r="A1107" t="s">
        <v>1147</v>
      </c>
      <c r="B1107" s="1">
        <v>45898.394641203704</v>
      </c>
      <c r="C1107" s="2" t="s">
        <v>12</v>
      </c>
      <c r="D1107" t="s">
        <v>45</v>
      </c>
      <c r="E1107">
        <v>144528</v>
      </c>
      <c r="F1107" t="s">
        <v>14</v>
      </c>
      <c r="G1107" t="s">
        <v>24</v>
      </c>
      <c r="H1107" t="s">
        <v>59</v>
      </c>
      <c r="I1107">
        <v>1445.28</v>
      </c>
      <c r="J1107">
        <v>0</v>
      </c>
      <c r="K1107">
        <v>1445.28</v>
      </c>
    </row>
    <row r="1108" spans="1:11" x14ac:dyDescent="0.25">
      <c r="A1108" t="s">
        <v>1148</v>
      </c>
      <c r="B1108" s="1">
        <v>46063.468587962961</v>
      </c>
      <c r="C1108" s="2" t="s">
        <v>22</v>
      </c>
      <c r="D1108" t="s">
        <v>19</v>
      </c>
      <c r="E1108">
        <v>13921</v>
      </c>
      <c r="F1108" t="s">
        <v>14</v>
      </c>
      <c r="G1108" t="s">
        <v>34</v>
      </c>
      <c r="H1108" t="s">
        <v>16</v>
      </c>
      <c r="I1108">
        <v>5</v>
      </c>
      <c r="J1108">
        <v>0</v>
      </c>
      <c r="K1108">
        <v>5</v>
      </c>
    </row>
    <row r="1109" spans="1:11" x14ac:dyDescent="0.25">
      <c r="A1109" t="s">
        <v>1149</v>
      </c>
      <c r="B1109" s="1">
        <v>46047.356087962966</v>
      </c>
      <c r="C1109" s="2" t="s">
        <v>18</v>
      </c>
      <c r="D1109" t="s">
        <v>13</v>
      </c>
      <c r="E1109">
        <v>208500</v>
      </c>
      <c r="F1109" t="s">
        <v>14</v>
      </c>
      <c r="G1109" t="s">
        <v>20</v>
      </c>
      <c r="H1109" t="s">
        <v>16</v>
      </c>
      <c r="I1109">
        <v>3857.25</v>
      </c>
      <c r="J1109">
        <v>1542.9</v>
      </c>
      <c r="K1109">
        <v>2314.35</v>
      </c>
    </row>
    <row r="1110" spans="1:11" x14ac:dyDescent="0.25">
      <c r="A1110" t="s">
        <v>1150</v>
      </c>
      <c r="B1110" s="1">
        <v>45966.41814814815</v>
      </c>
      <c r="C1110" s="2" t="s">
        <v>41</v>
      </c>
      <c r="D1110" t="s">
        <v>45</v>
      </c>
      <c r="E1110">
        <v>28124</v>
      </c>
      <c r="F1110" t="s">
        <v>14</v>
      </c>
      <c r="G1110" t="s">
        <v>84</v>
      </c>
      <c r="H1110" t="s">
        <v>56</v>
      </c>
      <c r="I1110">
        <v>281.24</v>
      </c>
      <c r="J1110">
        <v>0</v>
      </c>
      <c r="K1110">
        <v>281.24</v>
      </c>
    </row>
    <row r="1111" spans="1:11" x14ac:dyDescent="0.25">
      <c r="A1111" t="s">
        <v>1151</v>
      </c>
      <c r="B1111" s="1">
        <v>45899.135648148149</v>
      </c>
      <c r="C1111" s="2" t="s">
        <v>32</v>
      </c>
      <c r="D1111" t="s">
        <v>45</v>
      </c>
      <c r="E1111">
        <v>114874</v>
      </c>
      <c r="F1111" t="s">
        <v>50</v>
      </c>
      <c r="G1111" t="s">
        <v>34</v>
      </c>
      <c r="H1111" t="s">
        <v>71</v>
      </c>
      <c r="I1111">
        <v>1148.74</v>
      </c>
      <c r="J1111">
        <v>0</v>
      </c>
      <c r="K1111">
        <v>1148.74</v>
      </c>
    </row>
    <row r="1112" spans="1:11" x14ac:dyDescent="0.25">
      <c r="A1112" t="s">
        <v>1152</v>
      </c>
      <c r="B1112" s="1">
        <v>45829.087500000001</v>
      </c>
      <c r="C1112" s="2" t="s">
        <v>39</v>
      </c>
      <c r="D1112" t="s">
        <v>23</v>
      </c>
      <c r="E1112">
        <v>2893</v>
      </c>
      <c r="F1112" t="s">
        <v>14</v>
      </c>
      <c r="G1112" t="s">
        <v>24</v>
      </c>
      <c r="H1112" t="s">
        <v>16</v>
      </c>
      <c r="I1112">
        <v>0</v>
      </c>
      <c r="J1112">
        <v>0</v>
      </c>
      <c r="K1112">
        <v>0</v>
      </c>
    </row>
    <row r="1113" spans="1:11" x14ac:dyDescent="0.25">
      <c r="A1113" t="s">
        <v>1153</v>
      </c>
      <c r="B1113" s="1">
        <v>46126.046932870369</v>
      </c>
      <c r="C1113" s="2" t="s">
        <v>12</v>
      </c>
      <c r="D1113" t="s">
        <v>13</v>
      </c>
      <c r="E1113">
        <v>202000</v>
      </c>
      <c r="F1113" t="s">
        <v>14</v>
      </c>
      <c r="G1113" t="s">
        <v>24</v>
      </c>
      <c r="H1113" t="s">
        <v>16</v>
      </c>
      <c r="I1113">
        <v>3737</v>
      </c>
      <c r="J1113">
        <v>1494.8</v>
      </c>
      <c r="K1113">
        <v>2242.1999999999998</v>
      </c>
    </row>
    <row r="1114" spans="1:11" x14ac:dyDescent="0.25">
      <c r="A1114" t="s">
        <v>1154</v>
      </c>
      <c r="B1114" s="1">
        <v>46103.792951388888</v>
      </c>
      <c r="C1114" s="2" t="s">
        <v>26</v>
      </c>
      <c r="D1114" t="s">
        <v>19</v>
      </c>
      <c r="E1114">
        <v>112656</v>
      </c>
      <c r="F1114" t="s">
        <v>14</v>
      </c>
      <c r="G1114" t="s">
        <v>51</v>
      </c>
      <c r="H1114" t="s">
        <v>16</v>
      </c>
      <c r="I1114">
        <v>5</v>
      </c>
      <c r="J1114">
        <v>0</v>
      </c>
      <c r="K1114">
        <v>5</v>
      </c>
    </row>
    <row r="1115" spans="1:11" x14ac:dyDescent="0.25">
      <c r="A1115" t="s">
        <v>1155</v>
      </c>
      <c r="B1115" s="1">
        <v>46015.72892361111</v>
      </c>
      <c r="C1115" s="2" t="s">
        <v>26</v>
      </c>
      <c r="D1115" t="s">
        <v>45</v>
      </c>
      <c r="E1115">
        <v>93747</v>
      </c>
      <c r="F1115" t="s">
        <v>14</v>
      </c>
      <c r="G1115" t="s">
        <v>34</v>
      </c>
      <c r="H1115" t="s">
        <v>178</v>
      </c>
      <c r="I1115">
        <v>937.47</v>
      </c>
      <c r="J1115">
        <v>0</v>
      </c>
      <c r="K1115">
        <v>937.47</v>
      </c>
    </row>
    <row r="1116" spans="1:11" x14ac:dyDescent="0.25">
      <c r="A1116" t="s">
        <v>1156</v>
      </c>
      <c r="B1116" s="1">
        <v>45950.256481481483</v>
      </c>
      <c r="C1116" s="2" t="s">
        <v>12</v>
      </c>
      <c r="D1116" t="s">
        <v>33</v>
      </c>
      <c r="E1116">
        <v>125563</v>
      </c>
      <c r="F1116" t="s">
        <v>14</v>
      </c>
      <c r="G1116" t="s">
        <v>27</v>
      </c>
      <c r="H1116" t="s">
        <v>16</v>
      </c>
      <c r="I1116">
        <v>0</v>
      </c>
      <c r="J1116">
        <v>0</v>
      </c>
      <c r="K1116">
        <v>0</v>
      </c>
    </row>
    <row r="1117" spans="1:11" x14ac:dyDescent="0.25">
      <c r="A1117" t="s">
        <v>1157</v>
      </c>
      <c r="B1117" s="1">
        <v>46120.702962962961</v>
      </c>
      <c r="C1117" s="2" t="s">
        <v>18</v>
      </c>
      <c r="D1117" t="s">
        <v>13</v>
      </c>
      <c r="E1117">
        <v>67500</v>
      </c>
      <c r="F1117" t="s">
        <v>14</v>
      </c>
      <c r="G1117" t="s">
        <v>34</v>
      </c>
      <c r="H1117" t="s">
        <v>16</v>
      </c>
      <c r="I1117">
        <v>1248.75</v>
      </c>
      <c r="J1117">
        <v>499.5</v>
      </c>
      <c r="K1117">
        <v>749.25</v>
      </c>
    </row>
    <row r="1118" spans="1:11" x14ac:dyDescent="0.25">
      <c r="A1118" t="s">
        <v>1158</v>
      </c>
      <c r="B1118" s="1">
        <v>46019.448263888888</v>
      </c>
      <c r="C1118" s="2" t="s">
        <v>29</v>
      </c>
      <c r="D1118" t="s">
        <v>13</v>
      </c>
      <c r="E1118">
        <v>18500</v>
      </c>
      <c r="F1118" t="s">
        <v>14</v>
      </c>
      <c r="G1118" t="s">
        <v>24</v>
      </c>
      <c r="H1118" t="s">
        <v>16</v>
      </c>
      <c r="I1118">
        <v>342.25</v>
      </c>
      <c r="J1118">
        <v>136.9</v>
      </c>
      <c r="K1118">
        <v>205.35</v>
      </c>
    </row>
    <row r="1119" spans="1:11" x14ac:dyDescent="0.25">
      <c r="A1119" t="s">
        <v>1159</v>
      </c>
      <c r="B1119" s="1">
        <v>46125.213333333333</v>
      </c>
      <c r="C1119" s="2" t="s">
        <v>41</v>
      </c>
      <c r="D1119" t="s">
        <v>33</v>
      </c>
      <c r="E1119">
        <v>119903</v>
      </c>
      <c r="F1119" t="s">
        <v>50</v>
      </c>
      <c r="G1119" t="s">
        <v>30</v>
      </c>
      <c r="H1119" t="s">
        <v>16</v>
      </c>
      <c r="I1119">
        <v>0</v>
      </c>
      <c r="J1119">
        <v>0</v>
      </c>
      <c r="K1119">
        <v>0</v>
      </c>
    </row>
    <row r="1120" spans="1:11" x14ac:dyDescent="0.25">
      <c r="A1120" t="s">
        <v>1160</v>
      </c>
      <c r="B1120" s="1">
        <v>45812.316180555557</v>
      </c>
      <c r="C1120" s="2" t="s">
        <v>29</v>
      </c>
      <c r="D1120" t="s">
        <v>33</v>
      </c>
      <c r="E1120">
        <v>5940</v>
      </c>
      <c r="F1120" t="s">
        <v>14</v>
      </c>
      <c r="G1120" t="s">
        <v>30</v>
      </c>
      <c r="H1120" t="s">
        <v>16</v>
      </c>
      <c r="I1120">
        <v>0</v>
      </c>
      <c r="J1120">
        <v>0</v>
      </c>
      <c r="K1120">
        <v>0</v>
      </c>
    </row>
    <row r="1121" spans="1:11" x14ac:dyDescent="0.25">
      <c r="A1121" t="s">
        <v>1161</v>
      </c>
      <c r="B1121" s="1">
        <v>45963.914467592593</v>
      </c>
      <c r="C1121" s="2" t="s">
        <v>22</v>
      </c>
      <c r="D1121" t="s">
        <v>19</v>
      </c>
      <c r="E1121">
        <v>10168</v>
      </c>
      <c r="F1121" t="s">
        <v>14</v>
      </c>
      <c r="G1121" t="s">
        <v>15</v>
      </c>
      <c r="H1121" t="s">
        <v>16</v>
      </c>
      <c r="I1121">
        <v>5</v>
      </c>
      <c r="J1121">
        <v>0</v>
      </c>
      <c r="K1121">
        <v>5</v>
      </c>
    </row>
    <row r="1122" spans="1:11" x14ac:dyDescent="0.25">
      <c r="A1122" t="s">
        <v>1162</v>
      </c>
      <c r="B1122" s="1">
        <v>46061.740046296298</v>
      </c>
      <c r="C1122" s="2" t="s">
        <v>22</v>
      </c>
      <c r="D1122" t="s">
        <v>23</v>
      </c>
      <c r="E1122">
        <v>3376</v>
      </c>
      <c r="F1122" t="s">
        <v>14</v>
      </c>
      <c r="G1122" t="s">
        <v>20</v>
      </c>
      <c r="H1122" t="s">
        <v>16</v>
      </c>
      <c r="I1122">
        <v>0</v>
      </c>
      <c r="J1122">
        <v>0</v>
      </c>
      <c r="K1122">
        <v>0</v>
      </c>
    </row>
    <row r="1123" spans="1:11" x14ac:dyDescent="0.25">
      <c r="A1123" t="s">
        <v>1163</v>
      </c>
      <c r="B1123" s="1">
        <v>46095.673078703701</v>
      </c>
      <c r="C1123" s="2" t="s">
        <v>29</v>
      </c>
      <c r="D1123" t="s">
        <v>19</v>
      </c>
      <c r="E1123">
        <v>116219</v>
      </c>
      <c r="F1123" t="s">
        <v>14</v>
      </c>
      <c r="G1123" t="s">
        <v>34</v>
      </c>
      <c r="H1123" t="s">
        <v>16</v>
      </c>
      <c r="I1123">
        <v>5</v>
      </c>
      <c r="J1123">
        <v>0</v>
      </c>
      <c r="K1123">
        <v>5</v>
      </c>
    </row>
    <row r="1124" spans="1:11" x14ac:dyDescent="0.25">
      <c r="A1124" t="s">
        <v>1164</v>
      </c>
      <c r="B1124" s="1">
        <v>45788.343240740738</v>
      </c>
      <c r="C1124" s="2" t="s">
        <v>18</v>
      </c>
      <c r="D1124" t="s">
        <v>33</v>
      </c>
      <c r="E1124">
        <v>67182</v>
      </c>
      <c r="F1124" t="s">
        <v>50</v>
      </c>
      <c r="G1124" t="s">
        <v>84</v>
      </c>
      <c r="H1124" t="s">
        <v>16</v>
      </c>
      <c r="I1124">
        <v>0</v>
      </c>
      <c r="J1124">
        <v>0</v>
      </c>
      <c r="K1124">
        <v>0</v>
      </c>
    </row>
    <row r="1125" spans="1:11" x14ac:dyDescent="0.25">
      <c r="A1125" t="s">
        <v>1165</v>
      </c>
      <c r="B1125" s="1">
        <v>45947.688206018516</v>
      </c>
      <c r="C1125" s="2" t="s">
        <v>18</v>
      </c>
      <c r="D1125" t="s">
        <v>33</v>
      </c>
      <c r="E1125">
        <v>66971</v>
      </c>
      <c r="F1125" t="s">
        <v>14</v>
      </c>
      <c r="G1125" t="s">
        <v>34</v>
      </c>
      <c r="H1125" t="s">
        <v>16</v>
      </c>
      <c r="I1125">
        <v>0</v>
      </c>
      <c r="J1125">
        <v>0</v>
      </c>
      <c r="K1125">
        <v>0</v>
      </c>
    </row>
    <row r="1126" spans="1:11" x14ac:dyDescent="0.25">
      <c r="A1126" t="s">
        <v>1166</v>
      </c>
      <c r="B1126" s="1">
        <v>46087.215995370374</v>
      </c>
      <c r="C1126" s="2" t="s">
        <v>41</v>
      </c>
      <c r="D1126" t="s">
        <v>45</v>
      </c>
      <c r="E1126">
        <v>61863</v>
      </c>
      <c r="F1126" t="s">
        <v>14</v>
      </c>
      <c r="G1126" t="s">
        <v>84</v>
      </c>
      <c r="H1126" t="s">
        <v>46</v>
      </c>
      <c r="I1126">
        <v>618.63</v>
      </c>
      <c r="J1126">
        <v>0</v>
      </c>
      <c r="K1126">
        <v>618.63</v>
      </c>
    </row>
    <row r="1127" spans="1:11" x14ac:dyDescent="0.25">
      <c r="A1127" t="s">
        <v>1167</v>
      </c>
      <c r="B1127" s="1">
        <v>46061.621747685182</v>
      </c>
      <c r="C1127" s="2" t="s">
        <v>41</v>
      </c>
      <c r="D1127" t="s">
        <v>33</v>
      </c>
      <c r="E1127">
        <v>3027</v>
      </c>
      <c r="F1127" t="s">
        <v>14</v>
      </c>
      <c r="G1127" t="s">
        <v>84</v>
      </c>
      <c r="H1127" t="s">
        <v>16</v>
      </c>
      <c r="I1127">
        <v>0</v>
      </c>
      <c r="J1127">
        <v>0</v>
      </c>
      <c r="K1127">
        <v>0</v>
      </c>
    </row>
    <row r="1128" spans="1:11" x14ac:dyDescent="0.25">
      <c r="A1128" t="s">
        <v>1168</v>
      </c>
      <c r="B1128" s="1">
        <v>46058.454409722224</v>
      </c>
      <c r="C1128" s="2" t="s">
        <v>22</v>
      </c>
      <c r="D1128" t="s">
        <v>33</v>
      </c>
      <c r="E1128">
        <v>73787</v>
      </c>
      <c r="F1128" t="s">
        <v>14</v>
      </c>
      <c r="G1128" t="s">
        <v>20</v>
      </c>
      <c r="H1128" t="s">
        <v>16</v>
      </c>
      <c r="I1128">
        <v>0</v>
      </c>
      <c r="J1128">
        <v>0</v>
      </c>
      <c r="K1128">
        <v>0</v>
      </c>
    </row>
    <row r="1129" spans="1:11" x14ac:dyDescent="0.25">
      <c r="A1129" t="s">
        <v>1169</v>
      </c>
      <c r="B1129" s="1">
        <v>46103.958657407406</v>
      </c>
      <c r="C1129" s="2" t="s">
        <v>39</v>
      </c>
      <c r="D1129" t="s">
        <v>13</v>
      </c>
      <c r="E1129">
        <v>3500</v>
      </c>
      <c r="F1129" t="s">
        <v>14</v>
      </c>
      <c r="G1129" t="s">
        <v>58</v>
      </c>
      <c r="H1129" t="s">
        <v>16</v>
      </c>
      <c r="I1129">
        <v>64.75</v>
      </c>
      <c r="J1129">
        <v>25.9</v>
      </c>
      <c r="K1129">
        <v>38.85</v>
      </c>
    </row>
    <row r="1130" spans="1:11" x14ac:dyDescent="0.25">
      <c r="A1130" t="s">
        <v>1170</v>
      </c>
      <c r="B1130" s="1">
        <v>45948.108912037038</v>
      </c>
      <c r="C1130" s="2" t="s">
        <v>32</v>
      </c>
      <c r="D1130" t="s">
        <v>19</v>
      </c>
      <c r="E1130">
        <v>93179</v>
      </c>
      <c r="F1130" t="s">
        <v>14</v>
      </c>
      <c r="G1130" t="s">
        <v>30</v>
      </c>
      <c r="H1130" t="s">
        <v>16</v>
      </c>
      <c r="I1130">
        <v>5</v>
      </c>
      <c r="J1130">
        <v>0</v>
      </c>
      <c r="K1130">
        <v>5</v>
      </c>
    </row>
    <row r="1131" spans="1:11" x14ac:dyDescent="0.25">
      <c r="A1131" t="s">
        <v>1171</v>
      </c>
      <c r="B1131" s="1">
        <v>46058.857708333337</v>
      </c>
      <c r="C1131" s="2" t="s">
        <v>29</v>
      </c>
      <c r="D1131" t="s">
        <v>19</v>
      </c>
      <c r="E1131">
        <v>59172</v>
      </c>
      <c r="F1131" t="s">
        <v>14</v>
      </c>
      <c r="G1131" t="s">
        <v>24</v>
      </c>
      <c r="H1131" t="s">
        <v>16</v>
      </c>
      <c r="I1131">
        <v>5</v>
      </c>
      <c r="J1131">
        <v>0</v>
      </c>
      <c r="K1131">
        <v>5</v>
      </c>
    </row>
    <row r="1132" spans="1:11" x14ac:dyDescent="0.25">
      <c r="A1132" t="s">
        <v>1172</v>
      </c>
      <c r="B1132" s="1">
        <v>45863.291921296295</v>
      </c>
      <c r="C1132" s="2" t="s">
        <v>26</v>
      </c>
      <c r="D1132" t="s">
        <v>23</v>
      </c>
      <c r="E1132">
        <v>3826</v>
      </c>
      <c r="F1132" t="s">
        <v>14</v>
      </c>
      <c r="G1132" t="s">
        <v>15</v>
      </c>
      <c r="H1132" t="s">
        <v>16</v>
      </c>
      <c r="I1132">
        <v>0</v>
      </c>
      <c r="J1132">
        <v>0</v>
      </c>
      <c r="K1132">
        <v>0</v>
      </c>
    </row>
    <row r="1133" spans="1:11" x14ac:dyDescent="0.25">
      <c r="A1133" t="s">
        <v>1173</v>
      </c>
      <c r="B1133" s="1">
        <v>45822.69222222222</v>
      </c>
      <c r="C1133" s="2" t="s">
        <v>18</v>
      </c>
      <c r="D1133" t="s">
        <v>23</v>
      </c>
      <c r="E1133">
        <v>4535</v>
      </c>
      <c r="F1133" t="s">
        <v>14</v>
      </c>
      <c r="G1133" t="s">
        <v>51</v>
      </c>
      <c r="H1133" t="s">
        <v>16</v>
      </c>
      <c r="I1133">
        <v>0</v>
      </c>
      <c r="J1133">
        <v>0</v>
      </c>
      <c r="K1133">
        <v>0</v>
      </c>
    </row>
    <row r="1134" spans="1:11" x14ac:dyDescent="0.25">
      <c r="A1134" t="s">
        <v>1174</v>
      </c>
      <c r="B1134" s="1">
        <v>46019.043946759259</v>
      </c>
      <c r="C1134" s="2" t="s">
        <v>39</v>
      </c>
      <c r="D1134" t="s">
        <v>13</v>
      </c>
      <c r="E1134">
        <v>27500</v>
      </c>
      <c r="F1134" t="s">
        <v>50</v>
      </c>
      <c r="G1134" t="s">
        <v>58</v>
      </c>
      <c r="H1134" t="s">
        <v>16</v>
      </c>
      <c r="I1134">
        <v>508.75</v>
      </c>
      <c r="J1134">
        <v>203.5</v>
      </c>
      <c r="K1134">
        <v>305.25</v>
      </c>
    </row>
    <row r="1135" spans="1:11" x14ac:dyDescent="0.25">
      <c r="A1135" t="s">
        <v>1175</v>
      </c>
      <c r="B1135" s="1">
        <v>45959.070370370369</v>
      </c>
      <c r="C1135" s="2" t="s">
        <v>29</v>
      </c>
      <c r="D1135" t="s">
        <v>19</v>
      </c>
      <c r="E1135">
        <v>57641</v>
      </c>
      <c r="F1135" t="s">
        <v>14</v>
      </c>
      <c r="G1135" t="s">
        <v>34</v>
      </c>
      <c r="H1135" t="s">
        <v>16</v>
      </c>
      <c r="I1135">
        <v>5</v>
      </c>
      <c r="J1135">
        <v>0</v>
      </c>
      <c r="K1135">
        <v>5</v>
      </c>
    </row>
    <row r="1136" spans="1:11" x14ac:dyDescent="0.25">
      <c r="A1136" t="s">
        <v>1176</v>
      </c>
      <c r="B1136" s="1">
        <v>45821.286365740743</v>
      </c>
      <c r="C1136" s="2" t="s">
        <v>26</v>
      </c>
      <c r="D1136" t="s">
        <v>13</v>
      </c>
      <c r="E1136">
        <v>42000</v>
      </c>
      <c r="F1136" t="s">
        <v>14</v>
      </c>
      <c r="G1136" t="s">
        <v>34</v>
      </c>
      <c r="H1136" t="s">
        <v>16</v>
      </c>
      <c r="I1136">
        <v>777</v>
      </c>
      <c r="J1136">
        <v>310.8</v>
      </c>
      <c r="K1136">
        <v>466.2</v>
      </c>
    </row>
    <row r="1137" spans="1:11" x14ac:dyDescent="0.25">
      <c r="A1137" t="s">
        <v>1177</v>
      </c>
      <c r="B1137" s="1">
        <v>45841.550706018519</v>
      </c>
      <c r="C1137" s="2" t="s">
        <v>18</v>
      </c>
      <c r="D1137" t="s">
        <v>45</v>
      </c>
      <c r="E1137">
        <v>127410</v>
      </c>
      <c r="F1137" t="s">
        <v>14</v>
      </c>
      <c r="G1137" t="s">
        <v>24</v>
      </c>
      <c r="H1137" t="s">
        <v>71</v>
      </c>
      <c r="I1137">
        <v>1274.0999999999999</v>
      </c>
      <c r="J1137">
        <v>0</v>
      </c>
      <c r="K1137">
        <v>1274.0999999999999</v>
      </c>
    </row>
    <row r="1138" spans="1:11" x14ac:dyDescent="0.25">
      <c r="A1138" t="s">
        <v>1178</v>
      </c>
      <c r="B1138" s="1">
        <v>45885.744039351855</v>
      </c>
      <c r="C1138" s="2" t="s">
        <v>32</v>
      </c>
      <c r="D1138" t="s">
        <v>33</v>
      </c>
      <c r="E1138">
        <v>95898</v>
      </c>
      <c r="F1138" t="s">
        <v>14</v>
      </c>
      <c r="G1138" t="s">
        <v>84</v>
      </c>
      <c r="H1138" t="s">
        <v>16</v>
      </c>
      <c r="I1138">
        <v>0</v>
      </c>
      <c r="J1138">
        <v>0</v>
      </c>
      <c r="K1138">
        <v>0</v>
      </c>
    </row>
    <row r="1139" spans="1:11" x14ac:dyDescent="0.25">
      <c r="A1139" t="s">
        <v>1179</v>
      </c>
      <c r="B1139" s="1">
        <v>46106.431087962963</v>
      </c>
      <c r="C1139" s="2" t="s">
        <v>26</v>
      </c>
      <c r="D1139" t="s">
        <v>19</v>
      </c>
      <c r="E1139">
        <v>142456</v>
      </c>
      <c r="F1139" t="s">
        <v>99</v>
      </c>
      <c r="G1139" t="s">
        <v>51</v>
      </c>
      <c r="H1139" t="s">
        <v>16</v>
      </c>
      <c r="I1139">
        <v>5</v>
      </c>
      <c r="J1139">
        <v>0</v>
      </c>
      <c r="K1139">
        <v>5</v>
      </c>
    </row>
    <row r="1140" spans="1:11" x14ac:dyDescent="0.25">
      <c r="A1140" t="s">
        <v>1180</v>
      </c>
      <c r="B1140" s="1">
        <v>46048.635879629626</v>
      </c>
      <c r="C1140" s="2" t="s">
        <v>12</v>
      </c>
      <c r="D1140" t="s">
        <v>45</v>
      </c>
      <c r="E1140">
        <v>127585</v>
      </c>
      <c r="F1140" t="s">
        <v>14</v>
      </c>
      <c r="G1140" t="s">
        <v>24</v>
      </c>
      <c r="H1140" t="s">
        <v>178</v>
      </c>
      <c r="I1140">
        <v>1275.8499999999999</v>
      </c>
      <c r="J1140">
        <v>0</v>
      </c>
      <c r="K1140">
        <v>1275.8499999999999</v>
      </c>
    </row>
    <row r="1141" spans="1:11" x14ac:dyDescent="0.25">
      <c r="A1141" t="s">
        <v>1181</v>
      </c>
      <c r="B1141" s="1">
        <v>45967.297939814816</v>
      </c>
      <c r="C1141" s="2" t="s">
        <v>26</v>
      </c>
      <c r="D1141" t="s">
        <v>13</v>
      </c>
      <c r="E1141">
        <v>140500</v>
      </c>
      <c r="F1141" t="s">
        <v>14</v>
      </c>
      <c r="G1141" t="s">
        <v>24</v>
      </c>
      <c r="H1141" t="s">
        <v>16</v>
      </c>
      <c r="I1141">
        <v>2599.25</v>
      </c>
      <c r="J1141">
        <v>1039.7</v>
      </c>
      <c r="K1141">
        <v>1559.55</v>
      </c>
    </row>
    <row r="1142" spans="1:11" x14ac:dyDescent="0.25">
      <c r="A1142" t="s">
        <v>1182</v>
      </c>
      <c r="B1142" s="1">
        <v>45789.635578703703</v>
      </c>
      <c r="C1142" s="2" t="s">
        <v>39</v>
      </c>
      <c r="D1142" t="s">
        <v>23</v>
      </c>
      <c r="E1142">
        <v>2808</v>
      </c>
      <c r="F1142" t="s">
        <v>14</v>
      </c>
      <c r="G1142" t="s">
        <v>27</v>
      </c>
      <c r="H1142" t="s">
        <v>16</v>
      </c>
      <c r="I1142">
        <v>0</v>
      </c>
      <c r="J1142">
        <v>0</v>
      </c>
      <c r="K1142">
        <v>0</v>
      </c>
    </row>
    <row r="1143" spans="1:11" x14ac:dyDescent="0.25">
      <c r="A1143" t="s">
        <v>1183</v>
      </c>
      <c r="B1143" s="1">
        <v>45956.411631944444</v>
      </c>
      <c r="C1143" s="2" t="s">
        <v>26</v>
      </c>
      <c r="D1143" t="s">
        <v>13</v>
      </c>
      <c r="E1143">
        <v>94500</v>
      </c>
      <c r="F1143" t="s">
        <v>14</v>
      </c>
      <c r="G1143" t="s">
        <v>30</v>
      </c>
      <c r="H1143" t="s">
        <v>16</v>
      </c>
      <c r="I1143">
        <v>1748.25</v>
      </c>
      <c r="J1143">
        <v>699.3</v>
      </c>
      <c r="K1143">
        <v>1048.95</v>
      </c>
    </row>
    <row r="1144" spans="1:11" x14ac:dyDescent="0.25">
      <c r="A1144" t="s">
        <v>1184</v>
      </c>
      <c r="B1144" s="1">
        <v>45827.656388888892</v>
      </c>
      <c r="C1144" s="2" t="s">
        <v>18</v>
      </c>
      <c r="D1144" t="s">
        <v>33</v>
      </c>
      <c r="E1144">
        <v>25231</v>
      </c>
      <c r="F1144" t="s">
        <v>14</v>
      </c>
      <c r="G1144" t="s">
        <v>24</v>
      </c>
      <c r="H1144" t="s">
        <v>16</v>
      </c>
      <c r="I1144">
        <v>0</v>
      </c>
      <c r="J1144">
        <v>0</v>
      </c>
      <c r="K1144">
        <v>0</v>
      </c>
    </row>
    <row r="1145" spans="1:11" x14ac:dyDescent="0.25">
      <c r="A1145" t="s">
        <v>1185</v>
      </c>
      <c r="B1145" s="1">
        <v>46032.832743055558</v>
      </c>
      <c r="C1145" s="2" t="s">
        <v>39</v>
      </c>
      <c r="D1145" t="s">
        <v>33</v>
      </c>
      <c r="E1145">
        <v>2141</v>
      </c>
      <c r="F1145" t="s">
        <v>14</v>
      </c>
      <c r="G1145" t="s">
        <v>27</v>
      </c>
      <c r="H1145" t="s">
        <v>16</v>
      </c>
      <c r="I1145">
        <v>0</v>
      </c>
      <c r="J1145">
        <v>0</v>
      </c>
      <c r="K1145">
        <v>0</v>
      </c>
    </row>
    <row r="1146" spans="1:11" x14ac:dyDescent="0.25">
      <c r="A1146" t="s">
        <v>1186</v>
      </c>
      <c r="B1146" s="1">
        <v>45968.139606481483</v>
      </c>
      <c r="C1146" s="2" t="s">
        <v>18</v>
      </c>
      <c r="D1146" t="s">
        <v>45</v>
      </c>
      <c r="E1146">
        <v>67339</v>
      </c>
      <c r="F1146" t="s">
        <v>50</v>
      </c>
      <c r="G1146" t="s">
        <v>84</v>
      </c>
      <c r="H1146" t="s">
        <v>46</v>
      </c>
      <c r="I1146">
        <v>673.39</v>
      </c>
      <c r="J1146">
        <v>0</v>
      </c>
      <c r="K1146">
        <v>673.39</v>
      </c>
    </row>
    <row r="1147" spans="1:11" x14ac:dyDescent="0.25">
      <c r="A1147" t="s">
        <v>1187</v>
      </c>
      <c r="B1147" s="1">
        <v>45778.073113425926</v>
      </c>
      <c r="C1147" s="2" t="s">
        <v>29</v>
      </c>
      <c r="D1147" t="s">
        <v>13</v>
      </c>
      <c r="E1147">
        <v>65000</v>
      </c>
      <c r="F1147" t="s">
        <v>14</v>
      </c>
      <c r="G1147" t="s">
        <v>51</v>
      </c>
      <c r="H1147" t="s">
        <v>16</v>
      </c>
      <c r="I1147">
        <v>1202.5</v>
      </c>
      <c r="J1147">
        <v>481</v>
      </c>
      <c r="K1147">
        <v>721.5</v>
      </c>
    </row>
    <row r="1148" spans="1:11" x14ac:dyDescent="0.25">
      <c r="A1148" t="s">
        <v>1188</v>
      </c>
      <c r="B1148" s="1">
        <v>46119.381053240744</v>
      </c>
      <c r="C1148" s="2" t="s">
        <v>41</v>
      </c>
      <c r="D1148" t="s">
        <v>45</v>
      </c>
      <c r="E1148">
        <v>115023</v>
      </c>
      <c r="F1148" t="s">
        <v>14</v>
      </c>
      <c r="G1148" t="s">
        <v>34</v>
      </c>
      <c r="H1148" t="s">
        <v>59</v>
      </c>
      <c r="I1148">
        <v>1150.23</v>
      </c>
      <c r="J1148">
        <v>0</v>
      </c>
      <c r="K1148">
        <v>1150.23</v>
      </c>
    </row>
    <row r="1149" spans="1:11" x14ac:dyDescent="0.25">
      <c r="A1149" t="s">
        <v>1189</v>
      </c>
      <c r="B1149" s="1">
        <v>45978.734178240738</v>
      </c>
      <c r="C1149" s="2" t="s">
        <v>29</v>
      </c>
      <c r="D1149" t="s">
        <v>19</v>
      </c>
      <c r="E1149">
        <v>110546</v>
      </c>
      <c r="F1149" t="s">
        <v>14</v>
      </c>
      <c r="G1149" t="s">
        <v>51</v>
      </c>
      <c r="H1149" t="s">
        <v>16</v>
      </c>
      <c r="I1149">
        <v>5</v>
      </c>
      <c r="J1149">
        <v>0</v>
      </c>
      <c r="K1149">
        <v>5</v>
      </c>
    </row>
    <row r="1150" spans="1:11" x14ac:dyDescent="0.25">
      <c r="A1150" t="s">
        <v>1190</v>
      </c>
      <c r="B1150" s="1">
        <v>46100.324675925927</v>
      </c>
      <c r="C1150" s="2" t="s">
        <v>12</v>
      </c>
      <c r="D1150" t="s">
        <v>13</v>
      </c>
      <c r="E1150">
        <v>214000</v>
      </c>
      <c r="F1150" t="s">
        <v>14</v>
      </c>
      <c r="G1150" t="s">
        <v>15</v>
      </c>
      <c r="H1150" t="s">
        <v>16</v>
      </c>
      <c r="I1150">
        <v>3959</v>
      </c>
      <c r="J1150">
        <v>1583.6</v>
      </c>
      <c r="K1150">
        <v>2375.4</v>
      </c>
    </row>
    <row r="1151" spans="1:11" x14ac:dyDescent="0.25">
      <c r="A1151" t="s">
        <v>1191</v>
      </c>
      <c r="B1151" s="1">
        <v>45959.659317129626</v>
      </c>
      <c r="C1151" s="2" t="s">
        <v>32</v>
      </c>
      <c r="D1151" t="s">
        <v>13</v>
      </c>
      <c r="E1151">
        <v>120500</v>
      </c>
      <c r="F1151" t="s">
        <v>14</v>
      </c>
      <c r="G1151" t="s">
        <v>24</v>
      </c>
      <c r="H1151" t="s">
        <v>16</v>
      </c>
      <c r="I1151">
        <v>2229.25</v>
      </c>
      <c r="J1151">
        <v>891.7</v>
      </c>
      <c r="K1151">
        <v>1337.55</v>
      </c>
    </row>
    <row r="1152" spans="1:11" x14ac:dyDescent="0.25">
      <c r="A1152" t="s">
        <v>1192</v>
      </c>
      <c r="B1152" s="1">
        <v>46115.485486111109</v>
      </c>
      <c r="C1152" s="2" t="s">
        <v>32</v>
      </c>
      <c r="D1152" t="s">
        <v>13</v>
      </c>
      <c r="E1152">
        <v>165000</v>
      </c>
      <c r="F1152" t="s">
        <v>50</v>
      </c>
      <c r="G1152" t="s">
        <v>34</v>
      </c>
      <c r="H1152" t="s">
        <v>16</v>
      </c>
      <c r="I1152">
        <v>3052.5</v>
      </c>
      <c r="J1152">
        <v>1221</v>
      </c>
      <c r="K1152">
        <v>1831.5</v>
      </c>
    </row>
    <row r="1153" spans="1:11" x14ac:dyDescent="0.25">
      <c r="A1153" t="s">
        <v>1193</v>
      </c>
      <c r="B1153" s="1">
        <v>45884.966736111113</v>
      </c>
      <c r="C1153" s="2" t="s">
        <v>41</v>
      </c>
      <c r="D1153" t="s">
        <v>33</v>
      </c>
      <c r="E1153">
        <v>64536</v>
      </c>
      <c r="F1153" t="s">
        <v>14</v>
      </c>
      <c r="G1153" t="s">
        <v>30</v>
      </c>
      <c r="H1153" t="s">
        <v>16</v>
      </c>
      <c r="I1153">
        <v>0</v>
      </c>
      <c r="J1153">
        <v>0</v>
      </c>
      <c r="K1153">
        <v>0</v>
      </c>
    </row>
    <row r="1154" spans="1:11" x14ac:dyDescent="0.25">
      <c r="A1154" t="s">
        <v>1194</v>
      </c>
      <c r="B1154" s="1">
        <v>46112.591898148145</v>
      </c>
      <c r="C1154" s="2" t="s">
        <v>41</v>
      </c>
      <c r="D1154" t="s">
        <v>19</v>
      </c>
      <c r="E1154">
        <v>35342</v>
      </c>
      <c r="F1154" t="s">
        <v>14</v>
      </c>
      <c r="G1154" t="s">
        <v>15</v>
      </c>
      <c r="H1154" t="s">
        <v>16</v>
      </c>
      <c r="I1154">
        <v>5</v>
      </c>
      <c r="J1154">
        <v>0</v>
      </c>
      <c r="K1154">
        <v>5</v>
      </c>
    </row>
    <row r="1155" spans="1:11" x14ac:dyDescent="0.25">
      <c r="A1155" t="s">
        <v>1195</v>
      </c>
      <c r="B1155" s="1">
        <v>46054.993425925924</v>
      </c>
      <c r="C1155" s="2" t="s">
        <v>41</v>
      </c>
      <c r="D1155" t="s">
        <v>19</v>
      </c>
      <c r="E1155">
        <v>76126</v>
      </c>
      <c r="F1155" t="s">
        <v>50</v>
      </c>
      <c r="G1155" t="s">
        <v>84</v>
      </c>
      <c r="H1155" t="s">
        <v>16</v>
      </c>
      <c r="I1155">
        <v>5</v>
      </c>
      <c r="J1155">
        <v>0</v>
      </c>
      <c r="K1155">
        <v>5</v>
      </c>
    </row>
    <row r="1156" spans="1:11" x14ac:dyDescent="0.25">
      <c r="A1156" t="s">
        <v>1196</v>
      </c>
      <c r="B1156" s="1">
        <v>45952.655138888891</v>
      </c>
      <c r="C1156" s="2" t="s">
        <v>26</v>
      </c>
      <c r="D1156" t="s">
        <v>45</v>
      </c>
      <c r="E1156">
        <v>123850</v>
      </c>
      <c r="F1156" t="s">
        <v>50</v>
      </c>
      <c r="G1156" t="s">
        <v>30</v>
      </c>
      <c r="H1156" t="s">
        <v>56</v>
      </c>
      <c r="I1156">
        <v>1238.5</v>
      </c>
      <c r="J1156">
        <v>0</v>
      </c>
      <c r="K1156">
        <v>1238.5</v>
      </c>
    </row>
    <row r="1157" spans="1:11" x14ac:dyDescent="0.25">
      <c r="A1157" t="s">
        <v>1197</v>
      </c>
      <c r="B1157" s="1">
        <v>45884.640486111108</v>
      </c>
      <c r="C1157" s="2" t="s">
        <v>29</v>
      </c>
      <c r="D1157" t="s">
        <v>13</v>
      </c>
      <c r="E1157">
        <v>56000</v>
      </c>
      <c r="F1157" t="s">
        <v>14</v>
      </c>
      <c r="G1157" t="s">
        <v>30</v>
      </c>
      <c r="H1157" t="s">
        <v>16</v>
      </c>
      <c r="I1157">
        <v>1036</v>
      </c>
      <c r="J1157">
        <v>414.4</v>
      </c>
      <c r="K1157">
        <v>621.6</v>
      </c>
    </row>
    <row r="1158" spans="1:11" x14ac:dyDescent="0.25">
      <c r="A1158" t="s">
        <v>1198</v>
      </c>
      <c r="B1158" s="1">
        <v>46027.916666666664</v>
      </c>
      <c r="C1158" s="2" t="s">
        <v>12</v>
      </c>
      <c r="D1158" t="s">
        <v>13</v>
      </c>
      <c r="E1158">
        <v>56500</v>
      </c>
      <c r="F1158" t="s">
        <v>14</v>
      </c>
      <c r="G1158" t="s">
        <v>30</v>
      </c>
      <c r="H1158" t="s">
        <v>16</v>
      </c>
      <c r="I1158">
        <v>1045.25</v>
      </c>
      <c r="J1158">
        <v>418.1</v>
      </c>
      <c r="K1158">
        <v>627.15</v>
      </c>
    </row>
    <row r="1159" spans="1:11" x14ac:dyDescent="0.25">
      <c r="A1159" t="s">
        <v>1199</v>
      </c>
      <c r="B1159" s="1">
        <v>45985.231145833335</v>
      </c>
      <c r="C1159" s="2" t="s">
        <v>12</v>
      </c>
      <c r="D1159" t="s">
        <v>19</v>
      </c>
      <c r="E1159">
        <v>148353</v>
      </c>
      <c r="F1159" t="s">
        <v>14</v>
      </c>
      <c r="G1159" t="s">
        <v>15</v>
      </c>
      <c r="H1159" t="s">
        <v>16</v>
      </c>
      <c r="I1159">
        <v>5</v>
      </c>
      <c r="J1159">
        <v>0</v>
      </c>
      <c r="K1159">
        <v>5</v>
      </c>
    </row>
    <row r="1160" spans="1:11" x14ac:dyDescent="0.25">
      <c r="A1160" t="s">
        <v>1200</v>
      </c>
      <c r="B1160" s="1">
        <v>45943.221712962964</v>
      </c>
      <c r="C1160" s="2" t="s">
        <v>39</v>
      </c>
      <c r="D1160" t="s">
        <v>13</v>
      </c>
      <c r="E1160">
        <v>185000</v>
      </c>
      <c r="F1160" t="s">
        <v>50</v>
      </c>
      <c r="G1160" t="s">
        <v>24</v>
      </c>
      <c r="H1160" t="s">
        <v>16</v>
      </c>
      <c r="I1160">
        <v>3422.5</v>
      </c>
      <c r="J1160">
        <v>1369</v>
      </c>
      <c r="K1160">
        <v>2053.5</v>
      </c>
    </row>
    <row r="1161" spans="1:11" x14ac:dyDescent="0.25">
      <c r="A1161" t="s">
        <v>1201</v>
      </c>
      <c r="B1161" s="1">
        <v>45785.300057870372</v>
      </c>
      <c r="C1161" s="2" t="s">
        <v>26</v>
      </c>
      <c r="D1161" t="s">
        <v>33</v>
      </c>
      <c r="E1161">
        <v>1222</v>
      </c>
      <c r="F1161" t="s">
        <v>50</v>
      </c>
      <c r="G1161" t="s">
        <v>51</v>
      </c>
      <c r="H1161" t="s">
        <v>16</v>
      </c>
      <c r="I1161">
        <v>0</v>
      </c>
      <c r="J1161">
        <v>0</v>
      </c>
      <c r="K1161">
        <v>0</v>
      </c>
    </row>
    <row r="1162" spans="1:11" x14ac:dyDescent="0.25">
      <c r="A1162" t="s">
        <v>1202</v>
      </c>
      <c r="B1162" s="1">
        <v>45881.018900462965</v>
      </c>
      <c r="C1162" s="2" t="s">
        <v>39</v>
      </c>
      <c r="D1162" t="s">
        <v>13</v>
      </c>
      <c r="E1162">
        <v>42500</v>
      </c>
      <c r="F1162" t="s">
        <v>14</v>
      </c>
      <c r="G1162" t="s">
        <v>20</v>
      </c>
      <c r="H1162" t="s">
        <v>16</v>
      </c>
      <c r="I1162">
        <v>786.25</v>
      </c>
      <c r="J1162">
        <v>314.5</v>
      </c>
      <c r="K1162">
        <v>471.75</v>
      </c>
    </row>
    <row r="1163" spans="1:11" x14ac:dyDescent="0.25">
      <c r="A1163" t="s">
        <v>1203</v>
      </c>
      <c r="B1163" s="1">
        <v>46034.769467592596</v>
      </c>
      <c r="C1163" s="2" t="s">
        <v>12</v>
      </c>
      <c r="D1163" t="s">
        <v>19</v>
      </c>
      <c r="E1163">
        <v>126804</v>
      </c>
      <c r="F1163" t="s">
        <v>14</v>
      </c>
      <c r="G1163" t="s">
        <v>20</v>
      </c>
      <c r="H1163" t="s">
        <v>16</v>
      </c>
      <c r="I1163">
        <v>5</v>
      </c>
      <c r="J1163">
        <v>0</v>
      </c>
      <c r="K1163">
        <v>5</v>
      </c>
    </row>
    <row r="1164" spans="1:11" x14ac:dyDescent="0.25">
      <c r="A1164" t="s">
        <v>1204</v>
      </c>
      <c r="B1164" s="1">
        <v>45804.790196759262</v>
      </c>
      <c r="C1164" s="2" t="s">
        <v>29</v>
      </c>
      <c r="D1164" t="s">
        <v>45</v>
      </c>
      <c r="E1164">
        <v>142556</v>
      </c>
      <c r="F1164" t="s">
        <v>14</v>
      </c>
      <c r="G1164" t="s">
        <v>15</v>
      </c>
      <c r="H1164" t="s">
        <v>178</v>
      </c>
      <c r="I1164">
        <v>1425.56</v>
      </c>
      <c r="J1164">
        <v>0</v>
      </c>
      <c r="K1164">
        <v>1425.56</v>
      </c>
    </row>
    <row r="1165" spans="1:11" x14ac:dyDescent="0.25">
      <c r="A1165" t="s">
        <v>1205</v>
      </c>
      <c r="B1165" s="1">
        <v>46077.544722222221</v>
      </c>
      <c r="C1165" s="2" t="s">
        <v>41</v>
      </c>
      <c r="D1165" t="s">
        <v>13</v>
      </c>
      <c r="E1165">
        <v>249000</v>
      </c>
      <c r="F1165" t="s">
        <v>14</v>
      </c>
      <c r="G1165" t="s">
        <v>15</v>
      </c>
      <c r="H1165" t="s">
        <v>16</v>
      </c>
      <c r="I1165">
        <v>4606.5</v>
      </c>
      <c r="J1165">
        <v>1842.6</v>
      </c>
      <c r="K1165">
        <v>2763.9</v>
      </c>
    </row>
    <row r="1166" spans="1:11" x14ac:dyDescent="0.25">
      <c r="A1166" t="s">
        <v>1206</v>
      </c>
      <c r="B1166" s="1">
        <v>45977.978773148148</v>
      </c>
      <c r="C1166" s="2" t="s">
        <v>29</v>
      </c>
      <c r="D1166" t="s">
        <v>33</v>
      </c>
      <c r="E1166">
        <v>34135</v>
      </c>
      <c r="F1166" t="s">
        <v>14</v>
      </c>
      <c r="G1166" t="s">
        <v>84</v>
      </c>
      <c r="H1166" t="s">
        <v>16</v>
      </c>
      <c r="I1166">
        <v>0</v>
      </c>
      <c r="J1166">
        <v>0</v>
      </c>
      <c r="K1166">
        <v>0</v>
      </c>
    </row>
    <row r="1167" spans="1:11" x14ac:dyDescent="0.25">
      <c r="A1167" t="s">
        <v>1207</v>
      </c>
      <c r="B1167" s="1">
        <v>46014.451909722222</v>
      </c>
      <c r="C1167" s="2" t="s">
        <v>32</v>
      </c>
      <c r="D1167" t="s">
        <v>23</v>
      </c>
      <c r="E1167">
        <v>3085</v>
      </c>
      <c r="F1167" t="s">
        <v>14</v>
      </c>
      <c r="G1167" t="s">
        <v>58</v>
      </c>
      <c r="H1167" t="s">
        <v>16</v>
      </c>
      <c r="I1167">
        <v>0</v>
      </c>
      <c r="J1167">
        <v>0</v>
      </c>
      <c r="K1167">
        <v>0</v>
      </c>
    </row>
    <row r="1168" spans="1:11" x14ac:dyDescent="0.25">
      <c r="A1168" t="s">
        <v>1208</v>
      </c>
      <c r="B1168" s="1">
        <v>46108.550046296295</v>
      </c>
      <c r="C1168" s="2" t="s">
        <v>29</v>
      </c>
      <c r="D1168" t="s">
        <v>13</v>
      </c>
      <c r="E1168">
        <v>203500</v>
      </c>
      <c r="F1168" t="s">
        <v>14</v>
      </c>
      <c r="G1168" t="s">
        <v>20</v>
      </c>
      <c r="H1168" t="s">
        <v>16</v>
      </c>
      <c r="I1168">
        <v>3764.75</v>
      </c>
      <c r="J1168">
        <v>1505.9</v>
      </c>
      <c r="K1168">
        <v>2258.85</v>
      </c>
    </row>
    <row r="1169" spans="1:11" x14ac:dyDescent="0.25">
      <c r="A1169" t="s">
        <v>1209</v>
      </c>
      <c r="B1169" s="1">
        <v>46126.222372685188</v>
      </c>
      <c r="C1169" s="2" t="s">
        <v>32</v>
      </c>
      <c r="D1169" t="s">
        <v>19</v>
      </c>
      <c r="E1169">
        <v>122007</v>
      </c>
      <c r="F1169" t="s">
        <v>50</v>
      </c>
      <c r="G1169" t="s">
        <v>27</v>
      </c>
      <c r="H1169" t="s">
        <v>16</v>
      </c>
      <c r="I1169">
        <v>5</v>
      </c>
      <c r="J1169">
        <v>0</v>
      </c>
      <c r="K1169">
        <v>5</v>
      </c>
    </row>
    <row r="1170" spans="1:11" x14ac:dyDescent="0.25">
      <c r="A1170" t="s">
        <v>1210</v>
      </c>
      <c r="B1170" s="1">
        <v>46015.888912037037</v>
      </c>
      <c r="C1170" s="2" t="s">
        <v>26</v>
      </c>
      <c r="D1170" t="s">
        <v>33</v>
      </c>
      <c r="E1170">
        <v>79750</v>
      </c>
      <c r="F1170" t="s">
        <v>14</v>
      </c>
      <c r="G1170" t="s">
        <v>15</v>
      </c>
      <c r="H1170" t="s">
        <v>16</v>
      </c>
      <c r="I1170">
        <v>0</v>
      </c>
      <c r="J1170">
        <v>0</v>
      </c>
      <c r="K1170">
        <v>0</v>
      </c>
    </row>
    <row r="1171" spans="1:11" x14ac:dyDescent="0.25">
      <c r="A1171" t="s">
        <v>1211</v>
      </c>
      <c r="B1171" s="1">
        <v>46023.446192129632</v>
      </c>
      <c r="C1171" s="2" t="s">
        <v>22</v>
      </c>
      <c r="D1171" t="s">
        <v>23</v>
      </c>
      <c r="E1171">
        <v>3338</v>
      </c>
      <c r="F1171" t="s">
        <v>14</v>
      </c>
      <c r="G1171" t="s">
        <v>34</v>
      </c>
      <c r="H1171" t="s">
        <v>16</v>
      </c>
      <c r="I1171">
        <v>0</v>
      </c>
      <c r="J1171">
        <v>0</v>
      </c>
      <c r="K1171">
        <v>0</v>
      </c>
    </row>
    <row r="1172" spans="1:11" x14ac:dyDescent="0.25">
      <c r="A1172" t="s">
        <v>1212</v>
      </c>
      <c r="B1172" s="1">
        <v>46122.839189814818</v>
      </c>
      <c r="C1172" s="2" t="s">
        <v>18</v>
      </c>
      <c r="D1172" t="s">
        <v>23</v>
      </c>
      <c r="E1172">
        <v>3039</v>
      </c>
      <c r="F1172" t="s">
        <v>14</v>
      </c>
      <c r="G1172" t="s">
        <v>34</v>
      </c>
      <c r="H1172" t="s">
        <v>16</v>
      </c>
      <c r="I1172">
        <v>0</v>
      </c>
      <c r="J1172">
        <v>0</v>
      </c>
      <c r="K1172">
        <v>0</v>
      </c>
    </row>
    <row r="1173" spans="1:11" x14ac:dyDescent="0.25">
      <c r="A1173" t="s">
        <v>1213</v>
      </c>
      <c r="B1173" s="1">
        <v>45816.854189814818</v>
      </c>
      <c r="C1173" s="2" t="s">
        <v>12</v>
      </c>
      <c r="D1173" t="s">
        <v>45</v>
      </c>
      <c r="E1173">
        <v>115550</v>
      </c>
      <c r="F1173" t="s">
        <v>14</v>
      </c>
      <c r="G1173" t="s">
        <v>30</v>
      </c>
      <c r="H1173" t="s">
        <v>59</v>
      </c>
      <c r="I1173">
        <v>1155.5</v>
      </c>
      <c r="J1173">
        <v>0</v>
      </c>
      <c r="K1173">
        <v>1155.5</v>
      </c>
    </row>
    <row r="1174" spans="1:11" x14ac:dyDescent="0.25">
      <c r="A1174" t="s">
        <v>1214</v>
      </c>
      <c r="B1174" s="1">
        <v>46066.247337962966</v>
      </c>
      <c r="C1174" s="2" t="s">
        <v>26</v>
      </c>
      <c r="D1174" t="s">
        <v>33</v>
      </c>
      <c r="E1174">
        <v>30556</v>
      </c>
      <c r="F1174" t="s">
        <v>14</v>
      </c>
      <c r="G1174" t="s">
        <v>27</v>
      </c>
      <c r="H1174" t="s">
        <v>16</v>
      </c>
      <c r="I1174">
        <v>0</v>
      </c>
      <c r="J1174">
        <v>0</v>
      </c>
      <c r="K1174">
        <v>0</v>
      </c>
    </row>
    <row r="1175" spans="1:11" x14ac:dyDescent="0.25">
      <c r="A1175" t="s">
        <v>1215</v>
      </c>
      <c r="B1175" s="1">
        <v>46041.711643518516</v>
      </c>
      <c r="C1175" s="2" t="s">
        <v>18</v>
      </c>
      <c r="D1175" t="s">
        <v>45</v>
      </c>
      <c r="E1175">
        <v>91965</v>
      </c>
      <c r="F1175" t="s">
        <v>14</v>
      </c>
      <c r="G1175" t="s">
        <v>15</v>
      </c>
      <c r="H1175" t="s">
        <v>46</v>
      </c>
      <c r="I1175">
        <v>919.65</v>
      </c>
      <c r="J1175">
        <v>0</v>
      </c>
      <c r="K1175">
        <v>919.65</v>
      </c>
    </row>
    <row r="1176" spans="1:11" x14ac:dyDescent="0.25">
      <c r="A1176" t="s">
        <v>1216</v>
      </c>
      <c r="B1176" s="1">
        <v>46141.918321759258</v>
      </c>
      <c r="C1176" s="2" t="s">
        <v>26</v>
      </c>
      <c r="D1176" t="s">
        <v>13</v>
      </c>
      <c r="E1176">
        <v>42500</v>
      </c>
      <c r="F1176" t="s">
        <v>14</v>
      </c>
      <c r="G1176" t="s">
        <v>27</v>
      </c>
      <c r="H1176" t="s">
        <v>16</v>
      </c>
      <c r="I1176">
        <v>786.25</v>
      </c>
      <c r="J1176">
        <v>314.5</v>
      </c>
      <c r="K1176">
        <v>471.75</v>
      </c>
    </row>
    <row r="1177" spans="1:11" x14ac:dyDescent="0.25">
      <c r="A1177" t="s">
        <v>1217</v>
      </c>
      <c r="B1177" s="1">
        <v>45921.640520833331</v>
      </c>
      <c r="C1177" s="2" t="s">
        <v>22</v>
      </c>
      <c r="D1177" t="s">
        <v>33</v>
      </c>
      <c r="E1177">
        <v>61231</v>
      </c>
      <c r="F1177" t="s">
        <v>99</v>
      </c>
      <c r="G1177" t="s">
        <v>20</v>
      </c>
      <c r="H1177" t="s">
        <v>16</v>
      </c>
      <c r="I1177">
        <v>0</v>
      </c>
      <c r="J1177">
        <v>0</v>
      </c>
      <c r="K1177">
        <v>0</v>
      </c>
    </row>
    <row r="1178" spans="1:11" x14ac:dyDescent="0.25">
      <c r="A1178" t="s">
        <v>1218</v>
      </c>
      <c r="B1178" s="1">
        <v>45995.2653125</v>
      </c>
      <c r="C1178" s="2" t="s">
        <v>41</v>
      </c>
      <c r="D1178" t="s">
        <v>33</v>
      </c>
      <c r="E1178">
        <v>97789</v>
      </c>
      <c r="F1178" t="s">
        <v>50</v>
      </c>
      <c r="G1178" t="s">
        <v>84</v>
      </c>
      <c r="H1178" t="s">
        <v>16</v>
      </c>
      <c r="I1178">
        <v>0</v>
      </c>
      <c r="J1178">
        <v>0</v>
      </c>
      <c r="K1178">
        <v>0</v>
      </c>
    </row>
    <row r="1179" spans="1:11" x14ac:dyDescent="0.25">
      <c r="A1179" t="s">
        <v>1219</v>
      </c>
      <c r="B1179" s="1">
        <v>46054.056064814817</v>
      </c>
      <c r="C1179" s="2" t="s">
        <v>32</v>
      </c>
      <c r="D1179" t="s">
        <v>13</v>
      </c>
      <c r="E1179">
        <v>156000</v>
      </c>
      <c r="F1179" t="s">
        <v>14</v>
      </c>
      <c r="G1179" t="s">
        <v>84</v>
      </c>
      <c r="H1179" t="s">
        <v>16</v>
      </c>
      <c r="I1179">
        <v>2886</v>
      </c>
      <c r="J1179">
        <v>1154.4000000000001</v>
      </c>
      <c r="K1179">
        <v>1731.6</v>
      </c>
    </row>
    <row r="1180" spans="1:11" x14ac:dyDescent="0.25">
      <c r="A1180" t="s">
        <v>1220</v>
      </c>
      <c r="B1180" s="1">
        <v>46116.006458333337</v>
      </c>
      <c r="C1180" s="2" t="s">
        <v>26</v>
      </c>
      <c r="D1180" t="s">
        <v>45</v>
      </c>
      <c r="E1180">
        <v>1698</v>
      </c>
      <c r="F1180" t="s">
        <v>14</v>
      </c>
      <c r="G1180" t="s">
        <v>30</v>
      </c>
      <c r="H1180" t="s">
        <v>71</v>
      </c>
      <c r="I1180">
        <v>16.98</v>
      </c>
      <c r="J1180">
        <v>0</v>
      </c>
      <c r="K1180">
        <v>16.98</v>
      </c>
    </row>
    <row r="1181" spans="1:11" x14ac:dyDescent="0.25">
      <c r="A1181" t="s">
        <v>1221</v>
      </c>
      <c r="B1181" s="1">
        <v>46030.341319444444</v>
      </c>
      <c r="C1181" s="2" t="s">
        <v>18</v>
      </c>
      <c r="D1181" t="s">
        <v>45</v>
      </c>
      <c r="E1181">
        <v>112023</v>
      </c>
      <c r="F1181" t="s">
        <v>14</v>
      </c>
      <c r="G1181" t="s">
        <v>20</v>
      </c>
      <c r="H1181" t="s">
        <v>56</v>
      </c>
      <c r="I1181">
        <v>1120.23</v>
      </c>
      <c r="J1181">
        <v>0</v>
      </c>
      <c r="K1181">
        <v>1120.23</v>
      </c>
    </row>
    <row r="1182" spans="1:11" x14ac:dyDescent="0.25">
      <c r="A1182" t="s">
        <v>1222</v>
      </c>
      <c r="B1182" s="1">
        <v>46024.671134259261</v>
      </c>
      <c r="C1182" s="2" t="s">
        <v>18</v>
      </c>
      <c r="D1182" t="s">
        <v>13</v>
      </c>
      <c r="E1182">
        <v>85000</v>
      </c>
      <c r="F1182" t="s">
        <v>50</v>
      </c>
      <c r="G1182" t="s">
        <v>24</v>
      </c>
      <c r="H1182" t="s">
        <v>16</v>
      </c>
      <c r="I1182">
        <v>1572.5</v>
      </c>
      <c r="J1182">
        <v>629</v>
      </c>
      <c r="K1182">
        <v>943.5</v>
      </c>
    </row>
    <row r="1183" spans="1:11" x14ac:dyDescent="0.25">
      <c r="A1183" t="s">
        <v>1223</v>
      </c>
      <c r="B1183" s="1">
        <v>45835.02</v>
      </c>
      <c r="C1183" s="2" t="s">
        <v>29</v>
      </c>
      <c r="D1183" t="s">
        <v>33</v>
      </c>
      <c r="E1183">
        <v>140228</v>
      </c>
      <c r="F1183" t="s">
        <v>14</v>
      </c>
      <c r="G1183" t="s">
        <v>34</v>
      </c>
      <c r="H1183" t="s">
        <v>16</v>
      </c>
      <c r="I1183">
        <v>0</v>
      </c>
      <c r="J1183">
        <v>0</v>
      </c>
      <c r="K1183">
        <v>0</v>
      </c>
    </row>
    <row r="1184" spans="1:11" x14ac:dyDescent="0.25">
      <c r="A1184" t="s">
        <v>1224</v>
      </c>
      <c r="B1184" s="1">
        <v>45812.722314814811</v>
      </c>
      <c r="C1184" s="2" t="s">
        <v>32</v>
      </c>
      <c r="D1184" t="s">
        <v>33</v>
      </c>
      <c r="E1184">
        <v>118505</v>
      </c>
      <c r="F1184" t="s">
        <v>14</v>
      </c>
      <c r="G1184" t="s">
        <v>24</v>
      </c>
      <c r="H1184" t="s">
        <v>16</v>
      </c>
      <c r="I1184">
        <v>0</v>
      </c>
      <c r="J1184">
        <v>0</v>
      </c>
      <c r="K1184">
        <v>0</v>
      </c>
    </row>
    <row r="1185" spans="1:11" x14ac:dyDescent="0.25">
      <c r="A1185" t="s">
        <v>1225</v>
      </c>
      <c r="B1185" s="1">
        <v>45784.920451388891</v>
      </c>
      <c r="C1185" s="2" t="s">
        <v>26</v>
      </c>
      <c r="D1185" t="s">
        <v>23</v>
      </c>
      <c r="E1185">
        <v>359</v>
      </c>
      <c r="F1185" t="s">
        <v>14</v>
      </c>
      <c r="G1185" t="s">
        <v>34</v>
      </c>
      <c r="H1185" t="s">
        <v>16</v>
      </c>
      <c r="I1185">
        <v>0</v>
      </c>
      <c r="J1185">
        <v>0</v>
      </c>
      <c r="K1185">
        <v>0</v>
      </c>
    </row>
    <row r="1186" spans="1:11" x14ac:dyDescent="0.25">
      <c r="A1186" t="s">
        <v>1226</v>
      </c>
      <c r="B1186" s="1">
        <v>45942.076296296298</v>
      </c>
      <c r="C1186" s="2" t="s">
        <v>39</v>
      </c>
      <c r="D1186" t="s">
        <v>45</v>
      </c>
      <c r="E1186">
        <v>112764</v>
      </c>
      <c r="F1186" t="s">
        <v>14</v>
      </c>
      <c r="G1186" t="s">
        <v>34</v>
      </c>
      <c r="H1186" t="s">
        <v>46</v>
      </c>
      <c r="I1186">
        <v>1127.6400000000001</v>
      </c>
      <c r="J1186">
        <v>0</v>
      </c>
      <c r="K1186">
        <v>1127.6400000000001</v>
      </c>
    </row>
    <row r="1187" spans="1:11" x14ac:dyDescent="0.25">
      <c r="A1187" t="s">
        <v>1227</v>
      </c>
      <c r="B1187" s="1">
        <v>45865.292037037034</v>
      </c>
      <c r="C1187" s="2" t="s">
        <v>32</v>
      </c>
      <c r="D1187" t="s">
        <v>33</v>
      </c>
      <c r="E1187">
        <v>2169</v>
      </c>
      <c r="F1187" t="s">
        <v>14</v>
      </c>
      <c r="G1187" t="s">
        <v>51</v>
      </c>
      <c r="H1187" t="s">
        <v>16</v>
      </c>
      <c r="I1187">
        <v>0</v>
      </c>
      <c r="J1187">
        <v>0</v>
      </c>
      <c r="K1187">
        <v>0</v>
      </c>
    </row>
    <row r="1188" spans="1:11" x14ac:dyDescent="0.25">
      <c r="A1188" t="s">
        <v>1228</v>
      </c>
      <c r="B1188" s="1">
        <v>45807.060011574074</v>
      </c>
      <c r="C1188" s="2" t="s">
        <v>32</v>
      </c>
      <c r="D1188" t="s">
        <v>45</v>
      </c>
      <c r="E1188">
        <v>57935</v>
      </c>
      <c r="F1188" t="s">
        <v>14</v>
      </c>
      <c r="G1188" t="s">
        <v>58</v>
      </c>
      <c r="H1188" t="s">
        <v>178</v>
      </c>
      <c r="I1188">
        <v>579.35</v>
      </c>
      <c r="J1188">
        <v>0</v>
      </c>
      <c r="K1188">
        <v>579.35</v>
      </c>
    </row>
    <row r="1189" spans="1:11" x14ac:dyDescent="0.25">
      <c r="A1189" t="s">
        <v>1229</v>
      </c>
      <c r="B1189" s="1">
        <v>45940.008946759262</v>
      </c>
      <c r="C1189" s="2" t="s">
        <v>22</v>
      </c>
      <c r="D1189" t="s">
        <v>33</v>
      </c>
      <c r="E1189">
        <v>129903</v>
      </c>
      <c r="F1189" t="s">
        <v>14</v>
      </c>
      <c r="G1189" t="s">
        <v>58</v>
      </c>
      <c r="H1189" t="s">
        <v>16</v>
      </c>
      <c r="I1189">
        <v>0</v>
      </c>
      <c r="J1189">
        <v>0</v>
      </c>
      <c r="K1189">
        <v>0</v>
      </c>
    </row>
    <row r="1190" spans="1:11" x14ac:dyDescent="0.25">
      <c r="A1190" t="s">
        <v>1230</v>
      </c>
      <c r="B1190" s="1">
        <v>45922.152546296296</v>
      </c>
      <c r="C1190" s="2" t="s">
        <v>39</v>
      </c>
      <c r="D1190" t="s">
        <v>33</v>
      </c>
      <c r="E1190">
        <v>60918</v>
      </c>
      <c r="F1190" t="s">
        <v>14</v>
      </c>
      <c r="G1190" t="s">
        <v>34</v>
      </c>
      <c r="H1190" t="s">
        <v>16</v>
      </c>
      <c r="I1190">
        <v>0</v>
      </c>
      <c r="J1190">
        <v>0</v>
      </c>
      <c r="K1190">
        <v>0</v>
      </c>
    </row>
    <row r="1191" spans="1:11" x14ac:dyDescent="0.25">
      <c r="A1191" t="s">
        <v>1231</v>
      </c>
      <c r="B1191" s="1">
        <v>46083.150127314817</v>
      </c>
      <c r="C1191" s="2" t="s">
        <v>18</v>
      </c>
      <c r="D1191" t="s">
        <v>33</v>
      </c>
      <c r="E1191">
        <v>43584</v>
      </c>
      <c r="F1191" t="s">
        <v>14</v>
      </c>
      <c r="G1191" t="s">
        <v>30</v>
      </c>
      <c r="H1191" t="s">
        <v>16</v>
      </c>
      <c r="I1191">
        <v>0</v>
      </c>
      <c r="J1191">
        <v>0</v>
      </c>
      <c r="K1191">
        <v>0</v>
      </c>
    </row>
    <row r="1192" spans="1:11" x14ac:dyDescent="0.25">
      <c r="A1192" t="s">
        <v>1232</v>
      </c>
      <c r="B1192" s="1">
        <v>45975.036909722221</v>
      </c>
      <c r="C1192" s="2" t="s">
        <v>18</v>
      </c>
      <c r="D1192" t="s">
        <v>45</v>
      </c>
      <c r="E1192">
        <v>126930</v>
      </c>
      <c r="F1192" t="s">
        <v>14</v>
      </c>
      <c r="G1192" t="s">
        <v>58</v>
      </c>
      <c r="H1192" t="s">
        <v>178</v>
      </c>
      <c r="I1192">
        <v>1269.3</v>
      </c>
      <c r="J1192">
        <v>0</v>
      </c>
      <c r="K1192">
        <v>1269.3</v>
      </c>
    </row>
    <row r="1193" spans="1:11" x14ac:dyDescent="0.25">
      <c r="A1193" t="s">
        <v>1233</v>
      </c>
      <c r="B1193" s="1">
        <v>45793.733518518522</v>
      </c>
      <c r="C1193" s="2" t="s">
        <v>29</v>
      </c>
      <c r="D1193" t="s">
        <v>33</v>
      </c>
      <c r="E1193">
        <v>47414</v>
      </c>
      <c r="F1193" t="s">
        <v>50</v>
      </c>
      <c r="G1193" t="s">
        <v>15</v>
      </c>
      <c r="H1193" t="s">
        <v>16</v>
      </c>
      <c r="I1193">
        <v>0</v>
      </c>
      <c r="J1193">
        <v>0</v>
      </c>
      <c r="K1193">
        <v>0</v>
      </c>
    </row>
    <row r="1194" spans="1:11" x14ac:dyDescent="0.25">
      <c r="A1194" t="s">
        <v>1234</v>
      </c>
      <c r="B1194" s="1">
        <v>45844.462395833332</v>
      </c>
      <c r="C1194" s="2" t="s">
        <v>29</v>
      </c>
      <c r="D1194" t="s">
        <v>45</v>
      </c>
      <c r="E1194">
        <v>127233</v>
      </c>
      <c r="F1194" t="s">
        <v>14</v>
      </c>
      <c r="G1194" t="s">
        <v>34</v>
      </c>
      <c r="H1194" t="s">
        <v>71</v>
      </c>
      <c r="I1194">
        <v>1272.33</v>
      </c>
      <c r="J1194">
        <v>0</v>
      </c>
      <c r="K1194">
        <v>1272.33</v>
      </c>
    </row>
    <row r="1195" spans="1:11" x14ac:dyDescent="0.25">
      <c r="A1195" t="s">
        <v>1235</v>
      </c>
      <c r="B1195" s="1">
        <v>45876.462893518517</v>
      </c>
      <c r="C1195" s="2" t="s">
        <v>29</v>
      </c>
      <c r="D1195" t="s">
        <v>33</v>
      </c>
      <c r="E1195">
        <v>9511</v>
      </c>
      <c r="F1195" t="s">
        <v>50</v>
      </c>
      <c r="G1195" t="s">
        <v>58</v>
      </c>
      <c r="H1195" t="s">
        <v>16</v>
      </c>
      <c r="I1195">
        <v>0</v>
      </c>
      <c r="J1195">
        <v>0</v>
      </c>
      <c r="K1195">
        <v>0</v>
      </c>
    </row>
    <row r="1196" spans="1:11" x14ac:dyDescent="0.25">
      <c r="A1196" t="s">
        <v>1236</v>
      </c>
      <c r="B1196" s="1">
        <v>45868.404131944444</v>
      </c>
      <c r="C1196" s="2" t="s">
        <v>29</v>
      </c>
      <c r="D1196" t="s">
        <v>45</v>
      </c>
      <c r="E1196">
        <v>58228</v>
      </c>
      <c r="F1196" t="s">
        <v>14</v>
      </c>
      <c r="G1196" t="s">
        <v>84</v>
      </c>
      <c r="H1196" t="s">
        <v>46</v>
      </c>
      <c r="I1196">
        <v>582.28</v>
      </c>
      <c r="J1196">
        <v>0</v>
      </c>
      <c r="K1196">
        <v>582.28</v>
      </c>
    </row>
    <row r="1197" spans="1:11" x14ac:dyDescent="0.25">
      <c r="A1197" t="s">
        <v>1237</v>
      </c>
      <c r="B1197" s="1">
        <v>45779.049039351848</v>
      </c>
      <c r="C1197" s="2" t="s">
        <v>39</v>
      </c>
      <c r="D1197" t="s">
        <v>13</v>
      </c>
      <c r="E1197">
        <v>111000</v>
      </c>
      <c r="F1197" t="s">
        <v>14</v>
      </c>
      <c r="G1197" t="s">
        <v>84</v>
      </c>
      <c r="H1197" t="s">
        <v>16</v>
      </c>
      <c r="I1197">
        <v>2053.5</v>
      </c>
      <c r="J1197">
        <v>821.4</v>
      </c>
      <c r="K1197">
        <v>1232.0999999999999</v>
      </c>
    </row>
    <row r="1198" spans="1:11" x14ac:dyDescent="0.25">
      <c r="A1198" t="s">
        <v>1238</v>
      </c>
      <c r="B1198" s="1">
        <v>45930.503229166665</v>
      </c>
      <c r="C1198" s="2" t="s">
        <v>22</v>
      </c>
      <c r="D1198" t="s">
        <v>45</v>
      </c>
      <c r="E1198">
        <v>53736</v>
      </c>
      <c r="F1198" t="s">
        <v>14</v>
      </c>
      <c r="G1198" t="s">
        <v>20</v>
      </c>
      <c r="H1198" t="s">
        <v>59</v>
      </c>
      <c r="I1198">
        <v>537.36</v>
      </c>
      <c r="J1198">
        <v>0</v>
      </c>
      <c r="K1198">
        <v>537.36</v>
      </c>
    </row>
    <row r="1199" spans="1:11" x14ac:dyDescent="0.25">
      <c r="A1199" t="s">
        <v>1239</v>
      </c>
      <c r="B1199" s="1">
        <v>46121.729131944441</v>
      </c>
      <c r="C1199" s="2" t="s">
        <v>26</v>
      </c>
      <c r="D1199" t="s">
        <v>13</v>
      </c>
      <c r="E1199">
        <v>134500</v>
      </c>
      <c r="F1199" t="s">
        <v>50</v>
      </c>
      <c r="G1199" t="s">
        <v>15</v>
      </c>
      <c r="H1199" t="s">
        <v>16</v>
      </c>
      <c r="I1199">
        <v>2488.25</v>
      </c>
      <c r="J1199">
        <v>995.3</v>
      </c>
      <c r="K1199">
        <v>1492.95</v>
      </c>
    </row>
    <row r="1200" spans="1:11" x14ac:dyDescent="0.25">
      <c r="A1200" t="s">
        <v>1240</v>
      </c>
      <c r="B1200" s="1">
        <v>45804.110405092593</v>
      </c>
      <c r="C1200" s="2" t="s">
        <v>22</v>
      </c>
      <c r="D1200" t="s">
        <v>23</v>
      </c>
      <c r="E1200">
        <v>899</v>
      </c>
      <c r="F1200" t="s">
        <v>50</v>
      </c>
      <c r="G1200" t="s">
        <v>20</v>
      </c>
      <c r="H1200" t="s">
        <v>16</v>
      </c>
      <c r="I1200">
        <v>0</v>
      </c>
      <c r="J1200">
        <v>0</v>
      </c>
      <c r="K1200">
        <v>0</v>
      </c>
    </row>
    <row r="1201" spans="1:11" x14ac:dyDescent="0.25">
      <c r="A1201" t="s">
        <v>1241</v>
      </c>
      <c r="B1201" s="1">
        <v>45954.776990740742</v>
      </c>
      <c r="C1201" s="2" t="s">
        <v>39</v>
      </c>
      <c r="D1201" t="s">
        <v>19</v>
      </c>
      <c r="E1201">
        <v>126007</v>
      </c>
      <c r="F1201" t="s">
        <v>50</v>
      </c>
      <c r="G1201" t="s">
        <v>15</v>
      </c>
      <c r="H1201" t="s">
        <v>16</v>
      </c>
      <c r="I1201">
        <v>5</v>
      </c>
      <c r="J1201">
        <v>0</v>
      </c>
      <c r="K1201">
        <v>5</v>
      </c>
    </row>
    <row r="1202" spans="1:11" x14ac:dyDescent="0.25">
      <c r="A1202" t="s">
        <v>1242</v>
      </c>
      <c r="B1202" s="1">
        <v>45965.055069444446</v>
      </c>
      <c r="C1202" s="2" t="s">
        <v>41</v>
      </c>
      <c r="D1202" t="s">
        <v>33</v>
      </c>
      <c r="E1202">
        <v>116523</v>
      </c>
      <c r="F1202" t="s">
        <v>14</v>
      </c>
      <c r="G1202" t="s">
        <v>58</v>
      </c>
      <c r="H1202" t="s">
        <v>16</v>
      </c>
      <c r="I1202">
        <v>0</v>
      </c>
      <c r="J1202">
        <v>0</v>
      </c>
      <c r="K1202">
        <v>0</v>
      </c>
    </row>
    <row r="1203" spans="1:11" x14ac:dyDescent="0.25">
      <c r="A1203" t="s">
        <v>1243</v>
      </c>
      <c r="B1203" s="1">
        <v>46003.698368055557</v>
      </c>
      <c r="C1203" s="2" t="s">
        <v>41</v>
      </c>
      <c r="D1203" t="s">
        <v>23</v>
      </c>
      <c r="E1203">
        <v>2893</v>
      </c>
      <c r="F1203" t="s">
        <v>14</v>
      </c>
      <c r="G1203" t="s">
        <v>58</v>
      </c>
      <c r="H1203" t="s">
        <v>16</v>
      </c>
      <c r="I1203">
        <v>0</v>
      </c>
      <c r="J1203">
        <v>0</v>
      </c>
      <c r="K1203">
        <v>0</v>
      </c>
    </row>
    <row r="1204" spans="1:11" x14ac:dyDescent="0.25">
      <c r="A1204" t="s">
        <v>1244</v>
      </c>
      <c r="B1204" s="1">
        <v>45879.548993055556</v>
      </c>
      <c r="C1204" s="2" t="s">
        <v>26</v>
      </c>
      <c r="D1204" t="s">
        <v>23</v>
      </c>
      <c r="E1204">
        <v>1227</v>
      </c>
      <c r="F1204" t="s">
        <v>14</v>
      </c>
      <c r="G1204" t="s">
        <v>20</v>
      </c>
      <c r="H1204" t="s">
        <v>16</v>
      </c>
      <c r="I1204">
        <v>0</v>
      </c>
      <c r="J1204">
        <v>0</v>
      </c>
      <c r="K1204">
        <v>0</v>
      </c>
    </row>
    <row r="1205" spans="1:11" x14ac:dyDescent="0.25">
      <c r="A1205" t="s">
        <v>1245</v>
      </c>
      <c r="B1205" s="1">
        <v>45816.869745370372</v>
      </c>
      <c r="C1205" s="2" t="s">
        <v>12</v>
      </c>
      <c r="D1205" t="s">
        <v>33</v>
      </c>
      <c r="E1205">
        <v>106769</v>
      </c>
      <c r="F1205" t="s">
        <v>14</v>
      </c>
      <c r="G1205" t="s">
        <v>34</v>
      </c>
      <c r="H1205" t="s">
        <v>16</v>
      </c>
      <c r="I1205">
        <v>0</v>
      </c>
      <c r="J1205">
        <v>0</v>
      </c>
      <c r="K1205">
        <v>0</v>
      </c>
    </row>
    <row r="1206" spans="1:11" x14ac:dyDescent="0.25">
      <c r="A1206" t="s">
        <v>1246</v>
      </c>
      <c r="B1206" s="1">
        <v>46023.644826388889</v>
      </c>
      <c r="C1206" s="2" t="s">
        <v>32</v>
      </c>
      <c r="D1206" t="s">
        <v>13</v>
      </c>
      <c r="E1206">
        <v>64000</v>
      </c>
      <c r="F1206" t="s">
        <v>14</v>
      </c>
      <c r="G1206" t="s">
        <v>34</v>
      </c>
      <c r="H1206" t="s">
        <v>16</v>
      </c>
      <c r="I1206">
        <v>1184</v>
      </c>
      <c r="J1206">
        <v>473.6</v>
      </c>
      <c r="K1206">
        <v>710.4</v>
      </c>
    </row>
    <row r="1207" spans="1:11" x14ac:dyDescent="0.25">
      <c r="A1207" t="s">
        <v>1247</v>
      </c>
      <c r="B1207" s="1">
        <v>45897.373020833336</v>
      </c>
      <c r="C1207" s="2" t="s">
        <v>18</v>
      </c>
      <c r="D1207" t="s">
        <v>33</v>
      </c>
      <c r="E1207">
        <v>34242</v>
      </c>
      <c r="F1207" t="s">
        <v>14</v>
      </c>
      <c r="G1207" t="s">
        <v>15</v>
      </c>
      <c r="H1207" t="s">
        <v>16</v>
      </c>
      <c r="I1207">
        <v>0</v>
      </c>
      <c r="J1207">
        <v>0</v>
      </c>
      <c r="K1207">
        <v>0</v>
      </c>
    </row>
    <row r="1208" spans="1:11" x14ac:dyDescent="0.25">
      <c r="A1208" t="s">
        <v>1248</v>
      </c>
      <c r="B1208" s="1">
        <v>45870.17428240741</v>
      </c>
      <c r="C1208" s="2" t="s">
        <v>12</v>
      </c>
      <c r="D1208" t="s">
        <v>19</v>
      </c>
      <c r="E1208">
        <v>105560</v>
      </c>
      <c r="F1208" t="s">
        <v>14</v>
      </c>
      <c r="G1208" t="s">
        <v>20</v>
      </c>
      <c r="H1208" t="s">
        <v>16</v>
      </c>
      <c r="I1208">
        <v>5</v>
      </c>
      <c r="J1208">
        <v>0</v>
      </c>
      <c r="K1208">
        <v>5</v>
      </c>
    </row>
    <row r="1209" spans="1:11" x14ac:dyDescent="0.25">
      <c r="A1209" t="s">
        <v>1249</v>
      </c>
      <c r="B1209" s="1">
        <v>45923.310428240744</v>
      </c>
      <c r="C1209" s="2" t="s">
        <v>22</v>
      </c>
      <c r="D1209" t="s">
        <v>33</v>
      </c>
      <c r="E1209">
        <v>127162</v>
      </c>
      <c r="F1209" t="s">
        <v>14</v>
      </c>
      <c r="G1209" t="s">
        <v>34</v>
      </c>
      <c r="H1209" t="s">
        <v>16</v>
      </c>
      <c r="I1209">
        <v>0</v>
      </c>
      <c r="J1209">
        <v>0</v>
      </c>
      <c r="K1209">
        <v>0</v>
      </c>
    </row>
    <row r="1210" spans="1:11" x14ac:dyDescent="0.25">
      <c r="A1210" t="s">
        <v>1250</v>
      </c>
      <c r="B1210" s="1">
        <v>45856.902557870373</v>
      </c>
      <c r="C1210" s="2" t="s">
        <v>18</v>
      </c>
      <c r="D1210" t="s">
        <v>45</v>
      </c>
      <c r="E1210">
        <v>1309</v>
      </c>
      <c r="F1210" t="s">
        <v>14</v>
      </c>
      <c r="G1210" t="s">
        <v>34</v>
      </c>
      <c r="H1210" t="s">
        <v>59</v>
      </c>
      <c r="I1210">
        <v>13.09</v>
      </c>
      <c r="J1210">
        <v>0</v>
      </c>
      <c r="K1210">
        <v>13.09</v>
      </c>
    </row>
    <row r="1211" spans="1:11" x14ac:dyDescent="0.25">
      <c r="A1211" t="s">
        <v>1251</v>
      </c>
      <c r="B1211" s="1">
        <v>46100.656354166669</v>
      </c>
      <c r="C1211" s="2" t="s">
        <v>22</v>
      </c>
      <c r="D1211" t="s">
        <v>23</v>
      </c>
      <c r="E1211">
        <v>106</v>
      </c>
      <c r="F1211" t="s">
        <v>14</v>
      </c>
      <c r="G1211" t="s">
        <v>58</v>
      </c>
      <c r="H1211" t="s">
        <v>16</v>
      </c>
      <c r="I1211">
        <v>0</v>
      </c>
      <c r="J1211">
        <v>0</v>
      </c>
      <c r="K1211">
        <v>0</v>
      </c>
    </row>
    <row r="1212" spans="1:11" x14ac:dyDescent="0.25">
      <c r="A1212" t="s">
        <v>1252</v>
      </c>
      <c r="B1212" s="1">
        <v>45849.811192129629</v>
      </c>
      <c r="C1212" s="2" t="s">
        <v>12</v>
      </c>
      <c r="D1212" t="s">
        <v>45</v>
      </c>
      <c r="E1212">
        <v>104488</v>
      </c>
      <c r="F1212" t="s">
        <v>14</v>
      </c>
      <c r="G1212" t="s">
        <v>51</v>
      </c>
      <c r="H1212" t="s">
        <v>178</v>
      </c>
      <c r="I1212">
        <v>1044.8800000000001</v>
      </c>
      <c r="J1212">
        <v>0</v>
      </c>
      <c r="K1212">
        <v>1044.8800000000001</v>
      </c>
    </row>
    <row r="1213" spans="1:11" x14ac:dyDescent="0.25">
      <c r="A1213" t="s">
        <v>1253</v>
      </c>
      <c r="B1213" s="1">
        <v>45962.481550925928</v>
      </c>
      <c r="C1213" s="2" t="s">
        <v>18</v>
      </c>
      <c r="D1213" t="s">
        <v>13</v>
      </c>
      <c r="E1213">
        <v>45500</v>
      </c>
      <c r="F1213" t="s">
        <v>14</v>
      </c>
      <c r="G1213" t="s">
        <v>24</v>
      </c>
      <c r="H1213" t="s">
        <v>16</v>
      </c>
      <c r="I1213">
        <v>841.75</v>
      </c>
      <c r="J1213">
        <v>336.7</v>
      </c>
      <c r="K1213">
        <v>505.05</v>
      </c>
    </row>
    <row r="1214" spans="1:11" x14ac:dyDescent="0.25">
      <c r="A1214" t="s">
        <v>1254</v>
      </c>
      <c r="B1214" s="1">
        <v>46010.551099537035</v>
      </c>
      <c r="C1214" s="2" t="s">
        <v>41</v>
      </c>
      <c r="D1214" t="s">
        <v>13</v>
      </c>
      <c r="E1214">
        <v>43000</v>
      </c>
      <c r="F1214" t="s">
        <v>50</v>
      </c>
      <c r="G1214" t="s">
        <v>34</v>
      </c>
      <c r="H1214" t="s">
        <v>16</v>
      </c>
      <c r="I1214">
        <v>795.5</v>
      </c>
      <c r="J1214">
        <v>318.2</v>
      </c>
      <c r="K1214">
        <v>477.3</v>
      </c>
    </row>
    <row r="1215" spans="1:11" x14ac:dyDescent="0.25">
      <c r="A1215" t="s">
        <v>1255</v>
      </c>
      <c r="B1215" s="1">
        <v>45855.417025462964</v>
      </c>
      <c r="C1215" s="2" t="s">
        <v>12</v>
      </c>
      <c r="D1215" t="s">
        <v>45</v>
      </c>
      <c r="E1215">
        <v>119502</v>
      </c>
      <c r="F1215" t="s">
        <v>14</v>
      </c>
      <c r="G1215" t="s">
        <v>30</v>
      </c>
      <c r="H1215" t="s">
        <v>71</v>
      </c>
      <c r="I1215">
        <v>1195.02</v>
      </c>
      <c r="J1215">
        <v>0</v>
      </c>
      <c r="K1215">
        <v>1195.02</v>
      </c>
    </row>
    <row r="1216" spans="1:11" x14ac:dyDescent="0.25">
      <c r="A1216" t="s">
        <v>1256</v>
      </c>
      <c r="B1216" s="1">
        <v>45799.855937499997</v>
      </c>
      <c r="C1216" s="2" t="s">
        <v>12</v>
      </c>
      <c r="D1216" t="s">
        <v>45</v>
      </c>
      <c r="E1216">
        <v>39875</v>
      </c>
      <c r="F1216" t="s">
        <v>14</v>
      </c>
      <c r="G1216" t="s">
        <v>24</v>
      </c>
      <c r="H1216" t="s">
        <v>178</v>
      </c>
      <c r="I1216">
        <v>398.75</v>
      </c>
      <c r="J1216">
        <v>0</v>
      </c>
      <c r="K1216">
        <v>398.75</v>
      </c>
    </row>
    <row r="1217" spans="1:11" x14ac:dyDescent="0.25">
      <c r="A1217" t="s">
        <v>1257</v>
      </c>
      <c r="B1217" s="1">
        <v>46035.989421296297</v>
      </c>
      <c r="C1217" s="2" t="s">
        <v>29</v>
      </c>
      <c r="D1217" t="s">
        <v>19</v>
      </c>
      <c r="E1217">
        <v>65093</v>
      </c>
      <c r="F1217" t="s">
        <v>14</v>
      </c>
      <c r="G1217" t="s">
        <v>58</v>
      </c>
      <c r="H1217" t="s">
        <v>16</v>
      </c>
      <c r="I1217">
        <v>5</v>
      </c>
      <c r="J1217">
        <v>0</v>
      </c>
      <c r="K1217">
        <v>5</v>
      </c>
    </row>
    <row r="1218" spans="1:11" x14ac:dyDescent="0.25">
      <c r="A1218" t="s">
        <v>1258</v>
      </c>
      <c r="B1218" s="1">
        <v>45922.25105324074</v>
      </c>
      <c r="C1218" s="2" t="s">
        <v>39</v>
      </c>
      <c r="D1218" t="s">
        <v>23</v>
      </c>
      <c r="E1218">
        <v>4281</v>
      </c>
      <c r="F1218" t="s">
        <v>50</v>
      </c>
      <c r="G1218" t="s">
        <v>58</v>
      </c>
      <c r="H1218" t="s">
        <v>16</v>
      </c>
      <c r="I1218">
        <v>0</v>
      </c>
      <c r="J1218">
        <v>0</v>
      </c>
      <c r="K1218">
        <v>0</v>
      </c>
    </row>
    <row r="1219" spans="1:11" x14ac:dyDescent="0.25">
      <c r="A1219" t="s">
        <v>1259</v>
      </c>
      <c r="B1219" s="1">
        <v>45954.631423611114</v>
      </c>
      <c r="C1219" s="2" t="s">
        <v>18</v>
      </c>
      <c r="D1219" t="s">
        <v>45</v>
      </c>
      <c r="E1219">
        <v>117109</v>
      </c>
      <c r="F1219" t="s">
        <v>14</v>
      </c>
      <c r="G1219" t="s">
        <v>34</v>
      </c>
      <c r="H1219" t="s">
        <v>56</v>
      </c>
      <c r="I1219">
        <v>1171.0899999999999</v>
      </c>
      <c r="J1219">
        <v>0</v>
      </c>
      <c r="K1219">
        <v>1171.0899999999999</v>
      </c>
    </row>
    <row r="1220" spans="1:11" x14ac:dyDescent="0.25">
      <c r="A1220" t="s">
        <v>1260</v>
      </c>
      <c r="B1220" s="1">
        <v>45899.701979166668</v>
      </c>
      <c r="C1220" s="2" t="s">
        <v>26</v>
      </c>
      <c r="D1220" t="s">
        <v>45</v>
      </c>
      <c r="E1220">
        <v>67515</v>
      </c>
      <c r="F1220" t="s">
        <v>14</v>
      </c>
      <c r="G1220" t="s">
        <v>15</v>
      </c>
      <c r="H1220" t="s">
        <v>59</v>
      </c>
      <c r="I1220">
        <v>675.15</v>
      </c>
      <c r="J1220">
        <v>0</v>
      </c>
      <c r="K1220">
        <v>675.15</v>
      </c>
    </row>
    <row r="1221" spans="1:11" x14ac:dyDescent="0.25">
      <c r="A1221" t="s">
        <v>1261</v>
      </c>
      <c r="B1221" s="1">
        <v>45844.331666666665</v>
      </c>
      <c r="C1221" s="2" t="s">
        <v>39</v>
      </c>
      <c r="D1221" t="s">
        <v>33</v>
      </c>
      <c r="E1221">
        <v>125166</v>
      </c>
      <c r="F1221" t="s">
        <v>14</v>
      </c>
      <c r="G1221" t="s">
        <v>15</v>
      </c>
      <c r="H1221" t="s">
        <v>16</v>
      </c>
      <c r="I1221">
        <v>0</v>
      </c>
      <c r="J1221">
        <v>0</v>
      </c>
      <c r="K1221">
        <v>0</v>
      </c>
    </row>
    <row r="1222" spans="1:11" x14ac:dyDescent="0.25">
      <c r="A1222" t="s">
        <v>1262</v>
      </c>
      <c r="B1222" s="1">
        <v>45852.588449074072</v>
      </c>
      <c r="C1222" s="2" t="s">
        <v>41</v>
      </c>
      <c r="D1222" t="s">
        <v>23</v>
      </c>
      <c r="E1222">
        <v>3008</v>
      </c>
      <c r="F1222" t="s">
        <v>14</v>
      </c>
      <c r="G1222" t="s">
        <v>20</v>
      </c>
      <c r="H1222" t="s">
        <v>16</v>
      </c>
      <c r="I1222">
        <v>0</v>
      </c>
      <c r="J1222">
        <v>0</v>
      </c>
      <c r="K1222">
        <v>0</v>
      </c>
    </row>
    <row r="1223" spans="1:11" x14ac:dyDescent="0.25">
      <c r="A1223" t="s">
        <v>1263</v>
      </c>
      <c r="B1223" s="1">
        <v>46024.494641203702</v>
      </c>
      <c r="C1223" s="2" t="s">
        <v>26</v>
      </c>
      <c r="D1223" t="s">
        <v>23</v>
      </c>
      <c r="E1223">
        <v>4429</v>
      </c>
      <c r="F1223" t="s">
        <v>14</v>
      </c>
      <c r="G1223" t="s">
        <v>58</v>
      </c>
      <c r="H1223" t="s">
        <v>16</v>
      </c>
      <c r="I1223">
        <v>0</v>
      </c>
      <c r="J1223">
        <v>0</v>
      </c>
      <c r="K1223">
        <v>0</v>
      </c>
    </row>
    <row r="1224" spans="1:11" x14ac:dyDescent="0.25">
      <c r="A1224" t="s">
        <v>1264</v>
      </c>
      <c r="B1224" s="1">
        <v>46072.419664351852</v>
      </c>
      <c r="C1224" s="2" t="s">
        <v>39</v>
      </c>
      <c r="D1224" t="s">
        <v>19</v>
      </c>
      <c r="E1224">
        <v>3028</v>
      </c>
      <c r="F1224" t="s">
        <v>14</v>
      </c>
      <c r="G1224" t="s">
        <v>27</v>
      </c>
      <c r="H1224" t="s">
        <v>16</v>
      </c>
      <c r="I1224">
        <v>5</v>
      </c>
      <c r="J1224">
        <v>0</v>
      </c>
      <c r="K1224">
        <v>5</v>
      </c>
    </row>
    <row r="1225" spans="1:11" x14ac:dyDescent="0.25">
      <c r="A1225" t="s">
        <v>1265</v>
      </c>
      <c r="B1225" s="1">
        <v>46036.218807870369</v>
      </c>
      <c r="C1225" s="2" t="s">
        <v>18</v>
      </c>
      <c r="D1225" t="s">
        <v>33</v>
      </c>
      <c r="E1225">
        <v>101259</v>
      </c>
      <c r="F1225" t="s">
        <v>99</v>
      </c>
      <c r="G1225" t="s">
        <v>27</v>
      </c>
      <c r="H1225" t="s">
        <v>16</v>
      </c>
      <c r="I1225">
        <v>0</v>
      </c>
      <c r="J1225">
        <v>0</v>
      </c>
      <c r="K1225">
        <v>0</v>
      </c>
    </row>
    <row r="1226" spans="1:11" x14ac:dyDescent="0.25">
      <c r="A1226" t="s">
        <v>1266</v>
      </c>
      <c r="B1226" s="1">
        <v>45990.511956018519</v>
      </c>
      <c r="C1226" s="2" t="s">
        <v>22</v>
      </c>
      <c r="D1226" t="s">
        <v>45</v>
      </c>
      <c r="E1226">
        <v>35748</v>
      </c>
      <c r="F1226" t="s">
        <v>50</v>
      </c>
      <c r="G1226" t="s">
        <v>27</v>
      </c>
      <c r="H1226" t="s">
        <v>71</v>
      </c>
      <c r="I1226">
        <v>357.48</v>
      </c>
      <c r="J1226">
        <v>0</v>
      </c>
      <c r="K1226">
        <v>357.48</v>
      </c>
    </row>
    <row r="1227" spans="1:11" x14ac:dyDescent="0.25">
      <c r="A1227" t="s">
        <v>1267</v>
      </c>
      <c r="B1227" s="1">
        <v>45832.916608796295</v>
      </c>
      <c r="C1227" s="2" t="s">
        <v>26</v>
      </c>
      <c r="D1227" t="s">
        <v>45</v>
      </c>
      <c r="E1227">
        <v>95883</v>
      </c>
      <c r="F1227" t="s">
        <v>14</v>
      </c>
      <c r="G1227" t="s">
        <v>27</v>
      </c>
      <c r="H1227" t="s">
        <v>59</v>
      </c>
      <c r="I1227">
        <v>958.83</v>
      </c>
      <c r="J1227">
        <v>0</v>
      </c>
      <c r="K1227">
        <v>958.83</v>
      </c>
    </row>
    <row r="1228" spans="1:11" x14ac:dyDescent="0.25">
      <c r="A1228" t="s">
        <v>1268</v>
      </c>
      <c r="B1228" s="1">
        <v>45856.43513888889</v>
      </c>
      <c r="C1228" s="2" t="s">
        <v>22</v>
      </c>
      <c r="D1228" t="s">
        <v>45</v>
      </c>
      <c r="E1228">
        <v>41841</v>
      </c>
      <c r="F1228" t="s">
        <v>50</v>
      </c>
      <c r="G1228" t="s">
        <v>34</v>
      </c>
      <c r="H1228" t="s">
        <v>59</v>
      </c>
      <c r="I1228">
        <v>418.41</v>
      </c>
      <c r="J1228">
        <v>0</v>
      </c>
      <c r="K1228">
        <v>418.41</v>
      </c>
    </row>
    <row r="1229" spans="1:11" x14ac:dyDescent="0.25">
      <c r="A1229" t="s">
        <v>1269</v>
      </c>
      <c r="B1229" s="1">
        <v>45954.287210648145</v>
      </c>
      <c r="C1229" s="2" t="s">
        <v>41</v>
      </c>
      <c r="D1229" t="s">
        <v>19</v>
      </c>
      <c r="E1229">
        <v>129087</v>
      </c>
      <c r="F1229" t="s">
        <v>14</v>
      </c>
      <c r="G1229" t="s">
        <v>34</v>
      </c>
      <c r="H1229" t="s">
        <v>16</v>
      </c>
      <c r="I1229">
        <v>5</v>
      </c>
      <c r="J1229">
        <v>0</v>
      </c>
      <c r="K1229">
        <v>5</v>
      </c>
    </row>
    <row r="1230" spans="1:11" x14ac:dyDescent="0.25">
      <c r="A1230" t="s">
        <v>1270</v>
      </c>
      <c r="B1230" s="1">
        <v>45782.232129629629</v>
      </c>
      <c r="C1230" s="2" t="s">
        <v>12</v>
      </c>
      <c r="D1230" t="s">
        <v>13</v>
      </c>
      <c r="E1230">
        <v>39000</v>
      </c>
      <c r="F1230" t="s">
        <v>14</v>
      </c>
      <c r="G1230" t="s">
        <v>34</v>
      </c>
      <c r="H1230" t="s">
        <v>16</v>
      </c>
      <c r="I1230">
        <v>721.5</v>
      </c>
      <c r="J1230">
        <v>288.60000000000002</v>
      </c>
      <c r="K1230">
        <v>432.9</v>
      </c>
    </row>
    <row r="1231" spans="1:11" x14ac:dyDescent="0.25">
      <c r="A1231" t="s">
        <v>1271</v>
      </c>
      <c r="B1231" s="1">
        <v>45990.534861111111</v>
      </c>
      <c r="C1231" s="2" t="s">
        <v>26</v>
      </c>
      <c r="D1231" t="s">
        <v>13</v>
      </c>
      <c r="E1231">
        <v>159000</v>
      </c>
      <c r="F1231" t="s">
        <v>14</v>
      </c>
      <c r="G1231" t="s">
        <v>34</v>
      </c>
      <c r="H1231" t="s">
        <v>16</v>
      </c>
      <c r="I1231">
        <v>2941.5</v>
      </c>
      <c r="J1231">
        <v>1176.5999999999999</v>
      </c>
      <c r="K1231">
        <v>1764.9</v>
      </c>
    </row>
    <row r="1232" spans="1:11" x14ac:dyDescent="0.25">
      <c r="A1232" t="s">
        <v>1272</v>
      </c>
      <c r="B1232" s="1">
        <v>45908.327650462961</v>
      </c>
      <c r="C1232" s="2" t="s">
        <v>26</v>
      </c>
      <c r="D1232" t="s">
        <v>45</v>
      </c>
      <c r="E1232">
        <v>39392</v>
      </c>
      <c r="F1232" t="s">
        <v>14</v>
      </c>
      <c r="G1232" t="s">
        <v>24</v>
      </c>
      <c r="H1232" t="s">
        <v>56</v>
      </c>
      <c r="I1232">
        <v>393.92</v>
      </c>
      <c r="J1232">
        <v>0</v>
      </c>
      <c r="K1232">
        <v>393.92</v>
      </c>
    </row>
    <row r="1233" spans="1:11" x14ac:dyDescent="0.25">
      <c r="A1233" t="s">
        <v>1273</v>
      </c>
      <c r="B1233" s="1">
        <v>45948.117569444446</v>
      </c>
      <c r="C1233" s="2" t="s">
        <v>26</v>
      </c>
      <c r="D1233" t="s">
        <v>19</v>
      </c>
      <c r="E1233">
        <v>93327</v>
      </c>
      <c r="F1233" t="s">
        <v>14</v>
      </c>
      <c r="G1233" t="s">
        <v>30</v>
      </c>
      <c r="H1233" t="s">
        <v>16</v>
      </c>
      <c r="I1233">
        <v>5</v>
      </c>
      <c r="J1233">
        <v>0</v>
      </c>
      <c r="K1233">
        <v>5</v>
      </c>
    </row>
    <row r="1234" spans="1:11" x14ac:dyDescent="0.25">
      <c r="A1234" t="s">
        <v>1274</v>
      </c>
      <c r="B1234" s="1">
        <v>46049.37841435185</v>
      </c>
      <c r="C1234" s="2" t="s">
        <v>29</v>
      </c>
      <c r="D1234" t="s">
        <v>23</v>
      </c>
      <c r="E1234">
        <v>4025</v>
      </c>
      <c r="F1234" t="s">
        <v>14</v>
      </c>
      <c r="G1234" t="s">
        <v>34</v>
      </c>
      <c r="H1234" t="s">
        <v>16</v>
      </c>
      <c r="I1234">
        <v>0</v>
      </c>
      <c r="J1234">
        <v>0</v>
      </c>
      <c r="K1234">
        <v>0</v>
      </c>
    </row>
    <row r="1235" spans="1:11" x14ac:dyDescent="0.25">
      <c r="A1235" t="s">
        <v>1275</v>
      </c>
      <c r="B1235" s="1">
        <v>45829.83520833333</v>
      </c>
      <c r="C1235" s="2" t="s">
        <v>29</v>
      </c>
      <c r="D1235" t="s">
        <v>33</v>
      </c>
      <c r="E1235">
        <v>3041</v>
      </c>
      <c r="F1235" t="s">
        <v>14</v>
      </c>
      <c r="G1235" t="s">
        <v>34</v>
      </c>
      <c r="H1235" t="s">
        <v>16</v>
      </c>
      <c r="I1235">
        <v>0</v>
      </c>
      <c r="J1235">
        <v>0</v>
      </c>
      <c r="K1235">
        <v>0</v>
      </c>
    </row>
    <row r="1236" spans="1:11" x14ac:dyDescent="0.25">
      <c r="A1236" t="s">
        <v>1276</v>
      </c>
      <c r="B1236" s="1">
        <v>46076.186238425929</v>
      </c>
      <c r="C1236" s="2" t="s">
        <v>32</v>
      </c>
      <c r="D1236" t="s">
        <v>33</v>
      </c>
      <c r="E1236">
        <v>122932</v>
      </c>
      <c r="F1236" t="s">
        <v>14</v>
      </c>
      <c r="G1236" t="s">
        <v>24</v>
      </c>
      <c r="H1236" t="s">
        <v>16</v>
      </c>
      <c r="I1236">
        <v>0</v>
      </c>
      <c r="J1236">
        <v>0</v>
      </c>
      <c r="K1236">
        <v>0</v>
      </c>
    </row>
    <row r="1237" spans="1:11" x14ac:dyDescent="0.25">
      <c r="A1237" t="s">
        <v>1277</v>
      </c>
      <c r="B1237" s="1">
        <v>46078.212847222225</v>
      </c>
      <c r="C1237" s="2" t="s">
        <v>18</v>
      </c>
      <c r="D1237" t="s">
        <v>19</v>
      </c>
      <c r="E1237">
        <v>127347</v>
      </c>
      <c r="F1237" t="s">
        <v>50</v>
      </c>
      <c r="G1237" t="s">
        <v>24</v>
      </c>
      <c r="H1237" t="s">
        <v>16</v>
      </c>
      <c r="I1237">
        <v>5</v>
      </c>
      <c r="J1237">
        <v>0</v>
      </c>
      <c r="K1237">
        <v>5</v>
      </c>
    </row>
    <row r="1238" spans="1:11" x14ac:dyDescent="0.25">
      <c r="A1238" t="s">
        <v>1278</v>
      </c>
      <c r="B1238" s="1">
        <v>46068.267002314817</v>
      </c>
      <c r="C1238" s="2" t="s">
        <v>39</v>
      </c>
      <c r="D1238" t="s">
        <v>19</v>
      </c>
      <c r="E1238">
        <v>131273</v>
      </c>
      <c r="F1238" t="s">
        <v>50</v>
      </c>
      <c r="G1238" t="s">
        <v>24</v>
      </c>
      <c r="H1238" t="s">
        <v>16</v>
      </c>
      <c r="I1238">
        <v>5</v>
      </c>
      <c r="J1238">
        <v>0</v>
      </c>
      <c r="K1238">
        <v>5</v>
      </c>
    </row>
    <row r="1239" spans="1:11" x14ac:dyDescent="0.25">
      <c r="A1239" t="s">
        <v>1279</v>
      </c>
      <c r="B1239" s="1">
        <v>45902.482708333337</v>
      </c>
      <c r="C1239" s="2" t="s">
        <v>22</v>
      </c>
      <c r="D1239" t="s">
        <v>33</v>
      </c>
      <c r="E1239">
        <v>68944</v>
      </c>
      <c r="F1239" t="s">
        <v>14</v>
      </c>
      <c r="G1239" t="s">
        <v>51</v>
      </c>
      <c r="H1239" t="s">
        <v>16</v>
      </c>
      <c r="I1239">
        <v>0</v>
      </c>
      <c r="J1239">
        <v>0</v>
      </c>
      <c r="K1239">
        <v>0</v>
      </c>
    </row>
    <row r="1240" spans="1:11" x14ac:dyDescent="0.25">
      <c r="A1240" t="s">
        <v>1280</v>
      </c>
      <c r="B1240" s="1">
        <v>46099.325520833336</v>
      </c>
      <c r="C1240" s="2" t="s">
        <v>41</v>
      </c>
      <c r="D1240" t="s">
        <v>19</v>
      </c>
      <c r="E1240">
        <v>27290</v>
      </c>
      <c r="F1240" t="s">
        <v>50</v>
      </c>
      <c r="G1240" t="s">
        <v>34</v>
      </c>
      <c r="H1240" t="s">
        <v>16</v>
      </c>
      <c r="I1240">
        <v>5</v>
      </c>
      <c r="J1240">
        <v>0</v>
      </c>
      <c r="K1240">
        <v>5</v>
      </c>
    </row>
    <row r="1241" spans="1:11" x14ac:dyDescent="0.25">
      <c r="A1241" t="s">
        <v>1281</v>
      </c>
      <c r="B1241" s="1">
        <v>46045.718495370369</v>
      </c>
      <c r="C1241" s="2" t="s">
        <v>39</v>
      </c>
      <c r="D1241" t="s">
        <v>13</v>
      </c>
      <c r="E1241">
        <v>89500</v>
      </c>
      <c r="F1241" t="s">
        <v>14</v>
      </c>
      <c r="G1241" t="s">
        <v>34</v>
      </c>
      <c r="H1241" t="s">
        <v>16</v>
      </c>
      <c r="I1241">
        <v>1655.75</v>
      </c>
      <c r="J1241">
        <v>662.3</v>
      </c>
      <c r="K1241">
        <v>993.45</v>
      </c>
    </row>
    <row r="1242" spans="1:11" x14ac:dyDescent="0.25">
      <c r="A1242" t="s">
        <v>1282</v>
      </c>
      <c r="B1242" s="1">
        <v>45954.772719907407</v>
      </c>
      <c r="C1242" s="2" t="s">
        <v>26</v>
      </c>
      <c r="D1242" t="s">
        <v>23</v>
      </c>
      <c r="E1242">
        <v>3623</v>
      </c>
      <c r="F1242" t="s">
        <v>14</v>
      </c>
      <c r="G1242" t="s">
        <v>51</v>
      </c>
      <c r="H1242" t="s">
        <v>16</v>
      </c>
      <c r="I1242">
        <v>0</v>
      </c>
      <c r="J1242">
        <v>0</v>
      </c>
      <c r="K1242">
        <v>0</v>
      </c>
    </row>
    <row r="1243" spans="1:11" x14ac:dyDescent="0.25">
      <c r="A1243" t="s">
        <v>1283</v>
      </c>
      <c r="B1243" s="1">
        <v>45992.991516203707</v>
      </c>
      <c r="C1243" s="2" t="s">
        <v>39</v>
      </c>
      <c r="D1243" t="s">
        <v>33</v>
      </c>
      <c r="E1243">
        <v>88055</v>
      </c>
      <c r="F1243" t="s">
        <v>50</v>
      </c>
      <c r="G1243" t="s">
        <v>34</v>
      </c>
      <c r="H1243" t="s">
        <v>16</v>
      </c>
      <c r="I1243">
        <v>0</v>
      </c>
      <c r="J1243">
        <v>0</v>
      </c>
      <c r="K1243">
        <v>0</v>
      </c>
    </row>
    <row r="1244" spans="1:11" x14ac:dyDescent="0.25">
      <c r="A1244" t="s">
        <v>1284</v>
      </c>
      <c r="B1244" s="1">
        <v>45807.925937499997</v>
      </c>
      <c r="C1244" s="2" t="s">
        <v>26</v>
      </c>
      <c r="D1244" t="s">
        <v>19</v>
      </c>
      <c r="E1244">
        <v>118659</v>
      </c>
      <c r="F1244" t="s">
        <v>14</v>
      </c>
      <c r="G1244" t="s">
        <v>34</v>
      </c>
      <c r="H1244" t="s">
        <v>16</v>
      </c>
      <c r="I1244">
        <v>5</v>
      </c>
      <c r="J1244">
        <v>0</v>
      </c>
      <c r="K1244">
        <v>5</v>
      </c>
    </row>
    <row r="1245" spans="1:11" x14ac:dyDescent="0.25">
      <c r="A1245" t="s">
        <v>1285</v>
      </c>
      <c r="B1245" s="1">
        <v>45907.79</v>
      </c>
      <c r="C1245" s="2" t="s">
        <v>12</v>
      </c>
      <c r="D1245" t="s">
        <v>13</v>
      </c>
      <c r="E1245">
        <v>216000</v>
      </c>
      <c r="F1245" t="s">
        <v>14</v>
      </c>
      <c r="G1245" t="s">
        <v>20</v>
      </c>
      <c r="H1245" t="s">
        <v>16</v>
      </c>
      <c r="I1245">
        <v>3996</v>
      </c>
      <c r="J1245">
        <v>1598.4</v>
      </c>
      <c r="K1245">
        <v>2397.6</v>
      </c>
    </row>
    <row r="1246" spans="1:11" x14ac:dyDescent="0.25">
      <c r="A1246" t="s">
        <v>1286</v>
      </c>
      <c r="B1246" s="1">
        <v>46050.951331018521</v>
      </c>
      <c r="C1246" s="2" t="s">
        <v>32</v>
      </c>
      <c r="D1246" t="s">
        <v>45</v>
      </c>
      <c r="E1246">
        <v>78730</v>
      </c>
      <c r="F1246" t="s">
        <v>14</v>
      </c>
      <c r="G1246" t="s">
        <v>51</v>
      </c>
      <c r="H1246" t="s">
        <v>46</v>
      </c>
      <c r="I1246">
        <v>787.3</v>
      </c>
      <c r="J1246">
        <v>0</v>
      </c>
      <c r="K1246">
        <v>787.3</v>
      </c>
    </row>
    <row r="1247" spans="1:11" x14ac:dyDescent="0.25">
      <c r="A1247" t="s">
        <v>1287</v>
      </c>
      <c r="B1247" s="1">
        <v>45846.752870370372</v>
      </c>
      <c r="C1247" s="2" t="s">
        <v>18</v>
      </c>
      <c r="D1247" t="s">
        <v>19</v>
      </c>
      <c r="E1247">
        <v>26655</v>
      </c>
      <c r="F1247" t="s">
        <v>14</v>
      </c>
      <c r="G1247" t="s">
        <v>34</v>
      </c>
      <c r="H1247" t="s">
        <v>16</v>
      </c>
      <c r="I1247">
        <v>5</v>
      </c>
      <c r="J1247">
        <v>0</v>
      </c>
      <c r="K1247">
        <v>5</v>
      </c>
    </row>
    <row r="1248" spans="1:11" x14ac:dyDescent="0.25">
      <c r="A1248" t="s">
        <v>1288</v>
      </c>
      <c r="B1248" s="1">
        <v>45953.048842592594</v>
      </c>
      <c r="C1248" s="2" t="s">
        <v>26</v>
      </c>
      <c r="D1248" t="s">
        <v>13</v>
      </c>
      <c r="E1248">
        <v>130500</v>
      </c>
      <c r="F1248" t="s">
        <v>14</v>
      </c>
      <c r="G1248" t="s">
        <v>27</v>
      </c>
      <c r="H1248" t="s">
        <v>16</v>
      </c>
      <c r="I1248">
        <v>2414.25</v>
      </c>
      <c r="J1248">
        <v>965.7</v>
      </c>
      <c r="K1248">
        <v>1448.55</v>
      </c>
    </row>
    <row r="1249" spans="1:11" x14ac:dyDescent="0.25">
      <c r="A1249" t="s">
        <v>1289</v>
      </c>
      <c r="B1249" s="1">
        <v>46079.999479166669</v>
      </c>
      <c r="C1249" s="2" t="s">
        <v>12</v>
      </c>
      <c r="D1249" t="s">
        <v>45</v>
      </c>
      <c r="E1249">
        <v>82241</v>
      </c>
      <c r="F1249" t="s">
        <v>14</v>
      </c>
      <c r="G1249" t="s">
        <v>30</v>
      </c>
      <c r="H1249" t="s">
        <v>178</v>
      </c>
      <c r="I1249">
        <v>822.41</v>
      </c>
      <c r="J1249">
        <v>0</v>
      </c>
      <c r="K1249">
        <v>822.41</v>
      </c>
    </row>
    <row r="1250" spans="1:11" x14ac:dyDescent="0.25">
      <c r="A1250" t="s">
        <v>1290</v>
      </c>
      <c r="B1250" s="1">
        <v>45953.038263888891</v>
      </c>
      <c r="C1250" s="2" t="s">
        <v>41</v>
      </c>
      <c r="D1250" t="s">
        <v>19</v>
      </c>
      <c r="E1250">
        <v>81828</v>
      </c>
      <c r="F1250" t="s">
        <v>14</v>
      </c>
      <c r="G1250" t="s">
        <v>20</v>
      </c>
      <c r="H1250" t="s">
        <v>16</v>
      </c>
      <c r="I1250">
        <v>5</v>
      </c>
      <c r="J1250">
        <v>0</v>
      </c>
      <c r="K1250">
        <v>5</v>
      </c>
    </row>
    <row r="1251" spans="1:11" x14ac:dyDescent="0.25">
      <c r="A1251" t="s">
        <v>1291</v>
      </c>
      <c r="B1251" s="1">
        <v>46137.65724537037</v>
      </c>
      <c r="C1251" s="2" t="s">
        <v>29</v>
      </c>
      <c r="D1251" t="s">
        <v>33</v>
      </c>
      <c r="E1251">
        <v>130797</v>
      </c>
      <c r="F1251" t="s">
        <v>14</v>
      </c>
      <c r="G1251" t="s">
        <v>51</v>
      </c>
      <c r="H1251" t="s">
        <v>16</v>
      </c>
      <c r="I1251">
        <v>0</v>
      </c>
      <c r="J1251">
        <v>0</v>
      </c>
      <c r="K1251">
        <v>0</v>
      </c>
    </row>
    <row r="1252" spans="1:11" x14ac:dyDescent="0.25">
      <c r="A1252" t="s">
        <v>1292</v>
      </c>
      <c r="B1252" s="1">
        <v>45932.931030092594</v>
      </c>
      <c r="C1252" s="2" t="s">
        <v>22</v>
      </c>
      <c r="D1252" t="s">
        <v>33</v>
      </c>
      <c r="E1252">
        <v>7910</v>
      </c>
      <c r="F1252" t="s">
        <v>14</v>
      </c>
      <c r="G1252" t="s">
        <v>24</v>
      </c>
      <c r="H1252" t="s">
        <v>16</v>
      </c>
      <c r="I1252">
        <v>0</v>
      </c>
      <c r="J1252">
        <v>0</v>
      </c>
      <c r="K1252">
        <v>0</v>
      </c>
    </row>
    <row r="1253" spans="1:11" x14ac:dyDescent="0.25">
      <c r="A1253" t="s">
        <v>1293</v>
      </c>
      <c r="B1253" s="1">
        <v>45882.792962962965</v>
      </c>
      <c r="C1253" s="2" t="s">
        <v>26</v>
      </c>
      <c r="D1253" t="s">
        <v>19</v>
      </c>
      <c r="E1253">
        <v>95113</v>
      </c>
      <c r="F1253" t="s">
        <v>14</v>
      </c>
      <c r="G1253" t="s">
        <v>34</v>
      </c>
      <c r="H1253" t="s">
        <v>16</v>
      </c>
      <c r="I1253">
        <v>5</v>
      </c>
      <c r="J1253">
        <v>0</v>
      </c>
      <c r="K1253">
        <v>5</v>
      </c>
    </row>
    <row r="1254" spans="1:11" x14ac:dyDescent="0.25">
      <c r="A1254" t="s">
        <v>1294</v>
      </c>
      <c r="B1254" s="1">
        <v>45975.906736111108</v>
      </c>
      <c r="C1254" s="2" t="s">
        <v>18</v>
      </c>
      <c r="D1254" t="s">
        <v>13</v>
      </c>
      <c r="E1254">
        <v>243500</v>
      </c>
      <c r="F1254" t="s">
        <v>14</v>
      </c>
      <c r="G1254" t="s">
        <v>58</v>
      </c>
      <c r="H1254" t="s">
        <v>16</v>
      </c>
      <c r="I1254">
        <v>4504.75</v>
      </c>
      <c r="J1254">
        <v>1801.9</v>
      </c>
      <c r="K1254">
        <v>2702.85</v>
      </c>
    </row>
    <row r="1255" spans="1:11" x14ac:dyDescent="0.25">
      <c r="A1255" t="s">
        <v>1295</v>
      </c>
      <c r="B1255" s="1">
        <v>45988.399733796294</v>
      </c>
      <c r="C1255" s="2" t="s">
        <v>41</v>
      </c>
      <c r="D1255" t="s">
        <v>19</v>
      </c>
      <c r="E1255">
        <v>33121</v>
      </c>
      <c r="F1255" t="s">
        <v>14</v>
      </c>
      <c r="G1255" t="s">
        <v>34</v>
      </c>
      <c r="H1255" t="s">
        <v>16</v>
      </c>
      <c r="I1255">
        <v>5</v>
      </c>
      <c r="J1255">
        <v>0</v>
      </c>
      <c r="K1255">
        <v>5</v>
      </c>
    </row>
    <row r="1256" spans="1:11" x14ac:dyDescent="0.25">
      <c r="A1256" t="s">
        <v>1296</v>
      </c>
      <c r="B1256" s="1">
        <v>46134.255266203705</v>
      </c>
      <c r="C1256" s="2" t="s">
        <v>32</v>
      </c>
      <c r="D1256" t="s">
        <v>33</v>
      </c>
      <c r="E1256">
        <v>148588</v>
      </c>
      <c r="F1256" t="s">
        <v>50</v>
      </c>
      <c r="G1256" t="s">
        <v>30</v>
      </c>
      <c r="H1256" t="s">
        <v>16</v>
      </c>
      <c r="I1256">
        <v>0</v>
      </c>
      <c r="J1256">
        <v>0</v>
      </c>
      <c r="K1256">
        <v>0</v>
      </c>
    </row>
    <row r="1257" spans="1:11" x14ac:dyDescent="0.25">
      <c r="A1257" t="s">
        <v>1297</v>
      </c>
      <c r="B1257" s="1">
        <v>46098.963645833333</v>
      </c>
      <c r="C1257" s="2" t="s">
        <v>39</v>
      </c>
      <c r="D1257" t="s">
        <v>13</v>
      </c>
      <c r="E1257">
        <v>51500</v>
      </c>
      <c r="F1257" t="s">
        <v>50</v>
      </c>
      <c r="G1257" t="s">
        <v>20</v>
      </c>
      <c r="H1257" t="s">
        <v>16</v>
      </c>
      <c r="I1257">
        <v>952.75</v>
      </c>
      <c r="J1257">
        <v>381.1</v>
      </c>
      <c r="K1257">
        <v>571.65</v>
      </c>
    </row>
    <row r="1258" spans="1:11" x14ac:dyDescent="0.25">
      <c r="A1258" t="s">
        <v>1298</v>
      </c>
      <c r="B1258" s="1">
        <v>46028.334247685183</v>
      </c>
      <c r="C1258" s="2" t="s">
        <v>12</v>
      </c>
      <c r="D1258" t="s">
        <v>23</v>
      </c>
      <c r="E1258">
        <v>1879</v>
      </c>
      <c r="F1258" t="s">
        <v>14</v>
      </c>
      <c r="G1258" t="s">
        <v>51</v>
      </c>
      <c r="H1258" t="s">
        <v>16</v>
      </c>
      <c r="I1258">
        <v>0</v>
      </c>
      <c r="J1258">
        <v>0</v>
      </c>
      <c r="K1258">
        <v>0</v>
      </c>
    </row>
    <row r="1259" spans="1:11" x14ac:dyDescent="0.25">
      <c r="A1259" t="s">
        <v>1299</v>
      </c>
      <c r="B1259" s="1">
        <v>45948.911469907405</v>
      </c>
      <c r="C1259" s="2" t="s">
        <v>18</v>
      </c>
      <c r="D1259" t="s">
        <v>19</v>
      </c>
      <c r="E1259">
        <v>29009</v>
      </c>
      <c r="F1259" t="s">
        <v>14</v>
      </c>
      <c r="G1259" t="s">
        <v>30</v>
      </c>
      <c r="H1259" t="s">
        <v>16</v>
      </c>
      <c r="I1259">
        <v>5</v>
      </c>
      <c r="J1259">
        <v>0</v>
      </c>
      <c r="K1259">
        <v>5</v>
      </c>
    </row>
    <row r="1260" spans="1:11" x14ac:dyDescent="0.25">
      <c r="A1260" t="s">
        <v>1300</v>
      </c>
      <c r="B1260" s="1">
        <v>46076.388912037037</v>
      </c>
      <c r="C1260" s="2" t="s">
        <v>18</v>
      </c>
      <c r="D1260" t="s">
        <v>33</v>
      </c>
      <c r="E1260">
        <v>112346</v>
      </c>
      <c r="F1260" t="s">
        <v>14</v>
      </c>
      <c r="G1260" t="s">
        <v>27</v>
      </c>
      <c r="H1260" t="s">
        <v>16</v>
      </c>
      <c r="I1260">
        <v>0</v>
      </c>
      <c r="J1260">
        <v>0</v>
      </c>
      <c r="K1260">
        <v>0</v>
      </c>
    </row>
    <row r="1261" spans="1:11" x14ac:dyDescent="0.25">
      <c r="A1261" t="s">
        <v>1301</v>
      </c>
      <c r="B1261" s="1">
        <v>45898.977476851855</v>
      </c>
      <c r="C1261" s="2" t="s">
        <v>29</v>
      </c>
      <c r="D1261" t="s">
        <v>33</v>
      </c>
      <c r="E1261">
        <v>15865</v>
      </c>
      <c r="F1261" t="s">
        <v>14</v>
      </c>
      <c r="G1261" t="s">
        <v>34</v>
      </c>
      <c r="H1261" t="s">
        <v>16</v>
      </c>
      <c r="I1261">
        <v>0</v>
      </c>
      <c r="J1261">
        <v>0</v>
      </c>
      <c r="K1261">
        <v>0</v>
      </c>
    </row>
    <row r="1262" spans="1:11" x14ac:dyDescent="0.25">
      <c r="A1262" t="s">
        <v>1302</v>
      </c>
      <c r="B1262" s="1">
        <v>46071.687719907408</v>
      </c>
      <c r="C1262" s="2" t="s">
        <v>22</v>
      </c>
      <c r="D1262" t="s">
        <v>13</v>
      </c>
      <c r="E1262">
        <v>13000</v>
      </c>
      <c r="F1262" t="s">
        <v>14</v>
      </c>
      <c r="G1262" t="s">
        <v>51</v>
      </c>
      <c r="H1262" t="s">
        <v>16</v>
      </c>
      <c r="I1262">
        <v>240.5</v>
      </c>
      <c r="J1262">
        <v>96.2</v>
      </c>
      <c r="K1262">
        <v>144.30000000000001</v>
      </c>
    </row>
    <row r="1263" spans="1:11" x14ac:dyDescent="0.25">
      <c r="A1263" t="s">
        <v>1303</v>
      </c>
      <c r="B1263" s="1">
        <v>45963.930254629631</v>
      </c>
      <c r="C1263" s="2" t="s">
        <v>12</v>
      </c>
      <c r="D1263" t="s">
        <v>23</v>
      </c>
      <c r="E1263">
        <v>2114</v>
      </c>
      <c r="F1263" t="s">
        <v>14</v>
      </c>
      <c r="G1263" t="s">
        <v>30</v>
      </c>
      <c r="H1263" t="s">
        <v>16</v>
      </c>
      <c r="I1263">
        <v>0</v>
      </c>
      <c r="J1263">
        <v>0</v>
      </c>
      <c r="K1263">
        <v>0</v>
      </c>
    </row>
    <row r="1264" spans="1:11" x14ac:dyDescent="0.25">
      <c r="A1264" t="s">
        <v>1304</v>
      </c>
      <c r="B1264" s="1">
        <v>45866.053402777776</v>
      </c>
      <c r="C1264" s="2" t="s">
        <v>39</v>
      </c>
      <c r="D1264" t="s">
        <v>33</v>
      </c>
      <c r="E1264">
        <v>35916</v>
      </c>
      <c r="F1264" t="s">
        <v>14</v>
      </c>
      <c r="G1264" t="s">
        <v>34</v>
      </c>
      <c r="H1264" t="s">
        <v>16</v>
      </c>
      <c r="I1264">
        <v>0</v>
      </c>
      <c r="J1264">
        <v>0</v>
      </c>
      <c r="K1264">
        <v>0</v>
      </c>
    </row>
    <row r="1265" spans="1:11" x14ac:dyDescent="0.25">
      <c r="A1265" t="s">
        <v>1305</v>
      </c>
      <c r="B1265" s="1">
        <v>46047.38453703704</v>
      </c>
      <c r="C1265" s="2" t="s">
        <v>26</v>
      </c>
      <c r="D1265" t="s">
        <v>23</v>
      </c>
      <c r="E1265">
        <v>485</v>
      </c>
      <c r="F1265" t="s">
        <v>50</v>
      </c>
      <c r="G1265" t="s">
        <v>34</v>
      </c>
      <c r="H1265" t="s">
        <v>16</v>
      </c>
      <c r="I1265">
        <v>0</v>
      </c>
      <c r="J1265">
        <v>0</v>
      </c>
      <c r="K1265">
        <v>0</v>
      </c>
    </row>
    <row r="1266" spans="1:11" x14ac:dyDescent="0.25">
      <c r="A1266" t="s">
        <v>1306</v>
      </c>
      <c r="B1266" s="1">
        <v>45804.548009259262</v>
      </c>
      <c r="C1266" s="2" t="s">
        <v>26</v>
      </c>
      <c r="D1266" t="s">
        <v>19</v>
      </c>
      <c r="E1266">
        <v>117506</v>
      </c>
      <c r="F1266" t="s">
        <v>14</v>
      </c>
      <c r="G1266" t="s">
        <v>34</v>
      </c>
      <c r="H1266" t="s">
        <v>16</v>
      </c>
      <c r="I1266">
        <v>5</v>
      </c>
      <c r="J1266">
        <v>0</v>
      </c>
      <c r="K1266">
        <v>5</v>
      </c>
    </row>
    <row r="1267" spans="1:11" x14ac:dyDescent="0.25">
      <c r="A1267" t="s">
        <v>1307</v>
      </c>
      <c r="B1267" s="1">
        <v>45836.772812499999</v>
      </c>
      <c r="C1267" s="2" t="s">
        <v>22</v>
      </c>
      <c r="D1267" t="s">
        <v>19</v>
      </c>
      <c r="E1267">
        <v>33364</v>
      </c>
      <c r="F1267" t="s">
        <v>14</v>
      </c>
      <c r="G1267" t="s">
        <v>20</v>
      </c>
      <c r="H1267" t="s">
        <v>16</v>
      </c>
      <c r="I1267">
        <v>5</v>
      </c>
      <c r="J1267">
        <v>0</v>
      </c>
      <c r="K1267">
        <v>5</v>
      </c>
    </row>
    <row r="1268" spans="1:11" x14ac:dyDescent="0.25">
      <c r="A1268" t="s">
        <v>1308</v>
      </c>
      <c r="B1268" s="1">
        <v>45880.346145833333</v>
      </c>
      <c r="C1268" s="2" t="s">
        <v>22</v>
      </c>
      <c r="D1268" t="s">
        <v>45</v>
      </c>
      <c r="E1268">
        <v>135390</v>
      </c>
      <c r="F1268" t="s">
        <v>14</v>
      </c>
      <c r="G1268" t="s">
        <v>20</v>
      </c>
      <c r="H1268" t="s">
        <v>56</v>
      </c>
      <c r="I1268">
        <v>1353.9</v>
      </c>
      <c r="J1268">
        <v>0</v>
      </c>
      <c r="K1268">
        <v>1353.9</v>
      </c>
    </row>
    <row r="1269" spans="1:11" x14ac:dyDescent="0.25">
      <c r="A1269" t="s">
        <v>1309</v>
      </c>
      <c r="B1269" s="1">
        <v>45809.705520833333</v>
      </c>
      <c r="C1269" s="2" t="s">
        <v>32</v>
      </c>
      <c r="D1269" t="s">
        <v>33</v>
      </c>
      <c r="E1269">
        <v>103592</v>
      </c>
      <c r="F1269" t="s">
        <v>14</v>
      </c>
      <c r="G1269" t="s">
        <v>51</v>
      </c>
      <c r="H1269" t="s">
        <v>16</v>
      </c>
      <c r="I1269">
        <v>0</v>
      </c>
      <c r="J1269">
        <v>0</v>
      </c>
      <c r="K1269">
        <v>0</v>
      </c>
    </row>
    <row r="1270" spans="1:11" x14ac:dyDescent="0.25">
      <c r="A1270" t="s">
        <v>1310</v>
      </c>
      <c r="B1270" s="1">
        <v>45820.839803240742</v>
      </c>
      <c r="C1270" s="2" t="s">
        <v>39</v>
      </c>
      <c r="D1270" t="s">
        <v>33</v>
      </c>
      <c r="E1270">
        <v>37159</v>
      </c>
      <c r="F1270" t="s">
        <v>99</v>
      </c>
      <c r="G1270" t="s">
        <v>24</v>
      </c>
      <c r="H1270" t="s">
        <v>16</v>
      </c>
      <c r="I1270">
        <v>0</v>
      </c>
      <c r="J1270">
        <v>0</v>
      </c>
      <c r="K1270">
        <v>0</v>
      </c>
    </row>
    <row r="1271" spans="1:11" x14ac:dyDescent="0.25">
      <c r="A1271" t="s">
        <v>1311</v>
      </c>
      <c r="B1271" s="1">
        <v>45960.310381944444</v>
      </c>
      <c r="C1271" s="2" t="s">
        <v>22</v>
      </c>
      <c r="D1271" t="s">
        <v>19</v>
      </c>
      <c r="E1271">
        <v>97971</v>
      </c>
      <c r="F1271" t="s">
        <v>14</v>
      </c>
      <c r="G1271" t="s">
        <v>15</v>
      </c>
      <c r="H1271" t="s">
        <v>16</v>
      </c>
      <c r="I1271">
        <v>5</v>
      </c>
      <c r="J1271">
        <v>0</v>
      </c>
      <c r="K1271">
        <v>5</v>
      </c>
    </row>
    <row r="1272" spans="1:11" x14ac:dyDescent="0.25">
      <c r="A1272" t="s">
        <v>1312</v>
      </c>
      <c r="B1272" s="1">
        <v>46134.458425925928</v>
      </c>
      <c r="C1272" s="2" t="s">
        <v>22</v>
      </c>
      <c r="D1272" t="s">
        <v>33</v>
      </c>
      <c r="E1272">
        <v>109155</v>
      </c>
      <c r="F1272" t="s">
        <v>14</v>
      </c>
      <c r="G1272" t="s">
        <v>34</v>
      </c>
      <c r="H1272" t="s">
        <v>16</v>
      </c>
      <c r="I1272">
        <v>0</v>
      </c>
      <c r="J1272">
        <v>0</v>
      </c>
      <c r="K1272">
        <v>0</v>
      </c>
    </row>
    <row r="1273" spans="1:11" x14ac:dyDescent="0.25">
      <c r="A1273" t="s">
        <v>1313</v>
      </c>
      <c r="B1273" s="1">
        <v>45870.191493055558</v>
      </c>
      <c r="C1273" s="2" t="s">
        <v>39</v>
      </c>
      <c r="D1273" t="s">
        <v>13</v>
      </c>
      <c r="E1273">
        <v>210000</v>
      </c>
      <c r="F1273" t="s">
        <v>14</v>
      </c>
      <c r="G1273" t="s">
        <v>84</v>
      </c>
      <c r="H1273" t="s">
        <v>16</v>
      </c>
      <c r="I1273">
        <v>3885</v>
      </c>
      <c r="J1273">
        <v>1554</v>
      </c>
      <c r="K1273">
        <v>2331</v>
      </c>
    </row>
    <row r="1274" spans="1:11" x14ac:dyDescent="0.25">
      <c r="A1274" t="s">
        <v>1314</v>
      </c>
      <c r="B1274" s="1">
        <v>45811.157476851855</v>
      </c>
      <c r="C1274" s="2" t="s">
        <v>39</v>
      </c>
      <c r="D1274" t="s">
        <v>13</v>
      </c>
      <c r="E1274">
        <v>95500</v>
      </c>
      <c r="F1274" t="s">
        <v>14</v>
      </c>
      <c r="G1274" t="s">
        <v>27</v>
      </c>
      <c r="H1274" t="s">
        <v>16</v>
      </c>
      <c r="I1274">
        <v>1766.75</v>
      </c>
      <c r="J1274">
        <v>706.7</v>
      </c>
      <c r="K1274">
        <v>1060.05</v>
      </c>
    </row>
    <row r="1275" spans="1:11" x14ac:dyDescent="0.25">
      <c r="A1275" t="s">
        <v>1315</v>
      </c>
      <c r="B1275" s="1">
        <v>45794.599965277775</v>
      </c>
      <c r="C1275" s="2" t="s">
        <v>12</v>
      </c>
      <c r="D1275" t="s">
        <v>13</v>
      </c>
      <c r="E1275">
        <v>159500</v>
      </c>
      <c r="F1275" t="s">
        <v>14</v>
      </c>
      <c r="G1275" t="s">
        <v>15</v>
      </c>
      <c r="H1275" t="s">
        <v>16</v>
      </c>
      <c r="I1275">
        <v>2950.75</v>
      </c>
      <c r="J1275">
        <v>1180.3</v>
      </c>
      <c r="K1275">
        <v>1770.45</v>
      </c>
    </row>
    <row r="1276" spans="1:11" x14ac:dyDescent="0.25">
      <c r="A1276" t="s">
        <v>1316</v>
      </c>
      <c r="B1276" s="1">
        <v>45995.745474537034</v>
      </c>
      <c r="C1276" s="2" t="s">
        <v>26</v>
      </c>
      <c r="D1276" t="s">
        <v>23</v>
      </c>
      <c r="E1276">
        <v>3002</v>
      </c>
      <c r="F1276" t="s">
        <v>14</v>
      </c>
      <c r="G1276" t="s">
        <v>34</v>
      </c>
      <c r="H1276" t="s">
        <v>16</v>
      </c>
      <c r="I1276">
        <v>0</v>
      </c>
      <c r="J1276">
        <v>0</v>
      </c>
      <c r="K1276">
        <v>0</v>
      </c>
    </row>
    <row r="1277" spans="1:11" x14ac:dyDescent="0.25">
      <c r="A1277" t="s">
        <v>1317</v>
      </c>
      <c r="B1277" s="1">
        <v>45817.003611111111</v>
      </c>
      <c r="C1277" s="2" t="s">
        <v>12</v>
      </c>
      <c r="D1277" t="s">
        <v>13</v>
      </c>
      <c r="E1277">
        <v>67000</v>
      </c>
      <c r="F1277" t="s">
        <v>14</v>
      </c>
      <c r="G1277" t="s">
        <v>24</v>
      </c>
      <c r="H1277" t="s">
        <v>16</v>
      </c>
      <c r="I1277">
        <v>1239.5</v>
      </c>
      <c r="J1277">
        <v>495.8</v>
      </c>
      <c r="K1277">
        <v>743.7</v>
      </c>
    </row>
    <row r="1278" spans="1:11" x14ac:dyDescent="0.25">
      <c r="A1278" t="s">
        <v>1318</v>
      </c>
      <c r="B1278" s="1">
        <v>46079.603564814817</v>
      </c>
      <c r="C1278" s="2" t="s">
        <v>22</v>
      </c>
      <c r="D1278" t="s">
        <v>23</v>
      </c>
      <c r="E1278">
        <v>215</v>
      </c>
      <c r="F1278" t="s">
        <v>14</v>
      </c>
      <c r="G1278" t="s">
        <v>24</v>
      </c>
      <c r="H1278" t="s">
        <v>16</v>
      </c>
      <c r="I1278">
        <v>0</v>
      </c>
      <c r="J1278">
        <v>0</v>
      </c>
      <c r="K1278">
        <v>0</v>
      </c>
    </row>
    <row r="1279" spans="1:11" x14ac:dyDescent="0.25">
      <c r="A1279" t="s">
        <v>1319</v>
      </c>
      <c r="B1279" s="1">
        <v>45878.859270833331</v>
      </c>
      <c r="C1279" s="2" t="s">
        <v>39</v>
      </c>
      <c r="D1279" t="s">
        <v>19</v>
      </c>
      <c r="E1279">
        <v>98819</v>
      </c>
      <c r="F1279" t="s">
        <v>50</v>
      </c>
      <c r="G1279" t="s">
        <v>30</v>
      </c>
      <c r="H1279" t="s">
        <v>16</v>
      </c>
      <c r="I1279">
        <v>5</v>
      </c>
      <c r="J1279">
        <v>0</v>
      </c>
      <c r="K1279">
        <v>5</v>
      </c>
    </row>
    <row r="1280" spans="1:11" x14ac:dyDescent="0.25">
      <c r="A1280" t="s">
        <v>1320</v>
      </c>
      <c r="B1280" s="1">
        <v>45815.396909722222</v>
      </c>
      <c r="C1280" s="2" t="s">
        <v>41</v>
      </c>
      <c r="D1280" t="s">
        <v>33</v>
      </c>
      <c r="E1280">
        <v>67482</v>
      </c>
      <c r="F1280" t="s">
        <v>14</v>
      </c>
      <c r="G1280" t="s">
        <v>84</v>
      </c>
      <c r="H1280" t="s">
        <v>16</v>
      </c>
      <c r="I1280">
        <v>0</v>
      </c>
      <c r="J1280">
        <v>0</v>
      </c>
      <c r="K1280">
        <v>0</v>
      </c>
    </row>
    <row r="1281" spans="1:11" x14ac:dyDescent="0.25">
      <c r="A1281" t="s">
        <v>1321</v>
      </c>
      <c r="B1281" s="1">
        <v>46074.41333333333</v>
      </c>
      <c r="C1281" s="2" t="s">
        <v>22</v>
      </c>
      <c r="D1281" t="s">
        <v>33</v>
      </c>
      <c r="E1281">
        <v>2687</v>
      </c>
      <c r="F1281" t="s">
        <v>14</v>
      </c>
      <c r="G1281" t="s">
        <v>24</v>
      </c>
      <c r="H1281" t="s">
        <v>16</v>
      </c>
      <c r="I1281">
        <v>0</v>
      </c>
      <c r="J1281">
        <v>0</v>
      </c>
      <c r="K1281">
        <v>0</v>
      </c>
    </row>
    <row r="1282" spans="1:11" x14ac:dyDescent="0.25">
      <c r="A1282" t="s">
        <v>1322</v>
      </c>
      <c r="B1282" s="1">
        <v>45835.290729166663</v>
      </c>
      <c r="C1282" s="2" t="s">
        <v>22</v>
      </c>
      <c r="D1282" t="s">
        <v>45</v>
      </c>
      <c r="E1282">
        <v>35777</v>
      </c>
      <c r="F1282" t="s">
        <v>50</v>
      </c>
      <c r="G1282" t="s">
        <v>34</v>
      </c>
      <c r="H1282" t="s">
        <v>71</v>
      </c>
      <c r="I1282">
        <v>357.77</v>
      </c>
      <c r="J1282">
        <v>0</v>
      </c>
      <c r="K1282">
        <v>357.77</v>
      </c>
    </row>
    <row r="1283" spans="1:11" x14ac:dyDescent="0.25">
      <c r="A1283" t="s">
        <v>1323</v>
      </c>
      <c r="B1283" s="1">
        <v>45943.848252314812</v>
      </c>
      <c r="C1283" s="2" t="s">
        <v>29</v>
      </c>
      <c r="D1283" t="s">
        <v>45</v>
      </c>
      <c r="E1283">
        <v>100239</v>
      </c>
      <c r="F1283" t="s">
        <v>14</v>
      </c>
      <c r="G1283" t="s">
        <v>30</v>
      </c>
      <c r="H1283" t="s">
        <v>59</v>
      </c>
      <c r="I1283">
        <v>1002.39</v>
      </c>
      <c r="J1283">
        <v>0</v>
      </c>
      <c r="K1283">
        <v>1002.39</v>
      </c>
    </row>
    <row r="1284" spans="1:11" x14ac:dyDescent="0.25">
      <c r="A1284" t="s">
        <v>1324</v>
      </c>
      <c r="B1284" s="1">
        <v>46076.513796296298</v>
      </c>
      <c r="C1284" s="2" t="s">
        <v>32</v>
      </c>
      <c r="D1284" t="s">
        <v>19</v>
      </c>
      <c r="E1284">
        <v>54707</v>
      </c>
      <c r="F1284" t="s">
        <v>14</v>
      </c>
      <c r="G1284" t="s">
        <v>30</v>
      </c>
      <c r="H1284" t="s">
        <v>16</v>
      </c>
      <c r="I1284">
        <v>5</v>
      </c>
      <c r="J1284">
        <v>0</v>
      </c>
      <c r="K1284">
        <v>5</v>
      </c>
    </row>
    <row r="1285" spans="1:11" x14ac:dyDescent="0.25">
      <c r="A1285" t="s">
        <v>1325</v>
      </c>
      <c r="B1285" s="1">
        <v>46047.241111111114</v>
      </c>
      <c r="C1285" s="2" t="s">
        <v>26</v>
      </c>
      <c r="D1285" t="s">
        <v>13</v>
      </c>
      <c r="E1285">
        <v>227500</v>
      </c>
      <c r="F1285" t="s">
        <v>14</v>
      </c>
      <c r="G1285" t="s">
        <v>15</v>
      </c>
      <c r="H1285" t="s">
        <v>16</v>
      </c>
      <c r="I1285">
        <v>4208.75</v>
      </c>
      <c r="J1285">
        <v>1683.5</v>
      </c>
      <c r="K1285">
        <v>2525.25</v>
      </c>
    </row>
    <row r="1286" spans="1:11" x14ac:dyDescent="0.25">
      <c r="A1286" t="s">
        <v>1326</v>
      </c>
      <c r="B1286" s="1">
        <v>45985.914918981478</v>
      </c>
      <c r="C1286" s="2" t="s">
        <v>26</v>
      </c>
      <c r="D1286" t="s">
        <v>33</v>
      </c>
      <c r="E1286">
        <v>23992</v>
      </c>
      <c r="F1286" t="s">
        <v>14</v>
      </c>
      <c r="G1286" t="s">
        <v>58</v>
      </c>
      <c r="H1286" t="s">
        <v>16</v>
      </c>
      <c r="I1286">
        <v>0</v>
      </c>
      <c r="J1286">
        <v>0</v>
      </c>
      <c r="K1286">
        <v>0</v>
      </c>
    </row>
    <row r="1287" spans="1:11" x14ac:dyDescent="0.25">
      <c r="A1287" t="s">
        <v>1327</v>
      </c>
      <c r="B1287" s="1">
        <v>45848.456458333334</v>
      </c>
      <c r="C1287" s="2" t="s">
        <v>39</v>
      </c>
      <c r="D1287" t="s">
        <v>23</v>
      </c>
      <c r="E1287">
        <v>139</v>
      </c>
      <c r="F1287" t="s">
        <v>50</v>
      </c>
      <c r="G1287" t="s">
        <v>34</v>
      </c>
      <c r="H1287" t="s">
        <v>16</v>
      </c>
      <c r="I1287">
        <v>0</v>
      </c>
      <c r="J1287">
        <v>0</v>
      </c>
      <c r="K1287">
        <v>0</v>
      </c>
    </row>
    <row r="1288" spans="1:11" x14ac:dyDescent="0.25">
      <c r="A1288" t="s">
        <v>1328</v>
      </c>
      <c r="B1288" s="1">
        <v>45972.855046296296</v>
      </c>
      <c r="C1288" s="2" t="s">
        <v>18</v>
      </c>
      <c r="D1288" t="s">
        <v>45</v>
      </c>
      <c r="E1288">
        <v>70996</v>
      </c>
      <c r="F1288" t="s">
        <v>14</v>
      </c>
      <c r="G1288" t="s">
        <v>84</v>
      </c>
      <c r="H1288" t="s">
        <v>46</v>
      </c>
      <c r="I1288">
        <v>709.96</v>
      </c>
      <c r="J1288">
        <v>0</v>
      </c>
      <c r="K1288">
        <v>709.96</v>
      </c>
    </row>
    <row r="1289" spans="1:11" x14ac:dyDescent="0.25">
      <c r="A1289" t="s">
        <v>1329</v>
      </c>
      <c r="B1289" s="1">
        <v>45848.188807870371</v>
      </c>
      <c r="C1289" s="2" t="s">
        <v>18</v>
      </c>
      <c r="D1289" t="s">
        <v>33</v>
      </c>
      <c r="E1289">
        <v>37646</v>
      </c>
      <c r="F1289" t="s">
        <v>14</v>
      </c>
      <c r="G1289" t="s">
        <v>34</v>
      </c>
      <c r="H1289" t="s">
        <v>16</v>
      </c>
      <c r="I1289">
        <v>0</v>
      </c>
      <c r="J1289">
        <v>0</v>
      </c>
      <c r="K1289">
        <v>0</v>
      </c>
    </row>
    <row r="1290" spans="1:11" x14ac:dyDescent="0.25">
      <c r="A1290" t="s">
        <v>1330</v>
      </c>
      <c r="B1290" s="1">
        <v>45868.949097222219</v>
      </c>
      <c r="C1290" s="2" t="s">
        <v>22</v>
      </c>
      <c r="D1290" t="s">
        <v>13</v>
      </c>
      <c r="E1290">
        <v>141500</v>
      </c>
      <c r="F1290" t="s">
        <v>14</v>
      </c>
      <c r="G1290" t="s">
        <v>58</v>
      </c>
      <c r="H1290" t="s">
        <v>16</v>
      </c>
      <c r="I1290">
        <v>2617.75</v>
      </c>
      <c r="J1290">
        <v>1047.0999999999999</v>
      </c>
      <c r="K1290">
        <v>1570.65</v>
      </c>
    </row>
    <row r="1291" spans="1:11" x14ac:dyDescent="0.25">
      <c r="A1291" t="s">
        <v>1331</v>
      </c>
      <c r="B1291" s="1">
        <v>45873.591273148151</v>
      </c>
      <c r="C1291" s="2" t="s">
        <v>22</v>
      </c>
      <c r="D1291" t="s">
        <v>19</v>
      </c>
      <c r="E1291">
        <v>20204</v>
      </c>
      <c r="F1291" t="s">
        <v>14</v>
      </c>
      <c r="G1291" t="s">
        <v>34</v>
      </c>
      <c r="H1291" t="s">
        <v>16</v>
      </c>
      <c r="I1291">
        <v>5</v>
      </c>
      <c r="J1291">
        <v>0</v>
      </c>
      <c r="K1291">
        <v>5</v>
      </c>
    </row>
    <row r="1292" spans="1:11" x14ac:dyDescent="0.25">
      <c r="A1292" t="s">
        <v>1332</v>
      </c>
      <c r="B1292" s="1">
        <v>46124.37159722222</v>
      </c>
      <c r="C1292" s="2" t="s">
        <v>26</v>
      </c>
      <c r="D1292" t="s">
        <v>45</v>
      </c>
      <c r="E1292">
        <v>69884</v>
      </c>
      <c r="F1292" t="s">
        <v>14</v>
      </c>
      <c r="G1292" t="s">
        <v>24</v>
      </c>
      <c r="H1292" t="s">
        <v>59</v>
      </c>
      <c r="I1292">
        <v>698.84</v>
      </c>
      <c r="J1292">
        <v>0</v>
      </c>
      <c r="K1292">
        <v>698.84</v>
      </c>
    </row>
    <row r="1293" spans="1:11" x14ac:dyDescent="0.25">
      <c r="A1293" t="s">
        <v>1333</v>
      </c>
      <c r="B1293" s="1">
        <v>46001.941689814812</v>
      </c>
      <c r="C1293" s="2" t="s">
        <v>22</v>
      </c>
      <c r="D1293" t="s">
        <v>45</v>
      </c>
      <c r="E1293">
        <v>42666</v>
      </c>
      <c r="F1293" t="s">
        <v>99</v>
      </c>
      <c r="G1293" t="s">
        <v>30</v>
      </c>
      <c r="H1293" t="s">
        <v>56</v>
      </c>
      <c r="I1293">
        <v>426.66</v>
      </c>
      <c r="J1293">
        <v>0</v>
      </c>
      <c r="K1293">
        <v>426.66</v>
      </c>
    </row>
    <row r="1294" spans="1:11" x14ac:dyDescent="0.25">
      <c r="A1294" t="s">
        <v>1334</v>
      </c>
      <c r="B1294" s="1">
        <v>45826.765324074076</v>
      </c>
      <c r="C1294" s="2" t="s">
        <v>41</v>
      </c>
      <c r="D1294" t="s">
        <v>13</v>
      </c>
      <c r="E1294">
        <v>30000</v>
      </c>
      <c r="F1294" t="s">
        <v>14</v>
      </c>
      <c r="G1294" t="s">
        <v>20</v>
      </c>
      <c r="H1294" t="s">
        <v>16</v>
      </c>
      <c r="I1294">
        <v>555</v>
      </c>
      <c r="J1294">
        <v>222</v>
      </c>
      <c r="K1294">
        <v>333</v>
      </c>
    </row>
    <row r="1295" spans="1:11" x14ac:dyDescent="0.25">
      <c r="A1295" t="s">
        <v>1335</v>
      </c>
      <c r="B1295" s="1">
        <v>45950.383090277777</v>
      </c>
      <c r="C1295" s="2" t="s">
        <v>39</v>
      </c>
      <c r="D1295" t="s">
        <v>19</v>
      </c>
      <c r="E1295">
        <v>14080</v>
      </c>
      <c r="F1295" t="s">
        <v>14</v>
      </c>
      <c r="G1295" t="s">
        <v>30</v>
      </c>
      <c r="H1295" t="s">
        <v>16</v>
      </c>
      <c r="I1295">
        <v>5</v>
      </c>
      <c r="J1295">
        <v>0</v>
      </c>
      <c r="K1295">
        <v>5</v>
      </c>
    </row>
    <row r="1296" spans="1:11" x14ac:dyDescent="0.25">
      <c r="A1296" t="s">
        <v>1336</v>
      </c>
      <c r="B1296" s="1">
        <v>46039.676180555558</v>
      </c>
      <c r="C1296" s="2" t="s">
        <v>29</v>
      </c>
      <c r="D1296" t="s">
        <v>13</v>
      </c>
      <c r="E1296">
        <v>85500</v>
      </c>
      <c r="F1296" t="s">
        <v>14</v>
      </c>
      <c r="G1296" t="s">
        <v>58</v>
      </c>
      <c r="H1296" t="s">
        <v>16</v>
      </c>
      <c r="I1296">
        <v>1581.75</v>
      </c>
      <c r="J1296">
        <v>632.70000000000005</v>
      </c>
      <c r="K1296">
        <v>949.05</v>
      </c>
    </row>
    <row r="1297" spans="1:11" x14ac:dyDescent="0.25">
      <c r="A1297" t="s">
        <v>1337</v>
      </c>
      <c r="B1297" s="1">
        <v>46129.613819444443</v>
      </c>
      <c r="C1297" s="2" t="s">
        <v>41</v>
      </c>
      <c r="D1297" t="s">
        <v>45</v>
      </c>
      <c r="E1297">
        <v>67937</v>
      </c>
      <c r="F1297" t="s">
        <v>14</v>
      </c>
      <c r="G1297" t="s">
        <v>34</v>
      </c>
      <c r="H1297" t="s">
        <v>59</v>
      </c>
      <c r="I1297">
        <v>679.37</v>
      </c>
      <c r="J1297">
        <v>0</v>
      </c>
      <c r="K1297">
        <v>679.37</v>
      </c>
    </row>
    <row r="1298" spans="1:11" x14ac:dyDescent="0.25">
      <c r="A1298" t="s">
        <v>1338</v>
      </c>
      <c r="B1298" s="1">
        <v>46046.278333333335</v>
      </c>
      <c r="C1298" s="2" t="s">
        <v>32</v>
      </c>
      <c r="D1298" t="s">
        <v>19</v>
      </c>
      <c r="E1298">
        <v>64865</v>
      </c>
      <c r="F1298" t="s">
        <v>14</v>
      </c>
      <c r="G1298" t="s">
        <v>15</v>
      </c>
      <c r="H1298" t="s">
        <v>16</v>
      </c>
      <c r="I1298">
        <v>5</v>
      </c>
      <c r="J1298">
        <v>0</v>
      </c>
      <c r="K1298">
        <v>5</v>
      </c>
    </row>
    <row r="1299" spans="1:11" x14ac:dyDescent="0.25">
      <c r="A1299" t="s">
        <v>1339</v>
      </c>
      <c r="B1299" s="1">
        <v>45855.275277777779</v>
      </c>
      <c r="C1299" s="2" t="s">
        <v>12</v>
      </c>
      <c r="D1299" t="s">
        <v>23</v>
      </c>
      <c r="E1299">
        <v>260</v>
      </c>
      <c r="F1299" t="s">
        <v>14</v>
      </c>
      <c r="G1299" t="s">
        <v>51</v>
      </c>
      <c r="H1299" t="s">
        <v>16</v>
      </c>
      <c r="I1299">
        <v>0</v>
      </c>
      <c r="J1299">
        <v>0</v>
      </c>
      <c r="K1299">
        <v>0</v>
      </c>
    </row>
    <row r="1300" spans="1:11" x14ac:dyDescent="0.25">
      <c r="A1300" t="s">
        <v>1340</v>
      </c>
      <c r="B1300" s="1">
        <v>45991.097118055557</v>
      </c>
      <c r="C1300" s="2" t="s">
        <v>39</v>
      </c>
      <c r="D1300" t="s">
        <v>23</v>
      </c>
      <c r="E1300">
        <v>108</v>
      </c>
      <c r="F1300" t="s">
        <v>14</v>
      </c>
      <c r="G1300" t="s">
        <v>34</v>
      </c>
      <c r="H1300" t="s">
        <v>16</v>
      </c>
      <c r="I1300">
        <v>0</v>
      </c>
      <c r="J1300">
        <v>0</v>
      </c>
      <c r="K1300">
        <v>0</v>
      </c>
    </row>
    <row r="1301" spans="1:11" x14ac:dyDescent="0.25">
      <c r="A1301" t="s">
        <v>1341</v>
      </c>
      <c r="B1301" s="1">
        <v>46137.501666666663</v>
      </c>
      <c r="C1301" s="2" t="s">
        <v>32</v>
      </c>
      <c r="D1301" t="s">
        <v>19</v>
      </c>
      <c r="E1301">
        <v>88764</v>
      </c>
      <c r="F1301" t="s">
        <v>14</v>
      </c>
      <c r="G1301" t="s">
        <v>20</v>
      </c>
      <c r="H1301" t="s">
        <v>16</v>
      </c>
      <c r="I1301">
        <v>5</v>
      </c>
      <c r="J1301">
        <v>0</v>
      </c>
      <c r="K1301">
        <v>5</v>
      </c>
    </row>
    <row r="1302" spans="1:11" x14ac:dyDescent="0.25">
      <c r="A1302" t="s">
        <v>1342</v>
      </c>
      <c r="B1302" s="1">
        <v>45920.889224537037</v>
      </c>
      <c r="C1302" s="2" t="s">
        <v>41</v>
      </c>
      <c r="D1302" t="s">
        <v>33</v>
      </c>
      <c r="E1302">
        <v>138691</v>
      </c>
      <c r="F1302" t="s">
        <v>14</v>
      </c>
      <c r="G1302" t="s">
        <v>84</v>
      </c>
      <c r="H1302" t="s">
        <v>16</v>
      </c>
      <c r="I1302">
        <v>0</v>
      </c>
      <c r="J1302">
        <v>0</v>
      </c>
      <c r="K1302">
        <v>0</v>
      </c>
    </row>
    <row r="1303" spans="1:11" x14ac:dyDescent="0.25">
      <c r="A1303" t="s">
        <v>1343</v>
      </c>
      <c r="B1303" s="1">
        <v>46072.607094907406</v>
      </c>
      <c r="C1303" s="2" t="s">
        <v>32</v>
      </c>
      <c r="D1303" t="s">
        <v>45</v>
      </c>
      <c r="E1303">
        <v>12510</v>
      </c>
      <c r="F1303" t="s">
        <v>99</v>
      </c>
      <c r="G1303" t="s">
        <v>15</v>
      </c>
      <c r="H1303" t="s">
        <v>56</v>
      </c>
      <c r="I1303">
        <v>125.1</v>
      </c>
      <c r="J1303">
        <v>0</v>
      </c>
      <c r="K1303">
        <v>125.1</v>
      </c>
    </row>
    <row r="1304" spans="1:11" x14ac:dyDescent="0.25">
      <c r="A1304" t="s">
        <v>1344</v>
      </c>
      <c r="B1304" s="1">
        <v>45977.579247685186</v>
      </c>
      <c r="C1304" s="2" t="s">
        <v>18</v>
      </c>
      <c r="D1304" t="s">
        <v>13</v>
      </c>
      <c r="E1304">
        <v>185000</v>
      </c>
      <c r="F1304" t="s">
        <v>14</v>
      </c>
      <c r="G1304" t="s">
        <v>15</v>
      </c>
      <c r="H1304" t="s">
        <v>16</v>
      </c>
      <c r="I1304">
        <v>3422.5</v>
      </c>
      <c r="J1304">
        <v>1369</v>
      </c>
      <c r="K1304">
        <v>2053.5</v>
      </c>
    </row>
    <row r="1305" spans="1:11" x14ac:dyDescent="0.25">
      <c r="A1305" t="s">
        <v>1345</v>
      </c>
      <c r="B1305" s="1">
        <v>45801.524675925924</v>
      </c>
      <c r="C1305" s="2" t="s">
        <v>18</v>
      </c>
      <c r="D1305" t="s">
        <v>19</v>
      </c>
      <c r="E1305">
        <v>96385</v>
      </c>
      <c r="F1305" t="s">
        <v>14</v>
      </c>
      <c r="G1305" t="s">
        <v>34</v>
      </c>
      <c r="H1305" t="s">
        <v>16</v>
      </c>
      <c r="I1305">
        <v>5</v>
      </c>
      <c r="J1305">
        <v>0</v>
      </c>
      <c r="K1305">
        <v>5</v>
      </c>
    </row>
    <row r="1306" spans="1:11" x14ac:dyDescent="0.25">
      <c r="A1306" t="s">
        <v>1346</v>
      </c>
      <c r="B1306" s="1">
        <v>45787.73028935185</v>
      </c>
      <c r="C1306" s="2" t="s">
        <v>32</v>
      </c>
      <c r="D1306" t="s">
        <v>13</v>
      </c>
      <c r="E1306">
        <v>169000</v>
      </c>
      <c r="F1306" t="s">
        <v>14</v>
      </c>
      <c r="G1306" t="s">
        <v>34</v>
      </c>
      <c r="H1306" t="s">
        <v>16</v>
      </c>
      <c r="I1306">
        <v>3126.5</v>
      </c>
      <c r="J1306">
        <v>1250.5999999999999</v>
      </c>
      <c r="K1306">
        <v>1875.9</v>
      </c>
    </row>
    <row r="1307" spans="1:11" x14ac:dyDescent="0.25">
      <c r="A1307" t="s">
        <v>1347</v>
      </c>
      <c r="B1307" s="1">
        <v>45990.36645833333</v>
      </c>
      <c r="C1307" s="2" t="s">
        <v>22</v>
      </c>
      <c r="D1307" t="s">
        <v>33</v>
      </c>
      <c r="E1307">
        <v>32601</v>
      </c>
      <c r="F1307" t="s">
        <v>14</v>
      </c>
      <c r="G1307" t="s">
        <v>24</v>
      </c>
      <c r="H1307" t="s">
        <v>16</v>
      </c>
      <c r="I1307">
        <v>0</v>
      </c>
      <c r="J1307">
        <v>0</v>
      </c>
      <c r="K1307">
        <v>0</v>
      </c>
    </row>
    <row r="1308" spans="1:11" x14ac:dyDescent="0.25">
      <c r="A1308" t="s">
        <v>1348</v>
      </c>
      <c r="B1308" s="1">
        <v>46041.472118055557</v>
      </c>
      <c r="C1308" s="2" t="s">
        <v>41</v>
      </c>
      <c r="D1308" t="s">
        <v>13</v>
      </c>
      <c r="E1308">
        <v>242000</v>
      </c>
      <c r="F1308" t="s">
        <v>14</v>
      </c>
      <c r="G1308" t="s">
        <v>20</v>
      </c>
      <c r="H1308" t="s">
        <v>16</v>
      </c>
      <c r="I1308">
        <v>4477</v>
      </c>
      <c r="J1308">
        <v>1790.8</v>
      </c>
      <c r="K1308">
        <v>2686.2</v>
      </c>
    </row>
    <row r="1309" spans="1:11" x14ac:dyDescent="0.25">
      <c r="A1309" t="s">
        <v>1349</v>
      </c>
      <c r="B1309" s="1">
        <v>46090.721921296295</v>
      </c>
      <c r="C1309" s="2" t="s">
        <v>18</v>
      </c>
      <c r="D1309" t="s">
        <v>45</v>
      </c>
      <c r="E1309">
        <v>69851</v>
      </c>
      <c r="F1309" t="s">
        <v>50</v>
      </c>
      <c r="G1309" t="s">
        <v>34</v>
      </c>
      <c r="H1309" t="s">
        <v>178</v>
      </c>
      <c r="I1309">
        <v>698.51</v>
      </c>
      <c r="J1309">
        <v>0</v>
      </c>
      <c r="K1309">
        <v>698.51</v>
      </c>
    </row>
    <row r="1310" spans="1:11" x14ac:dyDescent="0.25">
      <c r="A1310" t="s">
        <v>1350</v>
      </c>
      <c r="B1310" s="1">
        <v>46000.175335648149</v>
      </c>
      <c r="C1310" s="2" t="s">
        <v>26</v>
      </c>
      <c r="D1310" t="s">
        <v>45</v>
      </c>
      <c r="E1310">
        <v>126336</v>
      </c>
      <c r="F1310" t="s">
        <v>14</v>
      </c>
      <c r="G1310" t="s">
        <v>30</v>
      </c>
      <c r="H1310" t="s">
        <v>46</v>
      </c>
      <c r="I1310">
        <v>1263.3599999999999</v>
      </c>
      <c r="J1310">
        <v>0</v>
      </c>
      <c r="K1310">
        <v>1263.3599999999999</v>
      </c>
    </row>
    <row r="1311" spans="1:11" x14ac:dyDescent="0.25">
      <c r="A1311" t="s">
        <v>1351</v>
      </c>
      <c r="B1311" s="1">
        <v>45842.62636574074</v>
      </c>
      <c r="C1311" s="2" t="s">
        <v>12</v>
      </c>
      <c r="D1311" t="s">
        <v>13</v>
      </c>
      <c r="E1311">
        <v>236500</v>
      </c>
      <c r="F1311" t="s">
        <v>14</v>
      </c>
      <c r="G1311" t="s">
        <v>15</v>
      </c>
      <c r="H1311" t="s">
        <v>16</v>
      </c>
      <c r="I1311">
        <v>4375.25</v>
      </c>
      <c r="J1311">
        <v>1750.1</v>
      </c>
      <c r="K1311">
        <v>2625.15</v>
      </c>
    </row>
    <row r="1312" spans="1:11" x14ac:dyDescent="0.25">
      <c r="A1312" t="s">
        <v>1352</v>
      </c>
      <c r="B1312" s="1">
        <v>45941.297719907408</v>
      </c>
      <c r="C1312" s="2" t="s">
        <v>29</v>
      </c>
      <c r="D1312" t="s">
        <v>23</v>
      </c>
      <c r="E1312">
        <v>1051</v>
      </c>
      <c r="F1312" t="s">
        <v>14</v>
      </c>
      <c r="G1312" t="s">
        <v>30</v>
      </c>
      <c r="H1312" t="s">
        <v>16</v>
      </c>
      <c r="I1312">
        <v>0</v>
      </c>
      <c r="J1312">
        <v>0</v>
      </c>
      <c r="K1312">
        <v>0</v>
      </c>
    </row>
    <row r="1313" spans="1:11" x14ac:dyDescent="0.25">
      <c r="A1313" t="s">
        <v>1353</v>
      </c>
      <c r="B1313" s="1">
        <v>45859.628240740742</v>
      </c>
      <c r="C1313" s="2" t="s">
        <v>18</v>
      </c>
      <c r="D1313" t="s">
        <v>23</v>
      </c>
      <c r="E1313">
        <v>1929</v>
      </c>
      <c r="F1313" t="s">
        <v>14</v>
      </c>
      <c r="G1313" t="s">
        <v>24</v>
      </c>
      <c r="H1313" t="s">
        <v>16</v>
      </c>
      <c r="I1313">
        <v>0</v>
      </c>
      <c r="J1313">
        <v>0</v>
      </c>
      <c r="K1313">
        <v>0</v>
      </c>
    </row>
    <row r="1314" spans="1:11" x14ac:dyDescent="0.25">
      <c r="A1314" t="s">
        <v>1354</v>
      </c>
      <c r="B1314" s="1">
        <v>45877.137523148151</v>
      </c>
      <c r="C1314" s="2" t="s">
        <v>12</v>
      </c>
      <c r="D1314" t="s">
        <v>45</v>
      </c>
      <c r="E1314">
        <v>85474</v>
      </c>
      <c r="F1314" t="s">
        <v>14</v>
      </c>
      <c r="G1314" t="s">
        <v>15</v>
      </c>
      <c r="H1314" t="s">
        <v>59</v>
      </c>
      <c r="I1314">
        <v>854.74</v>
      </c>
      <c r="J1314">
        <v>0</v>
      </c>
      <c r="K1314">
        <v>854.74</v>
      </c>
    </row>
    <row r="1315" spans="1:11" x14ac:dyDescent="0.25">
      <c r="A1315" t="s">
        <v>1355</v>
      </c>
      <c r="B1315" s="1">
        <v>46132.96837962963</v>
      </c>
      <c r="C1315" s="2" t="s">
        <v>41</v>
      </c>
      <c r="D1315" t="s">
        <v>13</v>
      </c>
      <c r="E1315">
        <v>211000</v>
      </c>
      <c r="F1315" t="s">
        <v>14</v>
      </c>
      <c r="G1315" t="s">
        <v>34</v>
      </c>
      <c r="H1315" t="s">
        <v>16</v>
      </c>
      <c r="I1315">
        <v>3903.5</v>
      </c>
      <c r="J1315">
        <v>1561.4</v>
      </c>
      <c r="K1315">
        <v>2342.1</v>
      </c>
    </row>
    <row r="1316" spans="1:11" x14ac:dyDescent="0.25">
      <c r="A1316" t="s">
        <v>1356</v>
      </c>
      <c r="B1316" s="1">
        <v>45954.106249999997</v>
      </c>
      <c r="C1316" s="2" t="s">
        <v>26</v>
      </c>
      <c r="D1316" t="s">
        <v>13</v>
      </c>
      <c r="E1316">
        <v>37500</v>
      </c>
      <c r="F1316" t="s">
        <v>14</v>
      </c>
      <c r="G1316" t="s">
        <v>34</v>
      </c>
      <c r="H1316" t="s">
        <v>16</v>
      </c>
      <c r="I1316">
        <v>693.75</v>
      </c>
      <c r="J1316">
        <v>277.5</v>
      </c>
      <c r="K1316">
        <v>416.25</v>
      </c>
    </row>
    <row r="1317" spans="1:11" x14ac:dyDescent="0.25">
      <c r="A1317" t="s">
        <v>1357</v>
      </c>
      <c r="B1317" s="1">
        <v>45805.175046296295</v>
      </c>
      <c r="C1317" s="2" t="s">
        <v>32</v>
      </c>
      <c r="D1317" t="s">
        <v>13</v>
      </c>
      <c r="E1317">
        <v>208000</v>
      </c>
      <c r="F1317" t="s">
        <v>14</v>
      </c>
      <c r="G1317" t="s">
        <v>51</v>
      </c>
      <c r="H1317" t="s">
        <v>16</v>
      </c>
      <c r="I1317">
        <v>3848</v>
      </c>
      <c r="J1317">
        <v>1539.2</v>
      </c>
      <c r="K1317">
        <v>2308.8000000000002</v>
      </c>
    </row>
    <row r="1318" spans="1:11" x14ac:dyDescent="0.25">
      <c r="A1318" t="s">
        <v>1358</v>
      </c>
      <c r="B1318" s="1">
        <v>46074.554340277777</v>
      </c>
      <c r="C1318" s="2" t="s">
        <v>18</v>
      </c>
      <c r="D1318" t="s">
        <v>23</v>
      </c>
      <c r="E1318">
        <v>2556</v>
      </c>
      <c r="F1318" t="s">
        <v>50</v>
      </c>
      <c r="G1318" t="s">
        <v>27</v>
      </c>
      <c r="H1318" t="s">
        <v>16</v>
      </c>
      <c r="I1318">
        <v>0</v>
      </c>
      <c r="J1318">
        <v>0</v>
      </c>
      <c r="K1318">
        <v>0</v>
      </c>
    </row>
    <row r="1319" spans="1:11" x14ac:dyDescent="0.25">
      <c r="A1319" t="s">
        <v>1359</v>
      </c>
      <c r="B1319" s="1">
        <v>46128.059745370374</v>
      </c>
      <c r="C1319" s="2" t="s">
        <v>29</v>
      </c>
      <c r="D1319" t="s">
        <v>19</v>
      </c>
      <c r="E1319">
        <v>100095</v>
      </c>
      <c r="F1319" t="s">
        <v>99</v>
      </c>
      <c r="G1319" t="s">
        <v>58</v>
      </c>
      <c r="H1319" t="s">
        <v>16</v>
      </c>
      <c r="I1319">
        <v>5</v>
      </c>
      <c r="J1319">
        <v>0</v>
      </c>
      <c r="K1319">
        <v>5</v>
      </c>
    </row>
    <row r="1320" spans="1:11" x14ac:dyDescent="0.25">
      <c r="A1320" t="s">
        <v>1360</v>
      </c>
      <c r="B1320" s="1">
        <v>46085.475069444445</v>
      </c>
      <c r="C1320" s="2" t="s">
        <v>26</v>
      </c>
      <c r="D1320" t="s">
        <v>13</v>
      </c>
      <c r="E1320">
        <v>189000</v>
      </c>
      <c r="F1320" t="s">
        <v>14</v>
      </c>
      <c r="G1320" t="s">
        <v>34</v>
      </c>
      <c r="H1320" t="s">
        <v>16</v>
      </c>
      <c r="I1320">
        <v>3496.5</v>
      </c>
      <c r="J1320">
        <v>1398.6</v>
      </c>
      <c r="K1320">
        <v>2097.9</v>
      </c>
    </row>
    <row r="1321" spans="1:11" x14ac:dyDescent="0.25">
      <c r="A1321" t="s">
        <v>1361</v>
      </c>
      <c r="B1321" s="1">
        <v>46050.741400462961</v>
      </c>
      <c r="C1321" s="2" t="s">
        <v>32</v>
      </c>
      <c r="D1321" t="s">
        <v>19</v>
      </c>
      <c r="E1321">
        <v>50362</v>
      </c>
      <c r="F1321" t="s">
        <v>14</v>
      </c>
      <c r="G1321" t="s">
        <v>34</v>
      </c>
      <c r="H1321" t="s">
        <v>16</v>
      </c>
      <c r="I1321">
        <v>5</v>
      </c>
      <c r="J1321">
        <v>0</v>
      </c>
      <c r="K1321">
        <v>5</v>
      </c>
    </row>
    <row r="1322" spans="1:11" x14ac:dyDescent="0.25">
      <c r="A1322" t="s">
        <v>1362</v>
      </c>
      <c r="B1322" s="1">
        <v>45799.578692129631</v>
      </c>
      <c r="C1322" s="2" t="s">
        <v>39</v>
      </c>
      <c r="D1322" t="s">
        <v>19</v>
      </c>
      <c r="E1322">
        <v>117383</v>
      </c>
      <c r="F1322" t="s">
        <v>14</v>
      </c>
      <c r="G1322" t="s">
        <v>24</v>
      </c>
      <c r="H1322" t="s">
        <v>16</v>
      </c>
      <c r="I1322">
        <v>5</v>
      </c>
      <c r="J1322">
        <v>0</v>
      </c>
      <c r="K1322">
        <v>5</v>
      </c>
    </row>
    <row r="1323" spans="1:11" x14ac:dyDescent="0.25">
      <c r="A1323" t="s">
        <v>1363</v>
      </c>
      <c r="B1323" s="1">
        <v>46049.16064814815</v>
      </c>
      <c r="C1323" s="2" t="s">
        <v>32</v>
      </c>
      <c r="D1323" t="s">
        <v>19</v>
      </c>
      <c r="E1323">
        <v>89633</v>
      </c>
      <c r="F1323" t="s">
        <v>14</v>
      </c>
      <c r="G1323" t="s">
        <v>20</v>
      </c>
      <c r="H1323" t="s">
        <v>16</v>
      </c>
      <c r="I1323">
        <v>5</v>
      </c>
      <c r="J1323">
        <v>0</v>
      </c>
      <c r="K1323">
        <v>5</v>
      </c>
    </row>
    <row r="1324" spans="1:11" x14ac:dyDescent="0.25">
      <c r="A1324" t="s">
        <v>1364</v>
      </c>
      <c r="B1324" s="1">
        <v>46057.458761574075</v>
      </c>
      <c r="C1324" s="2" t="s">
        <v>29</v>
      </c>
      <c r="D1324" t="s">
        <v>45</v>
      </c>
      <c r="E1324">
        <v>67418</v>
      </c>
      <c r="F1324" t="s">
        <v>99</v>
      </c>
      <c r="G1324" t="s">
        <v>34</v>
      </c>
      <c r="H1324" t="s">
        <v>56</v>
      </c>
      <c r="I1324">
        <v>674.18</v>
      </c>
      <c r="J1324">
        <v>0</v>
      </c>
      <c r="K1324">
        <v>674.18</v>
      </c>
    </row>
    <row r="1325" spans="1:11" x14ac:dyDescent="0.25">
      <c r="A1325" t="s">
        <v>1365</v>
      </c>
      <c r="B1325" s="1">
        <v>45871.895729166667</v>
      </c>
      <c r="C1325" s="2" t="s">
        <v>18</v>
      </c>
      <c r="D1325" t="s">
        <v>13</v>
      </c>
      <c r="E1325">
        <v>123000</v>
      </c>
      <c r="F1325" t="s">
        <v>14</v>
      </c>
      <c r="G1325" t="s">
        <v>15</v>
      </c>
      <c r="H1325" t="s">
        <v>16</v>
      </c>
      <c r="I1325">
        <v>2275.5</v>
      </c>
      <c r="J1325">
        <v>910.2</v>
      </c>
      <c r="K1325">
        <v>1365.3</v>
      </c>
    </row>
    <row r="1326" spans="1:11" x14ac:dyDescent="0.25">
      <c r="A1326" t="s">
        <v>1366</v>
      </c>
      <c r="B1326" s="1">
        <v>45839.185925925929</v>
      </c>
      <c r="C1326" s="2" t="s">
        <v>41</v>
      </c>
      <c r="D1326" t="s">
        <v>19</v>
      </c>
      <c r="E1326">
        <v>47102</v>
      </c>
      <c r="F1326" t="s">
        <v>14</v>
      </c>
      <c r="G1326" t="s">
        <v>34</v>
      </c>
      <c r="H1326" t="s">
        <v>16</v>
      </c>
      <c r="I1326">
        <v>5</v>
      </c>
      <c r="J1326">
        <v>0</v>
      </c>
      <c r="K1326">
        <v>5</v>
      </c>
    </row>
    <row r="1327" spans="1:11" x14ac:dyDescent="0.25">
      <c r="A1327" t="s">
        <v>1367</v>
      </c>
      <c r="B1327" s="1">
        <v>45922.395578703705</v>
      </c>
      <c r="C1327" s="2" t="s">
        <v>32</v>
      </c>
      <c r="D1327" t="s">
        <v>19</v>
      </c>
      <c r="E1327">
        <v>18200</v>
      </c>
      <c r="F1327" t="s">
        <v>50</v>
      </c>
      <c r="G1327" t="s">
        <v>20</v>
      </c>
      <c r="H1327" t="s">
        <v>16</v>
      </c>
      <c r="I1327">
        <v>5</v>
      </c>
      <c r="J1327">
        <v>0</v>
      </c>
      <c r="K1327">
        <v>5</v>
      </c>
    </row>
    <row r="1328" spans="1:11" x14ac:dyDescent="0.25">
      <c r="A1328" t="s">
        <v>1368</v>
      </c>
      <c r="B1328" s="1">
        <v>46042.837291666663</v>
      </c>
      <c r="C1328" s="2" t="s">
        <v>41</v>
      </c>
      <c r="D1328" t="s">
        <v>33</v>
      </c>
      <c r="E1328">
        <v>88666</v>
      </c>
      <c r="F1328" t="s">
        <v>14</v>
      </c>
      <c r="G1328" t="s">
        <v>34</v>
      </c>
      <c r="H1328" t="s">
        <v>16</v>
      </c>
      <c r="I1328">
        <v>0</v>
      </c>
      <c r="J1328">
        <v>0</v>
      </c>
      <c r="K1328">
        <v>0</v>
      </c>
    </row>
    <row r="1329" spans="1:11" x14ac:dyDescent="0.25">
      <c r="A1329" t="s">
        <v>1369</v>
      </c>
      <c r="B1329" s="1">
        <v>46087.443923611114</v>
      </c>
      <c r="C1329" s="2" t="s">
        <v>39</v>
      </c>
      <c r="D1329" t="s">
        <v>19</v>
      </c>
      <c r="E1329">
        <v>7741</v>
      </c>
      <c r="F1329" t="s">
        <v>14</v>
      </c>
      <c r="G1329" t="s">
        <v>58</v>
      </c>
      <c r="H1329" t="s">
        <v>16</v>
      </c>
      <c r="I1329">
        <v>5</v>
      </c>
      <c r="J1329">
        <v>0</v>
      </c>
      <c r="K1329">
        <v>5</v>
      </c>
    </row>
    <row r="1330" spans="1:11" x14ac:dyDescent="0.25">
      <c r="A1330" t="s">
        <v>1370</v>
      </c>
      <c r="B1330" s="1">
        <v>45871.844050925924</v>
      </c>
      <c r="C1330" s="2" t="s">
        <v>29</v>
      </c>
      <c r="D1330" t="s">
        <v>33</v>
      </c>
      <c r="E1330">
        <v>65749</v>
      </c>
      <c r="F1330" t="s">
        <v>14</v>
      </c>
      <c r="G1330" t="s">
        <v>34</v>
      </c>
      <c r="H1330" t="s">
        <v>16</v>
      </c>
      <c r="I1330">
        <v>0</v>
      </c>
      <c r="J1330">
        <v>0</v>
      </c>
      <c r="K1330">
        <v>0</v>
      </c>
    </row>
    <row r="1331" spans="1:11" x14ac:dyDescent="0.25">
      <c r="A1331" t="s">
        <v>1371</v>
      </c>
      <c r="B1331" s="1">
        <v>45956.305972222224</v>
      </c>
      <c r="C1331" s="2" t="s">
        <v>12</v>
      </c>
      <c r="D1331" t="s">
        <v>23</v>
      </c>
      <c r="E1331">
        <v>2325</v>
      </c>
      <c r="F1331" t="s">
        <v>99</v>
      </c>
      <c r="G1331" t="s">
        <v>34</v>
      </c>
      <c r="H1331" t="s">
        <v>16</v>
      </c>
      <c r="I1331">
        <v>0</v>
      </c>
      <c r="J1331">
        <v>0</v>
      </c>
      <c r="K1331">
        <v>0</v>
      </c>
    </row>
    <row r="1332" spans="1:11" x14ac:dyDescent="0.25">
      <c r="A1332" t="s">
        <v>1372</v>
      </c>
      <c r="B1332" s="1">
        <v>45825.839756944442</v>
      </c>
      <c r="C1332" s="2" t="s">
        <v>29</v>
      </c>
      <c r="D1332" t="s">
        <v>33</v>
      </c>
      <c r="E1332">
        <v>63733</v>
      </c>
      <c r="F1332" t="s">
        <v>14</v>
      </c>
      <c r="G1332" t="s">
        <v>20</v>
      </c>
      <c r="H1332" t="s">
        <v>16</v>
      </c>
      <c r="I1332">
        <v>0</v>
      </c>
      <c r="J1332">
        <v>0</v>
      </c>
      <c r="K1332">
        <v>0</v>
      </c>
    </row>
    <row r="1333" spans="1:11" x14ac:dyDescent="0.25">
      <c r="A1333" t="s">
        <v>1373</v>
      </c>
      <c r="B1333" s="1">
        <v>45790.824699074074</v>
      </c>
      <c r="C1333" s="2" t="s">
        <v>18</v>
      </c>
      <c r="D1333" t="s">
        <v>23</v>
      </c>
      <c r="E1333">
        <v>628</v>
      </c>
      <c r="F1333" t="s">
        <v>14</v>
      </c>
      <c r="G1333" t="s">
        <v>51</v>
      </c>
      <c r="H1333" t="s">
        <v>16</v>
      </c>
      <c r="I1333">
        <v>0</v>
      </c>
      <c r="J1333">
        <v>0</v>
      </c>
      <c r="K1333">
        <v>0</v>
      </c>
    </row>
    <row r="1334" spans="1:11" x14ac:dyDescent="0.25">
      <c r="A1334" t="s">
        <v>1374</v>
      </c>
      <c r="B1334" s="1">
        <v>46054.922453703701</v>
      </c>
      <c r="C1334" s="2" t="s">
        <v>26</v>
      </c>
      <c r="D1334" t="s">
        <v>33</v>
      </c>
      <c r="E1334">
        <v>64536</v>
      </c>
      <c r="F1334" t="s">
        <v>99</v>
      </c>
      <c r="G1334" t="s">
        <v>27</v>
      </c>
      <c r="H1334" t="s">
        <v>16</v>
      </c>
      <c r="I1334">
        <v>0</v>
      </c>
      <c r="J1334">
        <v>0</v>
      </c>
      <c r="K1334">
        <v>0</v>
      </c>
    </row>
    <row r="1335" spans="1:11" x14ac:dyDescent="0.25">
      <c r="A1335" t="s">
        <v>1375</v>
      </c>
      <c r="B1335" s="1">
        <v>45930.108993055554</v>
      </c>
      <c r="C1335" s="2" t="s">
        <v>22</v>
      </c>
      <c r="D1335" t="s">
        <v>33</v>
      </c>
      <c r="E1335">
        <v>30813</v>
      </c>
      <c r="F1335" t="s">
        <v>14</v>
      </c>
      <c r="G1335" t="s">
        <v>58</v>
      </c>
      <c r="H1335" t="s">
        <v>16</v>
      </c>
      <c r="I1335">
        <v>0</v>
      </c>
      <c r="J1335">
        <v>0</v>
      </c>
      <c r="K1335">
        <v>0</v>
      </c>
    </row>
    <row r="1336" spans="1:11" x14ac:dyDescent="0.25">
      <c r="A1336" t="s">
        <v>1376</v>
      </c>
      <c r="B1336" s="1">
        <v>46031.941041666665</v>
      </c>
      <c r="C1336" s="2" t="s">
        <v>26</v>
      </c>
      <c r="D1336" t="s">
        <v>19</v>
      </c>
      <c r="E1336">
        <v>111062</v>
      </c>
      <c r="F1336" t="s">
        <v>14</v>
      </c>
      <c r="G1336" t="s">
        <v>30</v>
      </c>
      <c r="H1336" t="s">
        <v>16</v>
      </c>
      <c r="I1336">
        <v>5</v>
      </c>
      <c r="J1336">
        <v>0</v>
      </c>
      <c r="K1336">
        <v>5</v>
      </c>
    </row>
    <row r="1337" spans="1:11" x14ac:dyDescent="0.25">
      <c r="A1337" t="s">
        <v>1377</v>
      </c>
      <c r="B1337" s="1">
        <v>46141.060370370367</v>
      </c>
      <c r="C1337" s="2" t="s">
        <v>18</v>
      </c>
      <c r="D1337" t="s">
        <v>13</v>
      </c>
      <c r="E1337">
        <v>187500</v>
      </c>
      <c r="F1337" t="s">
        <v>14</v>
      </c>
      <c r="G1337" t="s">
        <v>58</v>
      </c>
      <c r="H1337" t="s">
        <v>16</v>
      </c>
      <c r="I1337">
        <v>3468.75</v>
      </c>
      <c r="J1337">
        <v>1387.5</v>
      </c>
      <c r="K1337">
        <v>2081.25</v>
      </c>
    </row>
    <row r="1338" spans="1:11" x14ac:dyDescent="0.25">
      <c r="A1338" t="s">
        <v>1378</v>
      </c>
      <c r="B1338" s="1">
        <v>45786.782037037039</v>
      </c>
      <c r="C1338" s="2" t="s">
        <v>18</v>
      </c>
      <c r="D1338" t="s">
        <v>45</v>
      </c>
      <c r="E1338">
        <v>49712</v>
      </c>
      <c r="F1338" t="s">
        <v>14</v>
      </c>
      <c r="G1338" t="s">
        <v>34</v>
      </c>
      <c r="H1338" t="s">
        <v>56</v>
      </c>
      <c r="I1338">
        <v>497.12</v>
      </c>
      <c r="J1338">
        <v>0</v>
      </c>
      <c r="K1338">
        <v>497.12</v>
      </c>
    </row>
    <row r="1339" spans="1:11" x14ac:dyDescent="0.25">
      <c r="A1339" t="s">
        <v>1379</v>
      </c>
      <c r="B1339" s="1">
        <v>46003.148310185185</v>
      </c>
      <c r="C1339" s="2" t="s">
        <v>29</v>
      </c>
      <c r="D1339" t="s">
        <v>19</v>
      </c>
      <c r="E1339">
        <v>72917</v>
      </c>
      <c r="F1339" t="s">
        <v>14</v>
      </c>
      <c r="G1339" t="s">
        <v>34</v>
      </c>
      <c r="H1339" t="s">
        <v>16</v>
      </c>
      <c r="I1339">
        <v>5</v>
      </c>
      <c r="J1339">
        <v>0</v>
      </c>
      <c r="K1339">
        <v>5</v>
      </c>
    </row>
    <row r="1340" spans="1:11" x14ac:dyDescent="0.25">
      <c r="A1340" t="s">
        <v>1380</v>
      </c>
      <c r="B1340" s="1">
        <v>45954.204699074071</v>
      </c>
      <c r="C1340" s="2" t="s">
        <v>32</v>
      </c>
      <c r="D1340" t="s">
        <v>19</v>
      </c>
      <c r="E1340">
        <v>135609</v>
      </c>
      <c r="F1340" t="s">
        <v>99</v>
      </c>
      <c r="G1340" t="s">
        <v>34</v>
      </c>
      <c r="H1340" t="s">
        <v>16</v>
      </c>
      <c r="I1340">
        <v>5</v>
      </c>
      <c r="J1340">
        <v>0</v>
      </c>
      <c r="K1340">
        <v>5</v>
      </c>
    </row>
    <row r="1341" spans="1:11" x14ac:dyDescent="0.25">
      <c r="A1341" t="s">
        <v>1381</v>
      </c>
      <c r="B1341" s="1">
        <v>45786.376886574071</v>
      </c>
      <c r="C1341" s="2" t="s">
        <v>12</v>
      </c>
      <c r="D1341" t="s">
        <v>19</v>
      </c>
      <c r="E1341">
        <v>110110</v>
      </c>
      <c r="F1341" t="s">
        <v>50</v>
      </c>
      <c r="G1341" t="s">
        <v>51</v>
      </c>
      <c r="H1341" t="s">
        <v>16</v>
      </c>
      <c r="I1341">
        <v>5</v>
      </c>
      <c r="J1341">
        <v>0</v>
      </c>
      <c r="K1341">
        <v>5</v>
      </c>
    </row>
    <row r="1342" spans="1:11" x14ac:dyDescent="0.25">
      <c r="A1342" t="s">
        <v>1382</v>
      </c>
      <c r="B1342" s="1">
        <v>45908.019976851851</v>
      </c>
      <c r="C1342" s="2" t="s">
        <v>18</v>
      </c>
      <c r="D1342" t="s">
        <v>19</v>
      </c>
      <c r="E1342">
        <v>48585</v>
      </c>
      <c r="F1342" t="s">
        <v>14</v>
      </c>
      <c r="G1342" t="s">
        <v>20</v>
      </c>
      <c r="H1342" t="s">
        <v>16</v>
      </c>
      <c r="I1342">
        <v>5</v>
      </c>
      <c r="J1342">
        <v>0</v>
      </c>
      <c r="K1342">
        <v>5</v>
      </c>
    </row>
    <row r="1343" spans="1:11" x14ac:dyDescent="0.25">
      <c r="A1343" t="s">
        <v>1383</v>
      </c>
      <c r="B1343" s="1">
        <v>45836.460138888891</v>
      </c>
      <c r="C1343" s="2" t="s">
        <v>32</v>
      </c>
      <c r="D1343" t="s">
        <v>19</v>
      </c>
      <c r="E1343">
        <v>17369</v>
      </c>
      <c r="F1343" t="s">
        <v>14</v>
      </c>
      <c r="G1343" t="s">
        <v>27</v>
      </c>
      <c r="H1343" t="s">
        <v>16</v>
      </c>
      <c r="I1343">
        <v>5</v>
      </c>
      <c r="J1343">
        <v>0</v>
      </c>
      <c r="K1343">
        <v>5</v>
      </c>
    </row>
    <row r="1344" spans="1:11" x14ac:dyDescent="0.25">
      <c r="A1344" t="s">
        <v>1384</v>
      </c>
      <c r="B1344" s="1">
        <v>46059.598912037036</v>
      </c>
      <c r="C1344" s="2" t="s">
        <v>39</v>
      </c>
      <c r="D1344" t="s">
        <v>19</v>
      </c>
      <c r="E1344">
        <v>100074</v>
      </c>
      <c r="F1344" t="s">
        <v>14</v>
      </c>
      <c r="G1344" t="s">
        <v>58</v>
      </c>
      <c r="H1344" t="s">
        <v>16</v>
      </c>
      <c r="I1344">
        <v>5</v>
      </c>
      <c r="J1344">
        <v>0</v>
      </c>
      <c r="K1344">
        <v>5</v>
      </c>
    </row>
    <row r="1345" spans="1:11" x14ac:dyDescent="0.25">
      <c r="A1345" t="s">
        <v>1385</v>
      </c>
      <c r="B1345" s="1">
        <v>45973.878136574072</v>
      </c>
      <c r="C1345" s="2" t="s">
        <v>39</v>
      </c>
      <c r="D1345" t="s">
        <v>19</v>
      </c>
      <c r="E1345">
        <v>94136</v>
      </c>
      <c r="F1345" t="s">
        <v>50</v>
      </c>
      <c r="G1345" t="s">
        <v>51</v>
      </c>
      <c r="H1345" t="s">
        <v>16</v>
      </c>
      <c r="I1345">
        <v>5</v>
      </c>
      <c r="J1345">
        <v>0</v>
      </c>
      <c r="K1345">
        <v>5</v>
      </c>
    </row>
    <row r="1346" spans="1:11" x14ac:dyDescent="0.25">
      <c r="A1346" t="s">
        <v>1386</v>
      </c>
      <c r="B1346" s="1">
        <v>46040.230196759258</v>
      </c>
      <c r="C1346" s="2" t="s">
        <v>22</v>
      </c>
      <c r="D1346" t="s">
        <v>19</v>
      </c>
      <c r="E1346">
        <v>20362</v>
      </c>
      <c r="F1346" t="s">
        <v>14</v>
      </c>
      <c r="G1346" t="s">
        <v>27</v>
      </c>
      <c r="H1346" t="s">
        <v>16</v>
      </c>
      <c r="I1346">
        <v>5</v>
      </c>
      <c r="J1346">
        <v>0</v>
      </c>
      <c r="K1346">
        <v>5</v>
      </c>
    </row>
    <row r="1347" spans="1:11" x14ac:dyDescent="0.25">
      <c r="A1347" t="s">
        <v>1387</v>
      </c>
      <c r="B1347" s="1">
        <v>45807.169548611113</v>
      </c>
      <c r="C1347" s="2" t="s">
        <v>12</v>
      </c>
      <c r="D1347" t="s">
        <v>45</v>
      </c>
      <c r="E1347">
        <v>56517</v>
      </c>
      <c r="F1347" t="s">
        <v>14</v>
      </c>
      <c r="G1347" t="s">
        <v>84</v>
      </c>
      <c r="H1347" t="s">
        <v>46</v>
      </c>
      <c r="I1347">
        <v>565.16999999999996</v>
      </c>
      <c r="J1347">
        <v>0</v>
      </c>
      <c r="K1347">
        <v>565.16999999999996</v>
      </c>
    </row>
    <row r="1348" spans="1:11" x14ac:dyDescent="0.25">
      <c r="A1348" t="s">
        <v>1388</v>
      </c>
      <c r="B1348" s="1">
        <v>45822.30673611111</v>
      </c>
      <c r="C1348" s="2" t="s">
        <v>41</v>
      </c>
      <c r="D1348" t="s">
        <v>19</v>
      </c>
      <c r="E1348">
        <v>125070</v>
      </c>
      <c r="F1348" t="s">
        <v>50</v>
      </c>
      <c r="G1348" t="s">
        <v>20</v>
      </c>
      <c r="H1348" t="s">
        <v>16</v>
      </c>
      <c r="I1348">
        <v>5</v>
      </c>
      <c r="J1348">
        <v>0</v>
      </c>
      <c r="K1348">
        <v>5</v>
      </c>
    </row>
    <row r="1349" spans="1:11" x14ac:dyDescent="0.25">
      <c r="A1349" t="s">
        <v>1389</v>
      </c>
      <c r="B1349" s="1">
        <v>46129.856249999997</v>
      </c>
      <c r="C1349" s="2" t="s">
        <v>26</v>
      </c>
      <c r="D1349" t="s">
        <v>19</v>
      </c>
      <c r="E1349">
        <v>80944</v>
      </c>
      <c r="F1349" t="s">
        <v>14</v>
      </c>
      <c r="G1349" t="s">
        <v>24</v>
      </c>
      <c r="H1349" t="s">
        <v>16</v>
      </c>
      <c r="I1349">
        <v>5</v>
      </c>
      <c r="J1349">
        <v>0</v>
      </c>
      <c r="K1349">
        <v>5</v>
      </c>
    </row>
    <row r="1350" spans="1:11" x14ac:dyDescent="0.25">
      <c r="A1350" t="s">
        <v>1390</v>
      </c>
      <c r="B1350" s="1">
        <v>46011.434791666667</v>
      </c>
      <c r="C1350" s="2" t="s">
        <v>32</v>
      </c>
      <c r="D1350" t="s">
        <v>33</v>
      </c>
      <c r="E1350">
        <v>13032</v>
      </c>
      <c r="F1350" t="s">
        <v>14</v>
      </c>
      <c r="G1350" t="s">
        <v>34</v>
      </c>
      <c r="H1350" t="s">
        <v>16</v>
      </c>
      <c r="I1350">
        <v>0</v>
      </c>
      <c r="J1350">
        <v>0</v>
      </c>
      <c r="K1350">
        <v>0</v>
      </c>
    </row>
    <row r="1351" spans="1:11" x14ac:dyDescent="0.25">
      <c r="A1351" t="s">
        <v>1391</v>
      </c>
      <c r="B1351" s="1">
        <v>45974.036446759259</v>
      </c>
      <c r="C1351" s="2" t="s">
        <v>41</v>
      </c>
      <c r="D1351" t="s">
        <v>45</v>
      </c>
      <c r="E1351">
        <v>97865</v>
      </c>
      <c r="F1351" t="s">
        <v>14</v>
      </c>
      <c r="G1351" t="s">
        <v>30</v>
      </c>
      <c r="H1351" t="s">
        <v>59</v>
      </c>
      <c r="I1351">
        <v>978.65</v>
      </c>
      <c r="J1351">
        <v>0</v>
      </c>
      <c r="K1351">
        <v>978.65</v>
      </c>
    </row>
    <row r="1352" spans="1:11" x14ac:dyDescent="0.25">
      <c r="A1352" t="s">
        <v>1392</v>
      </c>
      <c r="B1352" s="1">
        <v>46068.360694444447</v>
      </c>
      <c r="C1352" s="2" t="s">
        <v>41</v>
      </c>
      <c r="D1352" t="s">
        <v>13</v>
      </c>
      <c r="E1352">
        <v>220000</v>
      </c>
      <c r="F1352" t="s">
        <v>14</v>
      </c>
      <c r="G1352" t="s">
        <v>84</v>
      </c>
      <c r="H1352" t="s">
        <v>16</v>
      </c>
      <c r="I1352">
        <v>4070</v>
      </c>
      <c r="J1352">
        <v>1628</v>
      </c>
      <c r="K1352">
        <v>2442</v>
      </c>
    </row>
    <row r="1353" spans="1:11" x14ac:dyDescent="0.25">
      <c r="A1353" t="s">
        <v>1393</v>
      </c>
      <c r="B1353" s="1">
        <v>45983.683217592596</v>
      </c>
      <c r="C1353" s="2" t="s">
        <v>12</v>
      </c>
      <c r="D1353" t="s">
        <v>45</v>
      </c>
      <c r="E1353">
        <v>134113</v>
      </c>
      <c r="F1353" t="s">
        <v>14</v>
      </c>
      <c r="G1353" t="s">
        <v>34</v>
      </c>
      <c r="H1353" t="s">
        <v>71</v>
      </c>
      <c r="I1353">
        <v>1341.13</v>
      </c>
      <c r="J1353">
        <v>0</v>
      </c>
      <c r="K1353">
        <v>1341.13</v>
      </c>
    </row>
    <row r="1354" spans="1:11" x14ac:dyDescent="0.25">
      <c r="A1354" t="s">
        <v>1394</v>
      </c>
      <c r="B1354" s="1">
        <v>46092.929837962962</v>
      </c>
      <c r="C1354" s="2" t="s">
        <v>18</v>
      </c>
      <c r="D1354" t="s">
        <v>33</v>
      </c>
      <c r="E1354">
        <v>111351</v>
      </c>
      <c r="F1354" t="s">
        <v>14</v>
      </c>
      <c r="G1354" t="s">
        <v>58</v>
      </c>
      <c r="H1354" t="s">
        <v>16</v>
      </c>
      <c r="I1354">
        <v>0</v>
      </c>
      <c r="J1354">
        <v>0</v>
      </c>
      <c r="K1354">
        <v>0</v>
      </c>
    </row>
    <row r="1355" spans="1:11" x14ac:dyDescent="0.25">
      <c r="A1355" t="s">
        <v>1395</v>
      </c>
      <c r="B1355" s="1">
        <v>46051.091817129629</v>
      </c>
      <c r="C1355" s="2" t="s">
        <v>22</v>
      </c>
      <c r="D1355" t="s">
        <v>13</v>
      </c>
      <c r="E1355">
        <v>114000</v>
      </c>
      <c r="F1355" t="s">
        <v>14</v>
      </c>
      <c r="G1355" t="s">
        <v>24</v>
      </c>
      <c r="H1355" t="s">
        <v>16</v>
      </c>
      <c r="I1355">
        <v>2109</v>
      </c>
      <c r="J1355">
        <v>843.6</v>
      </c>
      <c r="K1355">
        <v>1265.4000000000001</v>
      </c>
    </row>
    <row r="1356" spans="1:11" x14ac:dyDescent="0.25">
      <c r="A1356" t="s">
        <v>1396</v>
      </c>
      <c r="B1356" s="1">
        <v>45898.10701388889</v>
      </c>
      <c r="C1356" s="2" t="s">
        <v>32</v>
      </c>
      <c r="D1356" t="s">
        <v>23</v>
      </c>
      <c r="E1356">
        <v>937</v>
      </c>
      <c r="F1356" t="s">
        <v>14</v>
      </c>
      <c r="G1356" t="s">
        <v>27</v>
      </c>
      <c r="H1356" t="s">
        <v>16</v>
      </c>
      <c r="I1356">
        <v>0</v>
      </c>
      <c r="J1356">
        <v>0</v>
      </c>
      <c r="K1356">
        <v>0</v>
      </c>
    </row>
    <row r="1357" spans="1:11" x14ac:dyDescent="0.25">
      <c r="A1357" t="s">
        <v>1397</v>
      </c>
      <c r="B1357" s="1">
        <v>45848.582569444443</v>
      </c>
      <c r="C1357" s="2" t="s">
        <v>12</v>
      </c>
      <c r="D1357" t="s">
        <v>45</v>
      </c>
      <c r="E1357">
        <v>36836</v>
      </c>
      <c r="F1357" t="s">
        <v>14</v>
      </c>
      <c r="G1357" t="s">
        <v>15</v>
      </c>
      <c r="H1357" t="s">
        <v>178</v>
      </c>
      <c r="I1357">
        <v>368.36</v>
      </c>
      <c r="J1357">
        <v>0</v>
      </c>
      <c r="K1357">
        <v>368.36</v>
      </c>
    </row>
    <row r="1358" spans="1:11" x14ac:dyDescent="0.25">
      <c r="A1358" t="s">
        <v>1398</v>
      </c>
      <c r="B1358" s="1">
        <v>46105.769131944442</v>
      </c>
      <c r="C1358" s="2" t="s">
        <v>41</v>
      </c>
      <c r="D1358" t="s">
        <v>33</v>
      </c>
      <c r="E1358">
        <v>110545</v>
      </c>
      <c r="F1358" t="s">
        <v>14</v>
      </c>
      <c r="G1358" t="s">
        <v>30</v>
      </c>
      <c r="H1358" t="s">
        <v>16</v>
      </c>
      <c r="I1358">
        <v>0</v>
      </c>
      <c r="J1358">
        <v>0</v>
      </c>
      <c r="K1358">
        <v>0</v>
      </c>
    </row>
    <row r="1359" spans="1:11" x14ac:dyDescent="0.25">
      <c r="A1359" t="s">
        <v>1399</v>
      </c>
      <c r="B1359" s="1">
        <v>45821.734930555554</v>
      </c>
      <c r="C1359" s="2" t="s">
        <v>12</v>
      </c>
      <c r="D1359" t="s">
        <v>45</v>
      </c>
      <c r="E1359">
        <v>107715</v>
      </c>
      <c r="F1359" t="s">
        <v>14</v>
      </c>
      <c r="G1359" t="s">
        <v>51</v>
      </c>
      <c r="H1359" t="s">
        <v>71</v>
      </c>
      <c r="I1359">
        <v>1077.1500000000001</v>
      </c>
      <c r="J1359">
        <v>0</v>
      </c>
      <c r="K1359">
        <v>1077.1500000000001</v>
      </c>
    </row>
    <row r="1360" spans="1:11" x14ac:dyDescent="0.25">
      <c r="A1360" t="s">
        <v>1400</v>
      </c>
      <c r="B1360" s="1">
        <v>45950.014849537038</v>
      </c>
      <c r="C1360" s="2" t="s">
        <v>32</v>
      </c>
      <c r="D1360" t="s">
        <v>45</v>
      </c>
      <c r="E1360">
        <v>117297</v>
      </c>
      <c r="F1360" t="s">
        <v>50</v>
      </c>
      <c r="G1360" t="s">
        <v>30</v>
      </c>
      <c r="H1360" t="s">
        <v>178</v>
      </c>
      <c r="I1360">
        <v>1172.97</v>
      </c>
      <c r="J1360">
        <v>0</v>
      </c>
      <c r="K1360">
        <v>1172.97</v>
      </c>
    </row>
    <row r="1361" spans="1:11" x14ac:dyDescent="0.25">
      <c r="A1361" t="s">
        <v>1401</v>
      </c>
      <c r="B1361" s="1">
        <v>46042.344490740739</v>
      </c>
      <c r="C1361" s="2" t="s">
        <v>26</v>
      </c>
      <c r="D1361" t="s">
        <v>45</v>
      </c>
      <c r="E1361">
        <v>101359</v>
      </c>
      <c r="F1361" t="s">
        <v>14</v>
      </c>
      <c r="G1361" t="s">
        <v>58</v>
      </c>
      <c r="H1361" t="s">
        <v>178</v>
      </c>
      <c r="I1361">
        <v>1013.59</v>
      </c>
      <c r="J1361">
        <v>0</v>
      </c>
      <c r="K1361">
        <v>1013.59</v>
      </c>
    </row>
    <row r="1362" spans="1:11" x14ac:dyDescent="0.25">
      <c r="A1362" t="s">
        <v>1402</v>
      </c>
      <c r="B1362" s="1">
        <v>46003.171354166669</v>
      </c>
      <c r="C1362" s="2" t="s">
        <v>29</v>
      </c>
      <c r="D1362" t="s">
        <v>45</v>
      </c>
      <c r="E1362">
        <v>92809</v>
      </c>
      <c r="F1362" t="s">
        <v>14</v>
      </c>
      <c r="G1362" t="s">
        <v>27</v>
      </c>
      <c r="H1362" t="s">
        <v>56</v>
      </c>
      <c r="I1362">
        <v>928.09</v>
      </c>
      <c r="J1362">
        <v>0</v>
      </c>
      <c r="K1362">
        <v>928.09</v>
      </c>
    </row>
    <row r="1363" spans="1:11" x14ac:dyDescent="0.25">
      <c r="A1363" t="s">
        <v>1403</v>
      </c>
      <c r="B1363" s="1">
        <v>45984.798958333333</v>
      </c>
      <c r="C1363" s="2" t="s">
        <v>32</v>
      </c>
      <c r="D1363" t="s">
        <v>45</v>
      </c>
      <c r="E1363">
        <v>69829</v>
      </c>
      <c r="F1363" t="s">
        <v>14</v>
      </c>
      <c r="G1363" t="s">
        <v>30</v>
      </c>
      <c r="H1363" t="s">
        <v>46</v>
      </c>
      <c r="I1363">
        <v>698.29</v>
      </c>
      <c r="J1363">
        <v>0</v>
      </c>
      <c r="K1363">
        <v>698.29</v>
      </c>
    </row>
    <row r="1364" spans="1:11" x14ac:dyDescent="0.25">
      <c r="A1364" t="s">
        <v>1404</v>
      </c>
      <c r="B1364" s="1">
        <v>46094.148888888885</v>
      </c>
      <c r="C1364" s="2" t="s">
        <v>41</v>
      </c>
      <c r="D1364" t="s">
        <v>45</v>
      </c>
      <c r="E1364">
        <v>118614</v>
      </c>
      <c r="F1364" t="s">
        <v>14</v>
      </c>
      <c r="G1364" t="s">
        <v>27</v>
      </c>
      <c r="H1364" t="s">
        <v>71</v>
      </c>
      <c r="I1364">
        <v>1186.1400000000001</v>
      </c>
      <c r="J1364">
        <v>0</v>
      </c>
      <c r="K1364">
        <v>1186.1400000000001</v>
      </c>
    </row>
    <row r="1365" spans="1:11" x14ac:dyDescent="0.25">
      <c r="A1365" t="s">
        <v>1405</v>
      </c>
      <c r="B1365" s="1">
        <v>46027.197824074072</v>
      </c>
      <c r="C1365" s="2" t="s">
        <v>26</v>
      </c>
      <c r="D1365" t="s">
        <v>33</v>
      </c>
      <c r="E1365">
        <v>31854</v>
      </c>
      <c r="F1365" t="s">
        <v>50</v>
      </c>
      <c r="G1365" t="s">
        <v>30</v>
      </c>
      <c r="H1365" t="s">
        <v>16</v>
      </c>
      <c r="I1365">
        <v>0</v>
      </c>
      <c r="J1365">
        <v>0</v>
      </c>
      <c r="K1365">
        <v>0</v>
      </c>
    </row>
    <row r="1366" spans="1:11" x14ac:dyDescent="0.25">
      <c r="A1366" t="s">
        <v>1406</v>
      </c>
      <c r="B1366" s="1">
        <v>45796.090671296297</v>
      </c>
      <c r="C1366" s="2" t="s">
        <v>29</v>
      </c>
      <c r="D1366" t="s">
        <v>19</v>
      </c>
      <c r="E1366">
        <v>63444</v>
      </c>
      <c r="F1366" t="s">
        <v>14</v>
      </c>
      <c r="G1366" t="s">
        <v>84</v>
      </c>
      <c r="H1366" t="s">
        <v>16</v>
      </c>
      <c r="I1366">
        <v>5</v>
      </c>
      <c r="J1366">
        <v>0</v>
      </c>
      <c r="K1366">
        <v>5</v>
      </c>
    </row>
    <row r="1367" spans="1:11" x14ac:dyDescent="0.25">
      <c r="A1367" t="s">
        <v>1407</v>
      </c>
      <c r="B1367" s="1">
        <v>46118.981446759259</v>
      </c>
      <c r="C1367" s="2" t="s">
        <v>22</v>
      </c>
      <c r="D1367" t="s">
        <v>19</v>
      </c>
      <c r="E1367">
        <v>83924</v>
      </c>
      <c r="F1367" t="s">
        <v>14</v>
      </c>
      <c r="G1367" t="s">
        <v>58</v>
      </c>
      <c r="H1367" t="s">
        <v>16</v>
      </c>
      <c r="I1367">
        <v>5</v>
      </c>
      <c r="J1367">
        <v>0</v>
      </c>
      <c r="K1367">
        <v>5</v>
      </c>
    </row>
    <row r="1368" spans="1:11" x14ac:dyDescent="0.25">
      <c r="A1368" t="s">
        <v>1408</v>
      </c>
      <c r="B1368" s="1">
        <v>45792.364942129629</v>
      </c>
      <c r="C1368" s="2" t="s">
        <v>29</v>
      </c>
      <c r="D1368" t="s">
        <v>23</v>
      </c>
      <c r="E1368">
        <v>2930</v>
      </c>
      <c r="F1368" t="s">
        <v>14</v>
      </c>
      <c r="G1368" t="s">
        <v>84</v>
      </c>
      <c r="H1368" t="s">
        <v>16</v>
      </c>
      <c r="I1368">
        <v>0</v>
      </c>
      <c r="J1368">
        <v>0</v>
      </c>
      <c r="K1368">
        <v>0</v>
      </c>
    </row>
    <row r="1369" spans="1:11" x14ac:dyDescent="0.25">
      <c r="A1369" t="s">
        <v>1409</v>
      </c>
      <c r="B1369" s="1">
        <v>45929.473252314812</v>
      </c>
      <c r="C1369" s="2" t="s">
        <v>22</v>
      </c>
      <c r="D1369" t="s">
        <v>45</v>
      </c>
      <c r="E1369">
        <v>50585</v>
      </c>
      <c r="F1369" t="s">
        <v>14</v>
      </c>
      <c r="G1369" t="s">
        <v>34</v>
      </c>
      <c r="H1369" t="s">
        <v>178</v>
      </c>
      <c r="I1369">
        <v>505.85</v>
      </c>
      <c r="J1369">
        <v>0</v>
      </c>
      <c r="K1369">
        <v>505.85</v>
      </c>
    </row>
    <row r="1370" spans="1:11" x14ac:dyDescent="0.25">
      <c r="A1370" t="s">
        <v>1410</v>
      </c>
      <c r="B1370" s="1">
        <v>45780.592395833337</v>
      </c>
      <c r="C1370" s="2" t="s">
        <v>32</v>
      </c>
      <c r="D1370" t="s">
        <v>23</v>
      </c>
      <c r="E1370">
        <v>4818</v>
      </c>
      <c r="F1370" t="s">
        <v>50</v>
      </c>
      <c r="G1370" t="s">
        <v>84</v>
      </c>
      <c r="H1370" t="s">
        <v>16</v>
      </c>
      <c r="I1370">
        <v>0</v>
      </c>
      <c r="J1370">
        <v>0</v>
      </c>
      <c r="K1370">
        <v>0</v>
      </c>
    </row>
    <row r="1371" spans="1:11" x14ac:dyDescent="0.25">
      <c r="A1371" t="s">
        <v>1411</v>
      </c>
      <c r="B1371" s="1">
        <v>46000.120347222219</v>
      </c>
      <c r="C1371" s="2" t="s">
        <v>22</v>
      </c>
      <c r="D1371" t="s">
        <v>23</v>
      </c>
      <c r="E1371">
        <v>1612</v>
      </c>
      <c r="F1371" t="s">
        <v>14</v>
      </c>
      <c r="G1371" t="s">
        <v>24</v>
      </c>
      <c r="H1371" t="s">
        <v>16</v>
      </c>
      <c r="I1371">
        <v>0</v>
      </c>
      <c r="J1371">
        <v>0</v>
      </c>
      <c r="K1371">
        <v>0</v>
      </c>
    </row>
    <row r="1372" spans="1:11" x14ac:dyDescent="0.25">
      <c r="A1372" t="s">
        <v>1412</v>
      </c>
      <c r="B1372" s="1">
        <v>45802.946909722225</v>
      </c>
      <c r="C1372" s="2" t="s">
        <v>18</v>
      </c>
      <c r="D1372" t="s">
        <v>33</v>
      </c>
      <c r="E1372">
        <v>148227</v>
      </c>
      <c r="F1372" t="s">
        <v>14</v>
      </c>
      <c r="G1372" t="s">
        <v>84</v>
      </c>
      <c r="H1372" t="s">
        <v>16</v>
      </c>
      <c r="I1372">
        <v>0</v>
      </c>
      <c r="J1372">
        <v>0</v>
      </c>
      <c r="K1372">
        <v>0</v>
      </c>
    </row>
    <row r="1373" spans="1:11" x14ac:dyDescent="0.25">
      <c r="A1373" t="s">
        <v>1413</v>
      </c>
      <c r="B1373" s="1">
        <v>46028.742013888892</v>
      </c>
      <c r="C1373" s="2" t="s">
        <v>29</v>
      </c>
      <c r="D1373" t="s">
        <v>23</v>
      </c>
      <c r="E1373">
        <v>4004</v>
      </c>
      <c r="F1373" t="s">
        <v>99</v>
      </c>
      <c r="G1373" t="s">
        <v>58</v>
      </c>
      <c r="H1373" t="s">
        <v>16</v>
      </c>
      <c r="I1373">
        <v>0</v>
      </c>
      <c r="J1373">
        <v>0</v>
      </c>
      <c r="K1373">
        <v>0</v>
      </c>
    </row>
    <row r="1374" spans="1:11" x14ac:dyDescent="0.25">
      <c r="A1374" t="s">
        <v>1414</v>
      </c>
      <c r="B1374" s="1">
        <v>45888.827986111108</v>
      </c>
      <c r="C1374" s="2" t="s">
        <v>32</v>
      </c>
      <c r="D1374" t="s">
        <v>45</v>
      </c>
      <c r="E1374">
        <v>63281</v>
      </c>
      <c r="F1374" t="s">
        <v>14</v>
      </c>
      <c r="G1374" t="s">
        <v>34</v>
      </c>
      <c r="H1374" t="s">
        <v>46</v>
      </c>
      <c r="I1374">
        <v>632.80999999999995</v>
      </c>
      <c r="J1374">
        <v>0</v>
      </c>
      <c r="K1374">
        <v>632.80999999999995</v>
      </c>
    </row>
    <row r="1375" spans="1:11" x14ac:dyDescent="0.25">
      <c r="A1375" t="s">
        <v>1415</v>
      </c>
      <c r="B1375" s="1">
        <v>45863.423935185187</v>
      </c>
      <c r="C1375" s="2" t="s">
        <v>12</v>
      </c>
      <c r="D1375" t="s">
        <v>23</v>
      </c>
      <c r="E1375">
        <v>4949</v>
      </c>
      <c r="F1375" t="s">
        <v>50</v>
      </c>
      <c r="G1375" t="s">
        <v>15</v>
      </c>
      <c r="H1375" t="s">
        <v>16</v>
      </c>
      <c r="I1375">
        <v>0</v>
      </c>
      <c r="J1375">
        <v>0</v>
      </c>
      <c r="K1375">
        <v>0</v>
      </c>
    </row>
    <row r="1376" spans="1:11" x14ac:dyDescent="0.25">
      <c r="A1376" t="s">
        <v>1416</v>
      </c>
      <c r="B1376" s="1">
        <v>46008.458703703705</v>
      </c>
      <c r="C1376" s="2" t="s">
        <v>39</v>
      </c>
      <c r="D1376" t="s">
        <v>33</v>
      </c>
      <c r="E1376">
        <v>40690</v>
      </c>
      <c r="F1376" t="s">
        <v>50</v>
      </c>
      <c r="G1376" t="s">
        <v>58</v>
      </c>
      <c r="H1376" t="s">
        <v>16</v>
      </c>
      <c r="I1376">
        <v>0</v>
      </c>
      <c r="J1376">
        <v>0</v>
      </c>
      <c r="K1376">
        <v>0</v>
      </c>
    </row>
    <row r="1377" spans="1:11" x14ac:dyDescent="0.25">
      <c r="A1377" t="s">
        <v>1417</v>
      </c>
      <c r="B1377" s="1">
        <v>46128.095891203702</v>
      </c>
      <c r="C1377" s="2" t="s">
        <v>26</v>
      </c>
      <c r="D1377" t="s">
        <v>45</v>
      </c>
      <c r="E1377">
        <v>98971</v>
      </c>
      <c r="F1377" t="s">
        <v>14</v>
      </c>
      <c r="G1377" t="s">
        <v>58</v>
      </c>
      <c r="H1377" t="s">
        <v>46</v>
      </c>
      <c r="I1377">
        <v>989.71</v>
      </c>
      <c r="J1377">
        <v>0</v>
      </c>
      <c r="K1377">
        <v>989.71</v>
      </c>
    </row>
    <row r="1378" spans="1:11" x14ac:dyDescent="0.25">
      <c r="A1378" t="s">
        <v>1418</v>
      </c>
      <c r="B1378" s="1">
        <v>45799.416076388887</v>
      </c>
      <c r="C1378" s="2" t="s">
        <v>22</v>
      </c>
      <c r="D1378" t="s">
        <v>13</v>
      </c>
      <c r="E1378">
        <v>10500</v>
      </c>
      <c r="F1378" t="s">
        <v>14</v>
      </c>
      <c r="G1378" t="s">
        <v>24</v>
      </c>
      <c r="H1378" t="s">
        <v>16</v>
      </c>
      <c r="I1378">
        <v>194.25</v>
      </c>
      <c r="J1378">
        <v>77.7</v>
      </c>
      <c r="K1378">
        <v>116.55</v>
      </c>
    </row>
    <row r="1379" spans="1:11" x14ac:dyDescent="0.25">
      <c r="A1379" t="s">
        <v>1419</v>
      </c>
      <c r="B1379" s="1">
        <v>46128.265162037038</v>
      </c>
      <c r="C1379" s="2" t="s">
        <v>12</v>
      </c>
      <c r="D1379" t="s">
        <v>19</v>
      </c>
      <c r="E1379">
        <v>70281</v>
      </c>
      <c r="F1379" t="s">
        <v>14</v>
      </c>
      <c r="G1379" t="s">
        <v>24</v>
      </c>
      <c r="H1379" t="s">
        <v>16</v>
      </c>
      <c r="I1379">
        <v>5</v>
      </c>
      <c r="J1379">
        <v>0</v>
      </c>
      <c r="K1379">
        <v>5</v>
      </c>
    </row>
    <row r="1380" spans="1:11" x14ac:dyDescent="0.25">
      <c r="A1380" t="s">
        <v>1420</v>
      </c>
      <c r="B1380" s="1">
        <v>46042.425821759258</v>
      </c>
      <c r="C1380" s="2" t="s">
        <v>22</v>
      </c>
      <c r="D1380" t="s">
        <v>33</v>
      </c>
      <c r="E1380">
        <v>65000</v>
      </c>
      <c r="F1380" t="s">
        <v>50</v>
      </c>
      <c r="G1380" t="s">
        <v>34</v>
      </c>
      <c r="H1380" t="s">
        <v>16</v>
      </c>
      <c r="I1380">
        <v>0</v>
      </c>
      <c r="J1380">
        <v>0</v>
      </c>
      <c r="K1380">
        <v>0</v>
      </c>
    </row>
    <row r="1381" spans="1:11" x14ac:dyDescent="0.25">
      <c r="A1381" t="s">
        <v>1421</v>
      </c>
      <c r="B1381" s="1">
        <v>46013.954363425924</v>
      </c>
      <c r="C1381" s="2" t="s">
        <v>18</v>
      </c>
      <c r="D1381" t="s">
        <v>19</v>
      </c>
      <c r="E1381">
        <v>138883</v>
      </c>
      <c r="F1381" t="s">
        <v>14</v>
      </c>
      <c r="G1381" t="s">
        <v>30</v>
      </c>
      <c r="H1381" t="s">
        <v>16</v>
      </c>
      <c r="I1381">
        <v>5</v>
      </c>
      <c r="J1381">
        <v>0</v>
      </c>
      <c r="K1381">
        <v>5</v>
      </c>
    </row>
    <row r="1382" spans="1:11" x14ac:dyDescent="0.25">
      <c r="A1382" t="s">
        <v>1422</v>
      </c>
      <c r="B1382" s="1">
        <v>45840.23</v>
      </c>
      <c r="C1382" s="2" t="s">
        <v>29</v>
      </c>
      <c r="D1382" t="s">
        <v>45</v>
      </c>
      <c r="E1382">
        <v>122870</v>
      </c>
      <c r="F1382" t="s">
        <v>14</v>
      </c>
      <c r="G1382" t="s">
        <v>20</v>
      </c>
      <c r="H1382" t="s">
        <v>56</v>
      </c>
      <c r="I1382">
        <v>1228.7</v>
      </c>
      <c r="J1382">
        <v>0</v>
      </c>
      <c r="K1382">
        <v>1228.7</v>
      </c>
    </row>
    <row r="1383" spans="1:11" x14ac:dyDescent="0.25">
      <c r="A1383" t="s">
        <v>1423</v>
      </c>
      <c r="B1383" s="1">
        <v>45970.159467592595</v>
      </c>
      <c r="C1383" s="2" t="s">
        <v>29</v>
      </c>
      <c r="D1383" t="s">
        <v>33</v>
      </c>
      <c r="E1383">
        <v>88010</v>
      </c>
      <c r="F1383" t="s">
        <v>14</v>
      </c>
      <c r="G1383" t="s">
        <v>84</v>
      </c>
      <c r="H1383" t="s">
        <v>16</v>
      </c>
      <c r="I1383">
        <v>0</v>
      </c>
      <c r="J1383">
        <v>0</v>
      </c>
      <c r="K1383">
        <v>0</v>
      </c>
    </row>
    <row r="1384" spans="1:11" x14ac:dyDescent="0.25">
      <c r="A1384" t="s">
        <v>1424</v>
      </c>
      <c r="B1384" s="1">
        <v>46077.083587962959</v>
      </c>
      <c r="C1384" s="2" t="s">
        <v>26</v>
      </c>
      <c r="D1384" t="s">
        <v>23</v>
      </c>
      <c r="E1384">
        <v>3711</v>
      </c>
      <c r="F1384" t="s">
        <v>14</v>
      </c>
      <c r="G1384" t="s">
        <v>27</v>
      </c>
      <c r="H1384" t="s">
        <v>16</v>
      </c>
      <c r="I1384">
        <v>0</v>
      </c>
      <c r="J1384">
        <v>0</v>
      </c>
      <c r="K1384">
        <v>0</v>
      </c>
    </row>
    <row r="1385" spans="1:11" x14ac:dyDescent="0.25">
      <c r="A1385" t="s">
        <v>1425</v>
      </c>
      <c r="B1385" s="1">
        <v>46087.922060185185</v>
      </c>
      <c r="C1385" s="2" t="s">
        <v>29</v>
      </c>
      <c r="D1385" t="s">
        <v>13</v>
      </c>
      <c r="E1385">
        <v>238500</v>
      </c>
      <c r="F1385" t="s">
        <v>14</v>
      </c>
      <c r="G1385" t="s">
        <v>34</v>
      </c>
      <c r="H1385" t="s">
        <v>16</v>
      </c>
      <c r="I1385">
        <v>4412.25</v>
      </c>
      <c r="J1385">
        <v>1764.9</v>
      </c>
      <c r="K1385">
        <v>2647.35</v>
      </c>
    </row>
    <row r="1386" spans="1:11" x14ac:dyDescent="0.25">
      <c r="A1386" t="s">
        <v>1426</v>
      </c>
      <c r="B1386" s="1">
        <v>45912.586909722224</v>
      </c>
      <c r="C1386" s="2" t="s">
        <v>12</v>
      </c>
      <c r="D1386" t="s">
        <v>13</v>
      </c>
      <c r="E1386">
        <v>187000</v>
      </c>
      <c r="F1386" t="s">
        <v>14</v>
      </c>
      <c r="G1386" t="s">
        <v>34</v>
      </c>
      <c r="H1386" t="s">
        <v>16</v>
      </c>
      <c r="I1386">
        <v>3459.5</v>
      </c>
      <c r="J1386">
        <v>1383.8</v>
      </c>
      <c r="K1386">
        <v>2075.6999999999998</v>
      </c>
    </row>
    <row r="1387" spans="1:11" x14ac:dyDescent="0.25">
      <c r="A1387" t="s">
        <v>1427</v>
      </c>
      <c r="B1387" s="1">
        <v>45954.5778125</v>
      </c>
      <c r="C1387" s="2" t="s">
        <v>22</v>
      </c>
      <c r="D1387" t="s">
        <v>33</v>
      </c>
      <c r="E1387">
        <v>29418</v>
      </c>
      <c r="F1387" t="s">
        <v>99</v>
      </c>
      <c r="G1387" t="s">
        <v>34</v>
      </c>
      <c r="H1387" t="s">
        <v>16</v>
      </c>
      <c r="I1387">
        <v>0</v>
      </c>
      <c r="J1387">
        <v>0</v>
      </c>
      <c r="K1387">
        <v>0</v>
      </c>
    </row>
    <row r="1388" spans="1:11" x14ac:dyDescent="0.25">
      <c r="A1388" t="s">
        <v>1428</v>
      </c>
      <c r="B1388" s="1">
        <v>45931.695613425924</v>
      </c>
      <c r="C1388" s="2" t="s">
        <v>29</v>
      </c>
      <c r="D1388" t="s">
        <v>13</v>
      </c>
      <c r="E1388">
        <v>229500</v>
      </c>
      <c r="F1388" t="s">
        <v>14</v>
      </c>
      <c r="G1388" t="s">
        <v>24</v>
      </c>
      <c r="H1388" t="s">
        <v>16</v>
      </c>
      <c r="I1388">
        <v>4245.75</v>
      </c>
      <c r="J1388">
        <v>1698.3</v>
      </c>
      <c r="K1388">
        <v>2547.4499999999998</v>
      </c>
    </row>
    <row r="1389" spans="1:11" x14ac:dyDescent="0.25">
      <c r="A1389" t="s">
        <v>1429</v>
      </c>
      <c r="B1389" s="1">
        <v>45850.511817129627</v>
      </c>
      <c r="C1389" s="2" t="s">
        <v>22</v>
      </c>
      <c r="D1389" t="s">
        <v>13</v>
      </c>
      <c r="E1389">
        <v>247500</v>
      </c>
      <c r="F1389" t="s">
        <v>14</v>
      </c>
      <c r="G1389" t="s">
        <v>20</v>
      </c>
      <c r="H1389" t="s">
        <v>16</v>
      </c>
      <c r="I1389">
        <v>4578.75</v>
      </c>
      <c r="J1389">
        <v>1831.5</v>
      </c>
      <c r="K1389">
        <v>2747.25</v>
      </c>
    </row>
    <row r="1390" spans="1:11" x14ac:dyDescent="0.25">
      <c r="A1390" t="s">
        <v>1430</v>
      </c>
      <c r="B1390" s="1">
        <v>46104.006967592592</v>
      </c>
      <c r="C1390" s="2" t="s">
        <v>32</v>
      </c>
      <c r="D1390" t="s">
        <v>33</v>
      </c>
      <c r="E1390">
        <v>99647</v>
      </c>
      <c r="F1390" t="s">
        <v>50</v>
      </c>
      <c r="G1390" t="s">
        <v>51</v>
      </c>
      <c r="H1390" t="s">
        <v>16</v>
      </c>
      <c r="I1390">
        <v>0</v>
      </c>
      <c r="J1390">
        <v>0</v>
      </c>
      <c r="K1390">
        <v>0</v>
      </c>
    </row>
    <row r="1391" spans="1:11" x14ac:dyDescent="0.25">
      <c r="A1391" t="s">
        <v>1431</v>
      </c>
      <c r="B1391" s="1">
        <v>45894.234375</v>
      </c>
      <c r="C1391" s="2" t="s">
        <v>18</v>
      </c>
      <c r="D1391" t="s">
        <v>33</v>
      </c>
      <c r="E1391">
        <v>88730</v>
      </c>
      <c r="F1391" t="s">
        <v>14</v>
      </c>
      <c r="G1391" t="s">
        <v>58</v>
      </c>
      <c r="H1391" t="s">
        <v>16</v>
      </c>
      <c r="I1391">
        <v>0</v>
      </c>
      <c r="J1391">
        <v>0</v>
      </c>
      <c r="K1391">
        <v>0</v>
      </c>
    </row>
    <row r="1392" spans="1:11" x14ac:dyDescent="0.25">
      <c r="A1392" t="s">
        <v>1432</v>
      </c>
      <c r="B1392" s="1">
        <v>45824.659502314818</v>
      </c>
      <c r="C1392" s="2" t="s">
        <v>22</v>
      </c>
      <c r="D1392" t="s">
        <v>23</v>
      </c>
      <c r="E1392">
        <v>2578</v>
      </c>
      <c r="F1392" t="s">
        <v>14</v>
      </c>
      <c r="G1392" t="s">
        <v>30</v>
      </c>
      <c r="H1392" t="s">
        <v>16</v>
      </c>
      <c r="I1392">
        <v>0</v>
      </c>
      <c r="J1392">
        <v>0</v>
      </c>
      <c r="K1392">
        <v>0</v>
      </c>
    </row>
    <row r="1393" spans="1:11" x14ac:dyDescent="0.25">
      <c r="A1393" t="s">
        <v>1433</v>
      </c>
      <c r="B1393" s="1">
        <v>45888.843159722222</v>
      </c>
      <c r="C1393" s="2" t="s">
        <v>22</v>
      </c>
      <c r="D1393" t="s">
        <v>19</v>
      </c>
      <c r="E1393">
        <v>65962</v>
      </c>
      <c r="F1393" t="s">
        <v>50</v>
      </c>
      <c r="G1393" t="s">
        <v>34</v>
      </c>
      <c r="H1393" t="s">
        <v>16</v>
      </c>
      <c r="I1393">
        <v>5</v>
      </c>
      <c r="J1393">
        <v>0</v>
      </c>
      <c r="K1393">
        <v>5</v>
      </c>
    </row>
    <row r="1394" spans="1:11" x14ac:dyDescent="0.25">
      <c r="A1394" t="s">
        <v>1434</v>
      </c>
      <c r="B1394" s="1">
        <v>45905.209722222222</v>
      </c>
      <c r="C1394" s="2" t="s">
        <v>26</v>
      </c>
      <c r="D1394" t="s">
        <v>19</v>
      </c>
      <c r="E1394">
        <v>51275</v>
      </c>
      <c r="F1394" t="s">
        <v>50</v>
      </c>
      <c r="G1394" t="s">
        <v>58</v>
      </c>
      <c r="H1394" t="s">
        <v>16</v>
      </c>
      <c r="I1394">
        <v>5</v>
      </c>
      <c r="J1394">
        <v>0</v>
      </c>
      <c r="K1394">
        <v>5</v>
      </c>
    </row>
    <row r="1395" spans="1:11" x14ac:dyDescent="0.25">
      <c r="A1395" t="s">
        <v>1435</v>
      </c>
      <c r="B1395" s="1">
        <v>45861.917615740742</v>
      </c>
      <c r="C1395" s="2" t="s">
        <v>22</v>
      </c>
      <c r="D1395" t="s">
        <v>13</v>
      </c>
      <c r="E1395">
        <v>154500</v>
      </c>
      <c r="F1395" t="s">
        <v>14</v>
      </c>
      <c r="G1395" t="s">
        <v>27</v>
      </c>
      <c r="H1395" t="s">
        <v>16</v>
      </c>
      <c r="I1395">
        <v>2858.25</v>
      </c>
      <c r="J1395">
        <v>1143.3</v>
      </c>
      <c r="K1395">
        <v>1714.95</v>
      </c>
    </row>
    <row r="1396" spans="1:11" x14ac:dyDescent="0.25">
      <c r="A1396" t="s">
        <v>1436</v>
      </c>
      <c r="B1396" s="1">
        <v>45799.848564814813</v>
      </c>
      <c r="C1396" s="2" t="s">
        <v>39</v>
      </c>
      <c r="D1396" t="s">
        <v>13</v>
      </c>
      <c r="E1396">
        <v>74000</v>
      </c>
      <c r="F1396" t="s">
        <v>50</v>
      </c>
      <c r="G1396" t="s">
        <v>15</v>
      </c>
      <c r="H1396" t="s">
        <v>16</v>
      </c>
      <c r="I1396">
        <v>1369</v>
      </c>
      <c r="J1396">
        <v>547.6</v>
      </c>
      <c r="K1396">
        <v>821.4</v>
      </c>
    </row>
    <row r="1397" spans="1:11" x14ac:dyDescent="0.25">
      <c r="A1397" t="s">
        <v>1437</v>
      </c>
      <c r="B1397" s="1">
        <v>45983.597627314812</v>
      </c>
      <c r="C1397" s="2" t="s">
        <v>39</v>
      </c>
      <c r="D1397" t="s">
        <v>13</v>
      </c>
      <c r="E1397">
        <v>62500</v>
      </c>
      <c r="F1397" t="s">
        <v>14</v>
      </c>
      <c r="G1397" t="s">
        <v>84</v>
      </c>
      <c r="H1397" t="s">
        <v>16</v>
      </c>
      <c r="I1397">
        <v>1156.25</v>
      </c>
      <c r="J1397">
        <v>462.5</v>
      </c>
      <c r="K1397">
        <v>693.75</v>
      </c>
    </row>
    <row r="1398" spans="1:11" x14ac:dyDescent="0.25">
      <c r="A1398" t="s">
        <v>1438</v>
      </c>
      <c r="B1398" s="1">
        <v>45884.873761574076</v>
      </c>
      <c r="C1398" s="2" t="s">
        <v>18</v>
      </c>
      <c r="D1398" t="s">
        <v>23</v>
      </c>
      <c r="E1398">
        <v>2968</v>
      </c>
      <c r="F1398" t="s">
        <v>50</v>
      </c>
      <c r="G1398" t="s">
        <v>51</v>
      </c>
      <c r="H1398" t="s">
        <v>16</v>
      </c>
      <c r="I1398">
        <v>0</v>
      </c>
      <c r="J1398">
        <v>0</v>
      </c>
      <c r="K1398">
        <v>0</v>
      </c>
    </row>
    <row r="1399" spans="1:11" x14ac:dyDescent="0.25">
      <c r="A1399" t="s">
        <v>1439</v>
      </c>
      <c r="B1399" s="1">
        <v>45808.78974537037</v>
      </c>
      <c r="C1399" s="2" t="s">
        <v>12</v>
      </c>
      <c r="D1399" t="s">
        <v>19</v>
      </c>
      <c r="E1399">
        <v>149229</v>
      </c>
      <c r="F1399" t="s">
        <v>14</v>
      </c>
      <c r="G1399" t="s">
        <v>58</v>
      </c>
      <c r="H1399" t="s">
        <v>16</v>
      </c>
      <c r="I1399">
        <v>5</v>
      </c>
      <c r="J1399">
        <v>0</v>
      </c>
      <c r="K1399">
        <v>5</v>
      </c>
    </row>
    <row r="1400" spans="1:11" x14ac:dyDescent="0.25">
      <c r="A1400" t="s">
        <v>1440</v>
      </c>
      <c r="B1400" s="1">
        <v>46067.386122685188</v>
      </c>
      <c r="C1400" s="2" t="s">
        <v>41</v>
      </c>
      <c r="D1400" t="s">
        <v>13</v>
      </c>
      <c r="E1400">
        <v>135500</v>
      </c>
      <c r="F1400" t="s">
        <v>50</v>
      </c>
      <c r="G1400" t="s">
        <v>27</v>
      </c>
      <c r="H1400" t="s">
        <v>16</v>
      </c>
      <c r="I1400">
        <v>2506.75</v>
      </c>
      <c r="J1400">
        <v>1002.7</v>
      </c>
      <c r="K1400">
        <v>1504.05</v>
      </c>
    </row>
    <row r="1401" spans="1:11" x14ac:dyDescent="0.25">
      <c r="A1401" t="s">
        <v>1441</v>
      </c>
      <c r="B1401" s="1">
        <v>45892.322858796295</v>
      </c>
      <c r="C1401" s="2" t="s">
        <v>26</v>
      </c>
      <c r="D1401" t="s">
        <v>33</v>
      </c>
      <c r="E1401">
        <v>83668</v>
      </c>
      <c r="F1401" t="s">
        <v>14</v>
      </c>
      <c r="G1401" t="s">
        <v>34</v>
      </c>
      <c r="H1401" t="s">
        <v>16</v>
      </c>
      <c r="I1401">
        <v>0</v>
      </c>
      <c r="J1401">
        <v>0</v>
      </c>
      <c r="K1401">
        <v>0</v>
      </c>
    </row>
    <row r="1402" spans="1:11" x14ac:dyDescent="0.25">
      <c r="A1402" t="s">
        <v>1442</v>
      </c>
      <c r="B1402" s="1">
        <v>45815.968530092592</v>
      </c>
      <c r="C1402" s="2" t="s">
        <v>26</v>
      </c>
      <c r="D1402" t="s">
        <v>45</v>
      </c>
      <c r="E1402">
        <v>3294</v>
      </c>
      <c r="F1402" t="s">
        <v>14</v>
      </c>
      <c r="G1402" t="s">
        <v>24</v>
      </c>
      <c r="H1402" t="s">
        <v>178</v>
      </c>
      <c r="I1402">
        <v>32.94</v>
      </c>
      <c r="J1402">
        <v>0</v>
      </c>
      <c r="K1402">
        <v>32.94</v>
      </c>
    </row>
    <row r="1403" spans="1:11" x14ac:dyDescent="0.25">
      <c r="A1403" t="s">
        <v>1443</v>
      </c>
      <c r="B1403" s="1">
        <v>45932.338564814818</v>
      </c>
      <c r="C1403" s="2" t="s">
        <v>12</v>
      </c>
      <c r="D1403" t="s">
        <v>19</v>
      </c>
      <c r="E1403">
        <v>77117</v>
      </c>
      <c r="F1403" t="s">
        <v>14</v>
      </c>
      <c r="G1403" t="s">
        <v>51</v>
      </c>
      <c r="H1403" t="s">
        <v>16</v>
      </c>
      <c r="I1403">
        <v>5</v>
      </c>
      <c r="J1403">
        <v>0</v>
      </c>
      <c r="K1403">
        <v>5</v>
      </c>
    </row>
    <row r="1404" spans="1:11" x14ac:dyDescent="0.25">
      <c r="A1404" t="s">
        <v>1444</v>
      </c>
      <c r="B1404" s="1">
        <v>45854.965428240743</v>
      </c>
      <c r="C1404" s="2" t="s">
        <v>18</v>
      </c>
      <c r="D1404" t="s">
        <v>23</v>
      </c>
      <c r="E1404">
        <v>3046</v>
      </c>
      <c r="F1404" t="s">
        <v>14</v>
      </c>
      <c r="G1404" t="s">
        <v>20</v>
      </c>
      <c r="H1404" t="s">
        <v>16</v>
      </c>
      <c r="I1404">
        <v>0</v>
      </c>
      <c r="J1404">
        <v>0</v>
      </c>
      <c r="K1404">
        <v>0</v>
      </c>
    </row>
    <row r="1405" spans="1:11" x14ac:dyDescent="0.25">
      <c r="A1405" t="s">
        <v>1445</v>
      </c>
      <c r="B1405" s="1">
        <v>45877.218761574077</v>
      </c>
      <c r="C1405" s="2" t="s">
        <v>29</v>
      </c>
      <c r="D1405" t="s">
        <v>13</v>
      </c>
      <c r="E1405">
        <v>170500</v>
      </c>
      <c r="F1405" t="s">
        <v>14</v>
      </c>
      <c r="G1405" t="s">
        <v>58</v>
      </c>
      <c r="H1405" t="s">
        <v>16</v>
      </c>
      <c r="I1405">
        <v>3154.25</v>
      </c>
      <c r="J1405">
        <v>1261.7</v>
      </c>
      <c r="K1405">
        <v>1892.55</v>
      </c>
    </row>
    <row r="1406" spans="1:11" x14ac:dyDescent="0.25">
      <c r="A1406" t="s">
        <v>1446</v>
      </c>
      <c r="B1406" s="1">
        <v>45907.277048611111</v>
      </c>
      <c r="C1406" s="2" t="s">
        <v>32</v>
      </c>
      <c r="D1406" t="s">
        <v>33</v>
      </c>
      <c r="E1406">
        <v>74333</v>
      </c>
      <c r="F1406" t="s">
        <v>14</v>
      </c>
      <c r="G1406" t="s">
        <v>20</v>
      </c>
      <c r="H1406" t="s">
        <v>16</v>
      </c>
      <c r="I1406">
        <v>0</v>
      </c>
      <c r="J1406">
        <v>0</v>
      </c>
      <c r="K1406">
        <v>0</v>
      </c>
    </row>
    <row r="1407" spans="1:11" x14ac:dyDescent="0.25">
      <c r="A1407" t="s">
        <v>1447</v>
      </c>
      <c r="B1407" s="1">
        <v>45859.894548611112</v>
      </c>
      <c r="C1407" s="2" t="s">
        <v>18</v>
      </c>
      <c r="D1407" t="s">
        <v>13</v>
      </c>
      <c r="E1407">
        <v>162500</v>
      </c>
      <c r="F1407" t="s">
        <v>14</v>
      </c>
      <c r="G1407" t="s">
        <v>51</v>
      </c>
      <c r="H1407" t="s">
        <v>16</v>
      </c>
      <c r="I1407">
        <v>3006.25</v>
      </c>
      <c r="J1407">
        <v>1202.5</v>
      </c>
      <c r="K1407">
        <v>1803.75</v>
      </c>
    </row>
    <row r="1408" spans="1:11" x14ac:dyDescent="0.25">
      <c r="A1408" t="s">
        <v>1448</v>
      </c>
      <c r="B1408" s="1">
        <v>46115.094085648147</v>
      </c>
      <c r="C1408" s="2" t="s">
        <v>26</v>
      </c>
      <c r="D1408" t="s">
        <v>13</v>
      </c>
      <c r="E1408">
        <v>17000</v>
      </c>
      <c r="F1408" t="s">
        <v>14</v>
      </c>
      <c r="G1408" t="s">
        <v>34</v>
      </c>
      <c r="H1408" t="s">
        <v>16</v>
      </c>
      <c r="I1408">
        <v>314.5</v>
      </c>
      <c r="J1408">
        <v>125.8</v>
      </c>
      <c r="K1408">
        <v>188.7</v>
      </c>
    </row>
    <row r="1409" spans="1:11" x14ac:dyDescent="0.25">
      <c r="A1409" t="s">
        <v>1449</v>
      </c>
      <c r="B1409" s="1">
        <v>45980.804178240738</v>
      </c>
      <c r="C1409" s="2" t="s">
        <v>26</v>
      </c>
      <c r="D1409" t="s">
        <v>23</v>
      </c>
      <c r="E1409">
        <v>4433</v>
      </c>
      <c r="F1409" t="s">
        <v>14</v>
      </c>
      <c r="G1409" t="s">
        <v>51</v>
      </c>
      <c r="H1409" t="s">
        <v>16</v>
      </c>
      <c r="I1409">
        <v>0</v>
      </c>
      <c r="J1409">
        <v>0</v>
      </c>
      <c r="K1409">
        <v>0</v>
      </c>
    </row>
    <row r="1410" spans="1:11" x14ac:dyDescent="0.25">
      <c r="A1410" t="s">
        <v>1450</v>
      </c>
      <c r="B1410" s="1">
        <v>46043.152349537035</v>
      </c>
      <c r="C1410" s="2" t="s">
        <v>22</v>
      </c>
      <c r="D1410" t="s">
        <v>19</v>
      </c>
      <c r="E1410">
        <v>95129</v>
      </c>
      <c r="F1410" t="s">
        <v>14</v>
      </c>
      <c r="G1410" t="s">
        <v>24</v>
      </c>
      <c r="H1410" t="s">
        <v>16</v>
      </c>
      <c r="I1410">
        <v>5</v>
      </c>
      <c r="J1410">
        <v>0</v>
      </c>
      <c r="K1410">
        <v>5</v>
      </c>
    </row>
    <row r="1411" spans="1:11" x14ac:dyDescent="0.25">
      <c r="A1411" t="s">
        <v>1451</v>
      </c>
      <c r="B1411" s="1">
        <v>45866.141956018517</v>
      </c>
      <c r="C1411" s="2" t="s">
        <v>41</v>
      </c>
      <c r="D1411" t="s">
        <v>33</v>
      </c>
      <c r="E1411">
        <v>100909</v>
      </c>
      <c r="F1411" t="s">
        <v>14</v>
      </c>
      <c r="G1411" t="s">
        <v>27</v>
      </c>
      <c r="H1411" t="s">
        <v>16</v>
      </c>
      <c r="I1411">
        <v>0</v>
      </c>
      <c r="J1411">
        <v>0</v>
      </c>
      <c r="K1411">
        <v>0</v>
      </c>
    </row>
    <row r="1412" spans="1:11" x14ac:dyDescent="0.25">
      <c r="A1412" t="s">
        <v>1452</v>
      </c>
      <c r="B1412" s="1">
        <v>45820.535428240742</v>
      </c>
      <c r="C1412" s="2" t="s">
        <v>32</v>
      </c>
      <c r="D1412" t="s">
        <v>23</v>
      </c>
      <c r="E1412">
        <v>4473</v>
      </c>
      <c r="F1412" t="s">
        <v>14</v>
      </c>
      <c r="G1412" t="s">
        <v>30</v>
      </c>
      <c r="H1412" t="s">
        <v>16</v>
      </c>
      <c r="I1412">
        <v>0</v>
      </c>
      <c r="J1412">
        <v>0</v>
      </c>
      <c r="K1412">
        <v>0</v>
      </c>
    </row>
    <row r="1413" spans="1:11" x14ac:dyDescent="0.25">
      <c r="A1413" t="s">
        <v>1453</v>
      </c>
      <c r="B1413" s="1">
        <v>46069.621412037035</v>
      </c>
      <c r="C1413" s="2" t="s">
        <v>22</v>
      </c>
      <c r="D1413" t="s">
        <v>19</v>
      </c>
      <c r="E1413">
        <v>139375</v>
      </c>
      <c r="F1413" t="s">
        <v>14</v>
      </c>
      <c r="G1413" t="s">
        <v>24</v>
      </c>
      <c r="H1413" t="s">
        <v>16</v>
      </c>
      <c r="I1413">
        <v>5</v>
      </c>
      <c r="J1413">
        <v>0</v>
      </c>
      <c r="K1413">
        <v>5</v>
      </c>
    </row>
    <row r="1414" spans="1:11" x14ac:dyDescent="0.25">
      <c r="A1414" t="s">
        <v>1454</v>
      </c>
      <c r="B1414" s="1">
        <v>45932.764548611114</v>
      </c>
      <c r="C1414" s="2" t="s">
        <v>32</v>
      </c>
      <c r="D1414" t="s">
        <v>33</v>
      </c>
      <c r="E1414">
        <v>46935</v>
      </c>
      <c r="F1414" t="s">
        <v>14</v>
      </c>
      <c r="G1414" t="s">
        <v>58</v>
      </c>
      <c r="H1414" t="s">
        <v>16</v>
      </c>
      <c r="I1414">
        <v>0</v>
      </c>
      <c r="J1414">
        <v>0</v>
      </c>
      <c r="K1414">
        <v>0</v>
      </c>
    </row>
    <row r="1415" spans="1:11" x14ac:dyDescent="0.25">
      <c r="A1415" t="s">
        <v>1455</v>
      </c>
      <c r="B1415" s="1">
        <v>46105.757916666669</v>
      </c>
      <c r="C1415" s="2" t="s">
        <v>29</v>
      </c>
      <c r="D1415" t="s">
        <v>23</v>
      </c>
      <c r="E1415">
        <v>2316</v>
      </c>
      <c r="F1415" t="s">
        <v>14</v>
      </c>
      <c r="G1415" t="s">
        <v>84</v>
      </c>
      <c r="H1415" t="s">
        <v>16</v>
      </c>
      <c r="I1415">
        <v>0</v>
      </c>
      <c r="J1415">
        <v>0</v>
      </c>
      <c r="K1415">
        <v>0</v>
      </c>
    </row>
    <row r="1416" spans="1:11" x14ac:dyDescent="0.25">
      <c r="A1416" t="s">
        <v>1456</v>
      </c>
      <c r="B1416" s="1">
        <v>46120.176053240742</v>
      </c>
      <c r="C1416" s="2" t="s">
        <v>22</v>
      </c>
      <c r="D1416" t="s">
        <v>19</v>
      </c>
      <c r="E1416">
        <v>48438</v>
      </c>
      <c r="F1416" t="s">
        <v>14</v>
      </c>
      <c r="G1416" t="s">
        <v>30</v>
      </c>
      <c r="H1416" t="s">
        <v>16</v>
      </c>
      <c r="I1416">
        <v>5</v>
      </c>
      <c r="J1416">
        <v>0</v>
      </c>
      <c r="K1416">
        <v>5</v>
      </c>
    </row>
    <row r="1417" spans="1:11" x14ac:dyDescent="0.25">
      <c r="A1417" t="s">
        <v>1457</v>
      </c>
      <c r="B1417" s="1">
        <v>46059.431956018518</v>
      </c>
      <c r="C1417" s="2" t="s">
        <v>29</v>
      </c>
      <c r="D1417" t="s">
        <v>33</v>
      </c>
      <c r="E1417">
        <v>111541</v>
      </c>
      <c r="F1417" t="s">
        <v>14</v>
      </c>
      <c r="G1417" t="s">
        <v>24</v>
      </c>
      <c r="H1417" t="s">
        <v>16</v>
      </c>
      <c r="I1417">
        <v>0</v>
      </c>
      <c r="J1417">
        <v>0</v>
      </c>
      <c r="K1417">
        <v>0</v>
      </c>
    </row>
    <row r="1418" spans="1:11" x14ac:dyDescent="0.25">
      <c r="A1418" t="s">
        <v>1458</v>
      </c>
      <c r="B1418" s="1">
        <v>45894.040324074071</v>
      </c>
      <c r="C1418" s="2" t="s">
        <v>18</v>
      </c>
      <c r="D1418" t="s">
        <v>19</v>
      </c>
      <c r="E1418">
        <v>124217</v>
      </c>
      <c r="F1418" t="s">
        <v>14</v>
      </c>
      <c r="G1418" t="s">
        <v>84</v>
      </c>
      <c r="H1418" t="s">
        <v>16</v>
      </c>
      <c r="I1418">
        <v>5</v>
      </c>
      <c r="J1418">
        <v>0</v>
      </c>
      <c r="K1418">
        <v>5</v>
      </c>
    </row>
    <row r="1419" spans="1:11" x14ac:dyDescent="0.25">
      <c r="A1419" t="s">
        <v>1459</v>
      </c>
      <c r="B1419" s="1">
        <v>45915.295995370368</v>
      </c>
      <c r="C1419" s="2" t="s">
        <v>39</v>
      </c>
      <c r="D1419" t="s">
        <v>45</v>
      </c>
      <c r="E1419">
        <v>45824</v>
      </c>
      <c r="F1419" t="s">
        <v>14</v>
      </c>
      <c r="G1419" t="s">
        <v>27</v>
      </c>
      <c r="H1419" t="s">
        <v>178</v>
      </c>
      <c r="I1419">
        <v>458.24</v>
      </c>
      <c r="J1419">
        <v>0</v>
      </c>
      <c r="K1419">
        <v>458.24</v>
      </c>
    </row>
    <row r="1420" spans="1:11" x14ac:dyDescent="0.25">
      <c r="A1420" t="s">
        <v>1460</v>
      </c>
      <c r="B1420" s="1">
        <v>46087.523194444446</v>
      </c>
      <c r="C1420" s="2" t="s">
        <v>26</v>
      </c>
      <c r="D1420" t="s">
        <v>45</v>
      </c>
      <c r="E1420">
        <v>106427</v>
      </c>
      <c r="F1420" t="s">
        <v>14</v>
      </c>
      <c r="G1420" t="s">
        <v>34</v>
      </c>
      <c r="H1420" t="s">
        <v>71</v>
      </c>
      <c r="I1420">
        <v>1064.27</v>
      </c>
      <c r="J1420">
        <v>0</v>
      </c>
      <c r="K1420">
        <v>1064.27</v>
      </c>
    </row>
    <row r="1421" spans="1:11" x14ac:dyDescent="0.25">
      <c r="A1421" t="s">
        <v>1461</v>
      </c>
      <c r="B1421" s="1">
        <v>46141.708287037036</v>
      </c>
      <c r="C1421" s="2" t="s">
        <v>26</v>
      </c>
      <c r="D1421" t="s">
        <v>13</v>
      </c>
      <c r="E1421">
        <v>166500</v>
      </c>
      <c r="F1421" t="s">
        <v>50</v>
      </c>
      <c r="G1421" t="s">
        <v>34</v>
      </c>
      <c r="H1421" t="s">
        <v>16</v>
      </c>
      <c r="I1421">
        <v>3080.25</v>
      </c>
      <c r="J1421">
        <v>1232.0999999999999</v>
      </c>
      <c r="K1421">
        <v>1848.15</v>
      </c>
    </row>
    <row r="1422" spans="1:11" x14ac:dyDescent="0.25">
      <c r="A1422" t="s">
        <v>1462</v>
      </c>
      <c r="B1422" s="1">
        <v>46136.713738425926</v>
      </c>
      <c r="C1422" s="2" t="s">
        <v>22</v>
      </c>
      <c r="D1422" t="s">
        <v>33</v>
      </c>
      <c r="E1422">
        <v>47226</v>
      </c>
      <c r="F1422" t="s">
        <v>14</v>
      </c>
      <c r="G1422" t="s">
        <v>34</v>
      </c>
      <c r="H1422" t="s">
        <v>16</v>
      </c>
      <c r="I1422">
        <v>0</v>
      </c>
      <c r="J1422">
        <v>0</v>
      </c>
      <c r="K1422">
        <v>0</v>
      </c>
    </row>
    <row r="1423" spans="1:11" x14ac:dyDescent="0.25">
      <c r="A1423" t="s">
        <v>1463</v>
      </c>
      <c r="B1423" s="1">
        <v>46083.570914351854</v>
      </c>
      <c r="C1423" s="2" t="s">
        <v>29</v>
      </c>
      <c r="D1423" t="s">
        <v>23</v>
      </c>
      <c r="E1423">
        <v>4921</v>
      </c>
      <c r="F1423" t="s">
        <v>14</v>
      </c>
      <c r="G1423" t="s">
        <v>84</v>
      </c>
      <c r="H1423" t="s">
        <v>16</v>
      </c>
      <c r="I1423">
        <v>0</v>
      </c>
      <c r="J1423">
        <v>0</v>
      </c>
      <c r="K1423">
        <v>0</v>
      </c>
    </row>
    <row r="1424" spans="1:11" x14ac:dyDescent="0.25">
      <c r="A1424" t="s">
        <v>1464</v>
      </c>
      <c r="B1424" s="1">
        <v>45941.669710648152</v>
      </c>
      <c r="C1424" s="2" t="s">
        <v>32</v>
      </c>
      <c r="D1424" t="s">
        <v>45</v>
      </c>
      <c r="E1424">
        <v>104479</v>
      </c>
      <c r="F1424" t="s">
        <v>14</v>
      </c>
      <c r="G1424" t="s">
        <v>20</v>
      </c>
      <c r="H1424" t="s">
        <v>178</v>
      </c>
      <c r="I1424">
        <v>1044.79</v>
      </c>
      <c r="J1424">
        <v>0</v>
      </c>
      <c r="K1424">
        <v>1044.79</v>
      </c>
    </row>
    <row r="1425" spans="1:11" x14ac:dyDescent="0.25">
      <c r="A1425" t="s">
        <v>1465</v>
      </c>
      <c r="B1425" s="1">
        <v>45799.058182870373</v>
      </c>
      <c r="C1425" s="2" t="s">
        <v>18</v>
      </c>
      <c r="D1425" t="s">
        <v>45</v>
      </c>
      <c r="E1425">
        <v>98308</v>
      </c>
      <c r="F1425" t="s">
        <v>14</v>
      </c>
      <c r="G1425" t="s">
        <v>34</v>
      </c>
      <c r="H1425" t="s">
        <v>178</v>
      </c>
      <c r="I1425">
        <v>983.08</v>
      </c>
      <c r="J1425">
        <v>0</v>
      </c>
      <c r="K1425">
        <v>983.08</v>
      </c>
    </row>
    <row r="1426" spans="1:11" x14ac:dyDescent="0.25">
      <c r="A1426" t="s">
        <v>1466</v>
      </c>
      <c r="B1426" s="1">
        <v>45786.661550925928</v>
      </c>
      <c r="C1426" s="2" t="s">
        <v>26</v>
      </c>
      <c r="D1426" t="s">
        <v>23</v>
      </c>
      <c r="E1426">
        <v>1131</v>
      </c>
      <c r="F1426" t="s">
        <v>14</v>
      </c>
      <c r="G1426" t="s">
        <v>84</v>
      </c>
      <c r="H1426" t="s">
        <v>16</v>
      </c>
      <c r="I1426">
        <v>0</v>
      </c>
      <c r="J1426">
        <v>0</v>
      </c>
      <c r="K1426">
        <v>0</v>
      </c>
    </row>
    <row r="1427" spans="1:11" x14ac:dyDescent="0.25">
      <c r="A1427" t="s">
        <v>1467</v>
      </c>
      <c r="B1427" s="1">
        <v>46008.761377314811</v>
      </c>
      <c r="C1427" s="2" t="s">
        <v>32</v>
      </c>
      <c r="D1427" t="s">
        <v>23</v>
      </c>
      <c r="E1427">
        <v>2428</v>
      </c>
      <c r="F1427" t="s">
        <v>14</v>
      </c>
      <c r="G1427" t="s">
        <v>20</v>
      </c>
      <c r="H1427" t="s">
        <v>16</v>
      </c>
      <c r="I1427">
        <v>0</v>
      </c>
      <c r="J1427">
        <v>0</v>
      </c>
      <c r="K1427">
        <v>0</v>
      </c>
    </row>
    <row r="1428" spans="1:11" x14ac:dyDescent="0.25">
      <c r="A1428" t="s">
        <v>1468</v>
      </c>
      <c r="B1428" s="1">
        <v>45893.474976851852</v>
      </c>
      <c r="C1428" s="2" t="s">
        <v>32</v>
      </c>
      <c r="D1428" t="s">
        <v>33</v>
      </c>
      <c r="E1428">
        <v>44462</v>
      </c>
      <c r="F1428" t="s">
        <v>14</v>
      </c>
      <c r="G1428" t="s">
        <v>20</v>
      </c>
      <c r="H1428" t="s">
        <v>16</v>
      </c>
      <c r="I1428">
        <v>0</v>
      </c>
      <c r="J1428">
        <v>0</v>
      </c>
      <c r="K1428">
        <v>0</v>
      </c>
    </row>
    <row r="1429" spans="1:11" x14ac:dyDescent="0.25">
      <c r="A1429" t="s">
        <v>1469</v>
      </c>
      <c r="B1429" s="1">
        <v>46063.390613425923</v>
      </c>
      <c r="C1429" s="2" t="s">
        <v>32</v>
      </c>
      <c r="D1429" t="s">
        <v>19</v>
      </c>
      <c r="E1429">
        <v>100591</v>
      </c>
      <c r="F1429" t="s">
        <v>14</v>
      </c>
      <c r="G1429" t="s">
        <v>27</v>
      </c>
      <c r="H1429" t="s">
        <v>16</v>
      </c>
      <c r="I1429">
        <v>5</v>
      </c>
      <c r="J1429">
        <v>0</v>
      </c>
      <c r="K1429">
        <v>5</v>
      </c>
    </row>
    <row r="1430" spans="1:11" x14ac:dyDescent="0.25">
      <c r="A1430" t="s">
        <v>1470</v>
      </c>
      <c r="B1430" s="1">
        <v>46141.016030092593</v>
      </c>
      <c r="C1430" s="2" t="s">
        <v>32</v>
      </c>
      <c r="D1430" t="s">
        <v>33</v>
      </c>
      <c r="E1430">
        <v>62288</v>
      </c>
      <c r="F1430" t="s">
        <v>14</v>
      </c>
      <c r="G1430" t="s">
        <v>30</v>
      </c>
      <c r="H1430" t="s">
        <v>16</v>
      </c>
      <c r="I1430">
        <v>0</v>
      </c>
      <c r="J1430">
        <v>0</v>
      </c>
      <c r="K1430">
        <v>0</v>
      </c>
    </row>
    <row r="1431" spans="1:11" x14ac:dyDescent="0.25">
      <c r="A1431" t="s">
        <v>1471</v>
      </c>
      <c r="B1431" s="1">
        <v>45902.224479166667</v>
      </c>
      <c r="C1431" s="2" t="s">
        <v>29</v>
      </c>
      <c r="D1431" t="s">
        <v>45</v>
      </c>
      <c r="E1431">
        <v>106635</v>
      </c>
      <c r="F1431" t="s">
        <v>14</v>
      </c>
      <c r="G1431" t="s">
        <v>24</v>
      </c>
      <c r="H1431" t="s">
        <v>56</v>
      </c>
      <c r="I1431">
        <v>1066.3499999999999</v>
      </c>
      <c r="J1431">
        <v>0</v>
      </c>
      <c r="K1431">
        <v>1066.3499999999999</v>
      </c>
    </row>
    <row r="1432" spans="1:11" x14ac:dyDescent="0.25">
      <c r="A1432" t="s">
        <v>1472</v>
      </c>
      <c r="B1432" s="1">
        <v>46137.384050925924</v>
      </c>
      <c r="C1432" s="2" t="s">
        <v>32</v>
      </c>
      <c r="D1432" t="s">
        <v>19</v>
      </c>
      <c r="E1432">
        <v>71844</v>
      </c>
      <c r="F1432" t="s">
        <v>14</v>
      </c>
      <c r="G1432" t="s">
        <v>24</v>
      </c>
      <c r="H1432" t="s">
        <v>16</v>
      </c>
      <c r="I1432">
        <v>5</v>
      </c>
      <c r="J1432">
        <v>0</v>
      </c>
      <c r="K1432">
        <v>5</v>
      </c>
    </row>
    <row r="1433" spans="1:11" x14ac:dyDescent="0.25">
      <c r="A1433" t="s">
        <v>1473</v>
      </c>
      <c r="B1433" s="1">
        <v>45826.066261574073</v>
      </c>
      <c r="C1433" s="2" t="s">
        <v>41</v>
      </c>
      <c r="D1433" t="s">
        <v>19</v>
      </c>
      <c r="E1433">
        <v>115309</v>
      </c>
      <c r="F1433" t="s">
        <v>14</v>
      </c>
      <c r="G1433" t="s">
        <v>51</v>
      </c>
      <c r="H1433" t="s">
        <v>16</v>
      </c>
      <c r="I1433">
        <v>5</v>
      </c>
      <c r="J1433">
        <v>0</v>
      </c>
      <c r="K1433">
        <v>5</v>
      </c>
    </row>
    <row r="1434" spans="1:11" x14ac:dyDescent="0.25">
      <c r="A1434" t="s">
        <v>1474</v>
      </c>
      <c r="B1434" s="1">
        <v>45913.926018518519</v>
      </c>
      <c r="C1434" s="2" t="s">
        <v>26</v>
      </c>
      <c r="D1434" t="s">
        <v>23</v>
      </c>
      <c r="E1434">
        <v>1474</v>
      </c>
      <c r="F1434" t="s">
        <v>99</v>
      </c>
      <c r="G1434" t="s">
        <v>58</v>
      </c>
      <c r="H1434" t="s">
        <v>16</v>
      </c>
      <c r="I1434">
        <v>0</v>
      </c>
      <c r="J1434">
        <v>0</v>
      </c>
      <c r="K1434">
        <v>0</v>
      </c>
    </row>
    <row r="1435" spans="1:11" x14ac:dyDescent="0.25">
      <c r="A1435" t="s">
        <v>1475</v>
      </c>
      <c r="B1435" s="1">
        <v>45953.394131944442</v>
      </c>
      <c r="C1435" s="2" t="s">
        <v>18</v>
      </c>
      <c r="D1435" t="s">
        <v>19</v>
      </c>
      <c r="E1435">
        <v>39903</v>
      </c>
      <c r="F1435" t="s">
        <v>50</v>
      </c>
      <c r="G1435" t="s">
        <v>34</v>
      </c>
      <c r="H1435" t="s">
        <v>16</v>
      </c>
      <c r="I1435">
        <v>5</v>
      </c>
      <c r="J1435">
        <v>0</v>
      </c>
      <c r="K1435">
        <v>5</v>
      </c>
    </row>
    <row r="1436" spans="1:11" x14ac:dyDescent="0.25">
      <c r="A1436" t="s">
        <v>1476</v>
      </c>
      <c r="B1436" s="1">
        <v>45793.109583333331</v>
      </c>
      <c r="C1436" s="2" t="s">
        <v>26</v>
      </c>
      <c r="D1436" t="s">
        <v>45</v>
      </c>
      <c r="E1436">
        <v>126765</v>
      </c>
      <c r="F1436" t="s">
        <v>99</v>
      </c>
      <c r="G1436" t="s">
        <v>58</v>
      </c>
      <c r="H1436" t="s">
        <v>46</v>
      </c>
      <c r="I1436">
        <v>1267.6500000000001</v>
      </c>
      <c r="J1436">
        <v>0</v>
      </c>
      <c r="K1436">
        <v>1267.6500000000001</v>
      </c>
    </row>
    <row r="1437" spans="1:11" x14ac:dyDescent="0.25">
      <c r="A1437" t="s">
        <v>1477</v>
      </c>
      <c r="B1437" s="1">
        <v>45781.34983796296</v>
      </c>
      <c r="C1437" s="2" t="s">
        <v>22</v>
      </c>
      <c r="D1437" t="s">
        <v>33</v>
      </c>
      <c r="E1437">
        <v>84527</v>
      </c>
      <c r="F1437" t="s">
        <v>50</v>
      </c>
      <c r="G1437" t="s">
        <v>15</v>
      </c>
      <c r="H1437" t="s">
        <v>16</v>
      </c>
      <c r="I1437">
        <v>0</v>
      </c>
      <c r="J1437">
        <v>0</v>
      </c>
      <c r="K1437">
        <v>0</v>
      </c>
    </row>
    <row r="1438" spans="1:11" x14ac:dyDescent="0.25">
      <c r="A1438" t="s">
        <v>1478</v>
      </c>
      <c r="B1438" s="1">
        <v>46075.471342592595</v>
      </c>
      <c r="C1438" s="2" t="s">
        <v>22</v>
      </c>
      <c r="D1438" t="s">
        <v>19</v>
      </c>
      <c r="E1438">
        <v>80162</v>
      </c>
      <c r="F1438" t="s">
        <v>14</v>
      </c>
      <c r="G1438" t="s">
        <v>34</v>
      </c>
      <c r="H1438" t="s">
        <v>16</v>
      </c>
      <c r="I1438">
        <v>5</v>
      </c>
      <c r="J1438">
        <v>0</v>
      </c>
      <c r="K1438">
        <v>5</v>
      </c>
    </row>
    <row r="1439" spans="1:11" x14ac:dyDescent="0.25">
      <c r="A1439" t="s">
        <v>1479</v>
      </c>
      <c r="B1439" s="1">
        <v>46034.696967592594</v>
      </c>
      <c r="C1439" s="2" t="s">
        <v>32</v>
      </c>
      <c r="D1439" t="s">
        <v>13</v>
      </c>
      <c r="E1439">
        <v>85000</v>
      </c>
      <c r="F1439" t="s">
        <v>14</v>
      </c>
      <c r="G1439" t="s">
        <v>58</v>
      </c>
      <c r="H1439" t="s">
        <v>16</v>
      </c>
      <c r="I1439">
        <v>1572.5</v>
      </c>
      <c r="J1439">
        <v>629</v>
      </c>
      <c r="K1439">
        <v>943.5</v>
      </c>
    </row>
    <row r="1440" spans="1:11" x14ac:dyDescent="0.25">
      <c r="A1440" t="s">
        <v>1480</v>
      </c>
      <c r="B1440" s="1">
        <v>45862.90184027778</v>
      </c>
      <c r="C1440" s="2" t="s">
        <v>22</v>
      </c>
      <c r="D1440" t="s">
        <v>33</v>
      </c>
      <c r="E1440">
        <v>100071</v>
      </c>
      <c r="F1440" t="s">
        <v>14</v>
      </c>
      <c r="G1440" t="s">
        <v>84</v>
      </c>
      <c r="H1440" t="s">
        <v>16</v>
      </c>
      <c r="I1440">
        <v>0</v>
      </c>
      <c r="J1440">
        <v>0</v>
      </c>
      <c r="K1440">
        <v>0</v>
      </c>
    </row>
    <row r="1441" spans="1:11" x14ac:dyDescent="0.25">
      <c r="A1441" t="s">
        <v>1481</v>
      </c>
      <c r="B1441" s="1">
        <v>46055.068032407406</v>
      </c>
      <c r="C1441" s="2" t="s">
        <v>29</v>
      </c>
      <c r="D1441" t="s">
        <v>23</v>
      </c>
      <c r="E1441">
        <v>1989</v>
      </c>
      <c r="F1441" t="s">
        <v>50</v>
      </c>
      <c r="G1441" t="s">
        <v>30</v>
      </c>
      <c r="H1441" t="s">
        <v>16</v>
      </c>
      <c r="I1441">
        <v>0</v>
      </c>
      <c r="J1441">
        <v>0</v>
      </c>
      <c r="K1441">
        <v>0</v>
      </c>
    </row>
    <row r="1442" spans="1:11" x14ac:dyDescent="0.25">
      <c r="A1442" t="s">
        <v>1482</v>
      </c>
      <c r="B1442" s="1">
        <v>45876.491493055553</v>
      </c>
      <c r="C1442" s="2" t="s">
        <v>18</v>
      </c>
      <c r="D1442" t="s">
        <v>13</v>
      </c>
      <c r="E1442">
        <v>123500</v>
      </c>
      <c r="F1442" t="s">
        <v>14</v>
      </c>
      <c r="G1442" t="s">
        <v>27</v>
      </c>
      <c r="H1442" t="s">
        <v>16</v>
      </c>
      <c r="I1442">
        <v>2284.75</v>
      </c>
      <c r="J1442">
        <v>913.9</v>
      </c>
      <c r="K1442">
        <v>1370.85</v>
      </c>
    </row>
    <row r="1443" spans="1:11" x14ac:dyDescent="0.25">
      <c r="A1443" t="s">
        <v>1483</v>
      </c>
      <c r="B1443" s="1">
        <v>46038.301215277781</v>
      </c>
      <c r="C1443" s="2" t="s">
        <v>32</v>
      </c>
      <c r="D1443" t="s">
        <v>45</v>
      </c>
      <c r="E1443">
        <v>107648</v>
      </c>
      <c r="F1443" t="s">
        <v>14</v>
      </c>
      <c r="G1443" t="s">
        <v>20</v>
      </c>
      <c r="H1443" t="s">
        <v>56</v>
      </c>
      <c r="I1443">
        <v>1076.48</v>
      </c>
      <c r="J1443">
        <v>0</v>
      </c>
      <c r="K1443">
        <v>1076.48</v>
      </c>
    </row>
    <row r="1444" spans="1:11" x14ac:dyDescent="0.25">
      <c r="A1444" t="s">
        <v>1484</v>
      </c>
      <c r="B1444" s="1">
        <v>45791.510613425926</v>
      </c>
      <c r="C1444" s="2" t="s">
        <v>18</v>
      </c>
      <c r="D1444" t="s">
        <v>45</v>
      </c>
      <c r="E1444">
        <v>123137</v>
      </c>
      <c r="F1444" t="s">
        <v>14</v>
      </c>
      <c r="G1444" t="s">
        <v>27</v>
      </c>
      <c r="H1444" t="s">
        <v>71</v>
      </c>
      <c r="I1444">
        <v>1231.3699999999999</v>
      </c>
      <c r="J1444">
        <v>0</v>
      </c>
      <c r="K1444">
        <v>1231.3699999999999</v>
      </c>
    </row>
    <row r="1445" spans="1:11" x14ac:dyDescent="0.25">
      <c r="A1445" t="s">
        <v>1485</v>
      </c>
      <c r="B1445" s="1">
        <v>46137.304907407408</v>
      </c>
      <c r="C1445" s="2" t="s">
        <v>22</v>
      </c>
      <c r="D1445" t="s">
        <v>23</v>
      </c>
      <c r="E1445">
        <v>1990</v>
      </c>
      <c r="F1445" t="s">
        <v>14</v>
      </c>
      <c r="G1445" t="s">
        <v>84</v>
      </c>
      <c r="H1445" t="s">
        <v>16</v>
      </c>
      <c r="I1445">
        <v>0</v>
      </c>
      <c r="J1445">
        <v>0</v>
      </c>
      <c r="K1445">
        <v>0</v>
      </c>
    </row>
    <row r="1446" spans="1:11" x14ac:dyDescent="0.25">
      <c r="A1446" t="s">
        <v>1486</v>
      </c>
      <c r="B1446" s="1">
        <v>45975.889351851853</v>
      </c>
      <c r="C1446" s="2" t="s">
        <v>22</v>
      </c>
      <c r="D1446" t="s">
        <v>13</v>
      </c>
      <c r="E1446">
        <v>63500</v>
      </c>
      <c r="F1446" t="s">
        <v>50</v>
      </c>
      <c r="G1446" t="s">
        <v>30</v>
      </c>
      <c r="H1446" t="s">
        <v>16</v>
      </c>
      <c r="I1446">
        <v>1174.75</v>
      </c>
      <c r="J1446">
        <v>469.9</v>
      </c>
      <c r="K1446">
        <v>704.85</v>
      </c>
    </row>
    <row r="1447" spans="1:11" x14ac:dyDescent="0.25">
      <c r="A1447" t="s">
        <v>1487</v>
      </c>
      <c r="B1447" s="1">
        <v>45842.495196759257</v>
      </c>
      <c r="C1447" s="2" t="s">
        <v>41</v>
      </c>
      <c r="D1447" t="s">
        <v>23</v>
      </c>
      <c r="E1447">
        <v>1664</v>
      </c>
      <c r="F1447" t="s">
        <v>50</v>
      </c>
      <c r="G1447" t="s">
        <v>15</v>
      </c>
      <c r="H1447" t="s">
        <v>16</v>
      </c>
      <c r="I1447">
        <v>0</v>
      </c>
      <c r="J1447">
        <v>0</v>
      </c>
      <c r="K1447">
        <v>0</v>
      </c>
    </row>
    <row r="1448" spans="1:11" x14ac:dyDescent="0.25">
      <c r="A1448" t="s">
        <v>1488</v>
      </c>
      <c r="B1448" s="1">
        <v>45979.784259259257</v>
      </c>
      <c r="C1448" s="2" t="s">
        <v>32</v>
      </c>
      <c r="D1448" t="s">
        <v>33</v>
      </c>
      <c r="E1448">
        <v>135200</v>
      </c>
      <c r="F1448" t="s">
        <v>14</v>
      </c>
      <c r="G1448" t="s">
        <v>58</v>
      </c>
      <c r="H1448" t="s">
        <v>16</v>
      </c>
      <c r="I1448">
        <v>0</v>
      </c>
      <c r="J1448">
        <v>0</v>
      </c>
      <c r="K1448">
        <v>0</v>
      </c>
    </row>
    <row r="1449" spans="1:11" x14ac:dyDescent="0.25">
      <c r="A1449" t="s">
        <v>1489</v>
      </c>
      <c r="B1449" s="1">
        <v>46108.14166666667</v>
      </c>
      <c r="C1449" s="2" t="s">
        <v>18</v>
      </c>
      <c r="D1449" t="s">
        <v>45</v>
      </c>
      <c r="E1449">
        <v>45264</v>
      </c>
      <c r="F1449" t="s">
        <v>14</v>
      </c>
      <c r="G1449" t="s">
        <v>30</v>
      </c>
      <c r="H1449" t="s">
        <v>71</v>
      </c>
      <c r="I1449">
        <v>452.64</v>
      </c>
      <c r="J1449">
        <v>0</v>
      </c>
      <c r="K1449">
        <v>452.64</v>
      </c>
    </row>
    <row r="1450" spans="1:11" x14ac:dyDescent="0.25">
      <c r="A1450" t="s">
        <v>1490</v>
      </c>
      <c r="B1450" s="1">
        <v>46062.423634259256</v>
      </c>
      <c r="C1450" s="2" t="s">
        <v>26</v>
      </c>
      <c r="D1450" t="s">
        <v>23</v>
      </c>
      <c r="E1450">
        <v>2695</v>
      </c>
      <c r="F1450" t="s">
        <v>14</v>
      </c>
      <c r="G1450" t="s">
        <v>20</v>
      </c>
      <c r="H1450" t="s">
        <v>16</v>
      </c>
      <c r="I1450">
        <v>0</v>
      </c>
      <c r="J1450">
        <v>0</v>
      </c>
      <c r="K1450">
        <v>0</v>
      </c>
    </row>
    <row r="1451" spans="1:11" x14ac:dyDescent="0.25">
      <c r="A1451" t="s">
        <v>1491</v>
      </c>
      <c r="B1451" s="1">
        <v>46075.608437499999</v>
      </c>
      <c r="C1451" s="2" t="s">
        <v>12</v>
      </c>
      <c r="D1451" t="s">
        <v>13</v>
      </c>
      <c r="E1451">
        <v>30500</v>
      </c>
      <c r="F1451" t="s">
        <v>14</v>
      </c>
      <c r="G1451" t="s">
        <v>20</v>
      </c>
      <c r="H1451" t="s">
        <v>16</v>
      </c>
      <c r="I1451">
        <v>564.25</v>
      </c>
      <c r="J1451">
        <v>225.7</v>
      </c>
      <c r="K1451">
        <v>338.55</v>
      </c>
    </row>
    <row r="1452" spans="1:11" x14ac:dyDescent="0.25">
      <c r="A1452" t="s">
        <v>1492</v>
      </c>
      <c r="B1452" s="1">
        <v>45875.181585648148</v>
      </c>
      <c r="C1452" s="2" t="s">
        <v>18</v>
      </c>
      <c r="D1452" t="s">
        <v>13</v>
      </c>
      <c r="E1452">
        <v>40500</v>
      </c>
      <c r="F1452" t="s">
        <v>99</v>
      </c>
      <c r="G1452" t="s">
        <v>20</v>
      </c>
      <c r="H1452" t="s">
        <v>16</v>
      </c>
      <c r="I1452">
        <v>749.25</v>
      </c>
      <c r="J1452">
        <v>299.7</v>
      </c>
      <c r="K1452">
        <v>449.55</v>
      </c>
    </row>
    <row r="1453" spans="1:11" x14ac:dyDescent="0.25">
      <c r="A1453" t="s">
        <v>1493</v>
      </c>
      <c r="B1453" s="1">
        <v>46034.370833333334</v>
      </c>
      <c r="C1453" s="2" t="s">
        <v>41</v>
      </c>
      <c r="D1453" t="s">
        <v>13</v>
      </c>
      <c r="E1453">
        <v>179000</v>
      </c>
      <c r="F1453" t="s">
        <v>14</v>
      </c>
      <c r="G1453" t="s">
        <v>27</v>
      </c>
      <c r="H1453" t="s">
        <v>16</v>
      </c>
      <c r="I1453">
        <v>3311.5</v>
      </c>
      <c r="J1453">
        <v>1324.6</v>
      </c>
      <c r="K1453">
        <v>1986.9</v>
      </c>
    </row>
    <row r="1454" spans="1:11" x14ac:dyDescent="0.25">
      <c r="A1454" t="s">
        <v>1494</v>
      </c>
      <c r="B1454" s="1">
        <v>45860.193784722222</v>
      </c>
      <c r="C1454" s="2" t="s">
        <v>32</v>
      </c>
      <c r="D1454" t="s">
        <v>45</v>
      </c>
      <c r="E1454">
        <v>103986</v>
      </c>
      <c r="F1454" t="s">
        <v>50</v>
      </c>
      <c r="G1454" t="s">
        <v>20</v>
      </c>
      <c r="H1454" t="s">
        <v>71</v>
      </c>
      <c r="I1454">
        <v>1039.8599999999999</v>
      </c>
      <c r="J1454">
        <v>0</v>
      </c>
      <c r="K1454">
        <v>1039.8599999999999</v>
      </c>
    </row>
    <row r="1455" spans="1:11" x14ac:dyDescent="0.25">
      <c r="A1455" t="s">
        <v>1495</v>
      </c>
      <c r="B1455" s="1">
        <v>46071.022141203706</v>
      </c>
      <c r="C1455" s="2" t="s">
        <v>32</v>
      </c>
      <c r="D1455" t="s">
        <v>33</v>
      </c>
      <c r="E1455">
        <v>145885</v>
      </c>
      <c r="F1455" t="s">
        <v>14</v>
      </c>
      <c r="G1455" t="s">
        <v>84</v>
      </c>
      <c r="H1455" t="s">
        <v>16</v>
      </c>
      <c r="I1455">
        <v>0</v>
      </c>
      <c r="J1455">
        <v>0</v>
      </c>
      <c r="K1455">
        <v>0</v>
      </c>
    </row>
    <row r="1456" spans="1:11" x14ac:dyDescent="0.25">
      <c r="A1456" t="s">
        <v>1496</v>
      </c>
      <c r="B1456" s="1">
        <v>45988.485937500001</v>
      </c>
      <c r="C1456" s="2" t="s">
        <v>39</v>
      </c>
      <c r="D1456" t="s">
        <v>13</v>
      </c>
      <c r="E1456">
        <v>81500</v>
      </c>
      <c r="F1456" t="s">
        <v>14</v>
      </c>
      <c r="G1456" t="s">
        <v>15</v>
      </c>
      <c r="H1456" t="s">
        <v>16</v>
      </c>
      <c r="I1456">
        <v>1507.75</v>
      </c>
      <c r="J1456">
        <v>603.1</v>
      </c>
      <c r="K1456">
        <v>904.65</v>
      </c>
    </row>
    <row r="1457" spans="1:11" x14ac:dyDescent="0.25">
      <c r="A1457" t="s">
        <v>1497</v>
      </c>
      <c r="B1457" s="1">
        <v>45996.923726851855</v>
      </c>
      <c r="C1457" s="2" t="s">
        <v>29</v>
      </c>
      <c r="D1457" t="s">
        <v>45</v>
      </c>
      <c r="E1457">
        <v>29981</v>
      </c>
      <c r="F1457" t="s">
        <v>14</v>
      </c>
      <c r="G1457" t="s">
        <v>51</v>
      </c>
      <c r="H1457" t="s">
        <v>56</v>
      </c>
      <c r="I1457">
        <v>299.81</v>
      </c>
      <c r="J1457">
        <v>0</v>
      </c>
      <c r="K1457">
        <v>299.81</v>
      </c>
    </row>
    <row r="1458" spans="1:11" x14ac:dyDescent="0.25">
      <c r="A1458" t="s">
        <v>1498</v>
      </c>
      <c r="B1458" s="1">
        <v>46023.573368055557</v>
      </c>
      <c r="C1458" s="2" t="s">
        <v>32</v>
      </c>
      <c r="D1458" t="s">
        <v>45</v>
      </c>
      <c r="E1458">
        <v>94144</v>
      </c>
      <c r="F1458" t="s">
        <v>14</v>
      </c>
      <c r="G1458" t="s">
        <v>51</v>
      </c>
      <c r="H1458" t="s">
        <v>59</v>
      </c>
      <c r="I1458">
        <v>941.44</v>
      </c>
      <c r="J1458">
        <v>0</v>
      </c>
      <c r="K1458">
        <v>941.44</v>
      </c>
    </row>
    <row r="1459" spans="1:11" x14ac:dyDescent="0.25">
      <c r="A1459" t="s">
        <v>1499</v>
      </c>
      <c r="B1459" s="1">
        <v>46021.640370370369</v>
      </c>
      <c r="C1459" s="2" t="s">
        <v>39</v>
      </c>
      <c r="D1459" t="s">
        <v>19</v>
      </c>
      <c r="E1459">
        <v>98106</v>
      </c>
      <c r="F1459" t="s">
        <v>50</v>
      </c>
      <c r="G1459" t="s">
        <v>51</v>
      </c>
      <c r="H1459" t="s">
        <v>16</v>
      </c>
      <c r="I1459">
        <v>5</v>
      </c>
      <c r="J1459">
        <v>0</v>
      </c>
      <c r="K1459">
        <v>5</v>
      </c>
    </row>
    <row r="1460" spans="1:11" x14ac:dyDescent="0.25">
      <c r="A1460" t="s">
        <v>1500</v>
      </c>
      <c r="B1460" s="1">
        <v>45985.648622685185</v>
      </c>
      <c r="C1460" s="2" t="s">
        <v>41</v>
      </c>
      <c r="D1460" t="s">
        <v>13</v>
      </c>
      <c r="E1460">
        <v>15000</v>
      </c>
      <c r="F1460" t="s">
        <v>50</v>
      </c>
      <c r="G1460" t="s">
        <v>15</v>
      </c>
      <c r="H1460" t="s">
        <v>16</v>
      </c>
      <c r="I1460">
        <v>277.5</v>
      </c>
      <c r="J1460">
        <v>111</v>
      </c>
      <c r="K1460">
        <v>166.5</v>
      </c>
    </row>
    <row r="1461" spans="1:11" x14ac:dyDescent="0.25">
      <c r="A1461" t="s">
        <v>1501</v>
      </c>
      <c r="B1461" s="1">
        <v>45848.096655092595</v>
      </c>
      <c r="C1461" s="2" t="s">
        <v>32</v>
      </c>
      <c r="D1461" t="s">
        <v>23</v>
      </c>
      <c r="E1461">
        <v>1221</v>
      </c>
      <c r="F1461" t="s">
        <v>14</v>
      </c>
      <c r="G1461" t="s">
        <v>58</v>
      </c>
      <c r="H1461" t="s">
        <v>16</v>
      </c>
      <c r="I1461">
        <v>0</v>
      </c>
      <c r="J1461">
        <v>0</v>
      </c>
      <c r="K1461">
        <v>0</v>
      </c>
    </row>
    <row r="1462" spans="1:11" x14ac:dyDescent="0.25">
      <c r="A1462" t="s">
        <v>1502</v>
      </c>
      <c r="B1462" s="1">
        <v>46077.142002314817</v>
      </c>
      <c r="C1462" s="2" t="s">
        <v>29</v>
      </c>
      <c r="D1462" t="s">
        <v>23</v>
      </c>
      <c r="E1462">
        <v>3187</v>
      </c>
      <c r="F1462" t="s">
        <v>14</v>
      </c>
      <c r="G1462" t="s">
        <v>58</v>
      </c>
      <c r="H1462" t="s">
        <v>16</v>
      </c>
      <c r="I1462">
        <v>0</v>
      </c>
      <c r="J1462">
        <v>0</v>
      </c>
      <c r="K1462">
        <v>0</v>
      </c>
    </row>
    <row r="1463" spans="1:11" x14ac:dyDescent="0.25">
      <c r="A1463" t="s">
        <v>1503</v>
      </c>
      <c r="B1463" s="1">
        <v>45934.198946759258</v>
      </c>
      <c r="C1463" s="2" t="s">
        <v>32</v>
      </c>
      <c r="D1463" t="s">
        <v>33</v>
      </c>
      <c r="E1463">
        <v>66839</v>
      </c>
      <c r="F1463" t="s">
        <v>14</v>
      </c>
      <c r="G1463" t="s">
        <v>20</v>
      </c>
      <c r="H1463" t="s">
        <v>16</v>
      </c>
      <c r="I1463">
        <v>0</v>
      </c>
      <c r="J1463">
        <v>0</v>
      </c>
      <c r="K1463">
        <v>0</v>
      </c>
    </row>
    <row r="1464" spans="1:11" x14ac:dyDescent="0.25">
      <c r="A1464" t="s">
        <v>1504</v>
      </c>
      <c r="B1464" s="1">
        <v>46085.668263888889</v>
      </c>
      <c r="C1464" s="2" t="s">
        <v>18</v>
      </c>
      <c r="D1464" t="s">
        <v>33</v>
      </c>
      <c r="E1464">
        <v>102052</v>
      </c>
      <c r="F1464" t="s">
        <v>50</v>
      </c>
      <c r="G1464" t="s">
        <v>34</v>
      </c>
      <c r="H1464" t="s">
        <v>16</v>
      </c>
      <c r="I1464">
        <v>0</v>
      </c>
      <c r="J1464">
        <v>0</v>
      </c>
      <c r="K1464">
        <v>0</v>
      </c>
    </row>
    <row r="1465" spans="1:11" x14ac:dyDescent="0.25">
      <c r="A1465" t="s">
        <v>1505</v>
      </c>
      <c r="B1465" s="1">
        <v>45922.657824074071</v>
      </c>
      <c r="C1465" s="2" t="s">
        <v>22</v>
      </c>
      <c r="D1465" t="s">
        <v>19</v>
      </c>
      <c r="E1465">
        <v>116918</v>
      </c>
      <c r="F1465" t="s">
        <v>14</v>
      </c>
      <c r="G1465" t="s">
        <v>84</v>
      </c>
      <c r="H1465" t="s">
        <v>16</v>
      </c>
      <c r="I1465">
        <v>5</v>
      </c>
      <c r="J1465">
        <v>0</v>
      </c>
      <c r="K1465">
        <v>5</v>
      </c>
    </row>
    <row r="1466" spans="1:11" x14ac:dyDescent="0.25">
      <c r="A1466" t="s">
        <v>1506</v>
      </c>
      <c r="B1466" s="1">
        <v>45835.122939814813</v>
      </c>
      <c r="C1466" s="2" t="s">
        <v>26</v>
      </c>
      <c r="D1466" t="s">
        <v>45</v>
      </c>
      <c r="E1466">
        <v>52700</v>
      </c>
      <c r="F1466" t="s">
        <v>14</v>
      </c>
      <c r="G1466" t="s">
        <v>24</v>
      </c>
      <c r="H1466" t="s">
        <v>46</v>
      </c>
      <c r="I1466">
        <v>527</v>
      </c>
      <c r="J1466">
        <v>0</v>
      </c>
      <c r="K1466">
        <v>527</v>
      </c>
    </row>
    <row r="1467" spans="1:11" x14ac:dyDescent="0.25">
      <c r="A1467" t="s">
        <v>1507</v>
      </c>
      <c r="B1467" s="1">
        <v>45929.605613425927</v>
      </c>
      <c r="C1467" s="2" t="s">
        <v>32</v>
      </c>
      <c r="D1467" t="s">
        <v>45</v>
      </c>
      <c r="E1467">
        <v>67457</v>
      </c>
      <c r="F1467" t="s">
        <v>14</v>
      </c>
      <c r="G1467" t="s">
        <v>24</v>
      </c>
      <c r="H1467" t="s">
        <v>71</v>
      </c>
      <c r="I1467">
        <v>674.57</v>
      </c>
      <c r="J1467">
        <v>0</v>
      </c>
      <c r="K1467">
        <v>674.57</v>
      </c>
    </row>
    <row r="1468" spans="1:11" x14ac:dyDescent="0.25">
      <c r="A1468" t="s">
        <v>1508</v>
      </c>
      <c r="B1468" s="1">
        <v>45817.077037037037</v>
      </c>
      <c r="C1468" s="2" t="s">
        <v>29</v>
      </c>
      <c r="D1468" t="s">
        <v>13</v>
      </c>
      <c r="E1468">
        <v>204500</v>
      </c>
      <c r="F1468" t="s">
        <v>14</v>
      </c>
      <c r="G1468" t="s">
        <v>30</v>
      </c>
      <c r="H1468" t="s">
        <v>16</v>
      </c>
      <c r="I1468">
        <v>3783.25</v>
      </c>
      <c r="J1468">
        <v>1513.3</v>
      </c>
      <c r="K1468">
        <v>2269.9499999999998</v>
      </c>
    </row>
    <row r="1469" spans="1:11" x14ac:dyDescent="0.25">
      <c r="A1469" t="s">
        <v>1509</v>
      </c>
      <c r="B1469" s="1">
        <v>45839.843171296299</v>
      </c>
      <c r="C1469" s="2" t="s">
        <v>32</v>
      </c>
      <c r="D1469" t="s">
        <v>19</v>
      </c>
      <c r="E1469">
        <v>75057</v>
      </c>
      <c r="F1469" t="s">
        <v>14</v>
      </c>
      <c r="G1469" t="s">
        <v>34</v>
      </c>
      <c r="H1469" t="s">
        <v>16</v>
      </c>
      <c r="I1469">
        <v>5</v>
      </c>
      <c r="J1469">
        <v>0</v>
      </c>
      <c r="K1469">
        <v>5</v>
      </c>
    </row>
    <row r="1470" spans="1:11" x14ac:dyDescent="0.25">
      <c r="A1470" t="s">
        <v>1510</v>
      </c>
      <c r="B1470" s="1">
        <v>46132.199837962966</v>
      </c>
      <c r="C1470" s="2" t="s">
        <v>29</v>
      </c>
      <c r="D1470" t="s">
        <v>45</v>
      </c>
      <c r="E1470">
        <v>50150</v>
      </c>
      <c r="F1470" t="s">
        <v>14</v>
      </c>
      <c r="G1470" t="s">
        <v>34</v>
      </c>
      <c r="H1470" t="s">
        <v>46</v>
      </c>
      <c r="I1470">
        <v>501.5</v>
      </c>
      <c r="J1470">
        <v>0</v>
      </c>
      <c r="K1470">
        <v>501.5</v>
      </c>
    </row>
    <row r="1471" spans="1:11" x14ac:dyDescent="0.25">
      <c r="A1471" t="s">
        <v>1511</v>
      </c>
      <c r="B1471" s="1">
        <v>46108.118090277778</v>
      </c>
      <c r="C1471" s="2" t="s">
        <v>26</v>
      </c>
      <c r="D1471" t="s">
        <v>19</v>
      </c>
      <c r="E1471">
        <v>60995</v>
      </c>
      <c r="F1471" t="s">
        <v>14</v>
      </c>
      <c r="G1471" t="s">
        <v>24</v>
      </c>
      <c r="H1471" t="s">
        <v>16</v>
      </c>
      <c r="I1471">
        <v>5</v>
      </c>
      <c r="J1471">
        <v>0</v>
      </c>
      <c r="K1471">
        <v>5</v>
      </c>
    </row>
    <row r="1472" spans="1:11" x14ac:dyDescent="0.25">
      <c r="A1472" t="s">
        <v>1512</v>
      </c>
      <c r="B1472" s="1">
        <v>46002.39880787037</v>
      </c>
      <c r="C1472" s="2" t="s">
        <v>29</v>
      </c>
      <c r="D1472" t="s">
        <v>45</v>
      </c>
      <c r="E1472">
        <v>39512</v>
      </c>
      <c r="F1472" t="s">
        <v>14</v>
      </c>
      <c r="G1472" t="s">
        <v>24</v>
      </c>
      <c r="H1472" t="s">
        <v>178</v>
      </c>
      <c r="I1472">
        <v>395.12</v>
      </c>
      <c r="J1472">
        <v>0</v>
      </c>
      <c r="K1472">
        <v>395.12</v>
      </c>
    </row>
    <row r="1473" spans="1:11" x14ac:dyDescent="0.25">
      <c r="A1473" t="s">
        <v>1513</v>
      </c>
      <c r="B1473" s="1">
        <v>46118.822222222225</v>
      </c>
      <c r="C1473" s="2" t="s">
        <v>18</v>
      </c>
      <c r="D1473" t="s">
        <v>45</v>
      </c>
      <c r="E1473">
        <v>41893</v>
      </c>
      <c r="F1473" t="s">
        <v>14</v>
      </c>
      <c r="G1473" t="s">
        <v>15</v>
      </c>
      <c r="H1473" t="s">
        <v>46</v>
      </c>
      <c r="I1473">
        <v>418.93</v>
      </c>
      <c r="J1473">
        <v>0</v>
      </c>
      <c r="K1473">
        <v>418.93</v>
      </c>
    </row>
    <row r="1474" spans="1:11" x14ac:dyDescent="0.25">
      <c r="A1474" t="s">
        <v>1514</v>
      </c>
      <c r="B1474" s="1">
        <v>46102.065324074072</v>
      </c>
      <c r="C1474" s="2" t="s">
        <v>29</v>
      </c>
      <c r="D1474" t="s">
        <v>13</v>
      </c>
      <c r="E1474">
        <v>87500</v>
      </c>
      <c r="F1474" t="s">
        <v>14</v>
      </c>
      <c r="G1474" t="s">
        <v>84</v>
      </c>
      <c r="H1474" t="s">
        <v>16</v>
      </c>
      <c r="I1474">
        <v>1618.75</v>
      </c>
      <c r="J1474">
        <v>647.5</v>
      </c>
      <c r="K1474">
        <v>971.25</v>
      </c>
    </row>
    <row r="1475" spans="1:11" x14ac:dyDescent="0.25">
      <c r="A1475" t="s">
        <v>1515</v>
      </c>
      <c r="B1475" s="1">
        <v>46106.92696759259</v>
      </c>
      <c r="C1475" s="2" t="s">
        <v>29</v>
      </c>
      <c r="D1475" t="s">
        <v>33</v>
      </c>
      <c r="E1475">
        <v>89595</v>
      </c>
      <c r="F1475" t="s">
        <v>14</v>
      </c>
      <c r="G1475" t="s">
        <v>24</v>
      </c>
      <c r="H1475" t="s">
        <v>16</v>
      </c>
      <c r="I1475">
        <v>0</v>
      </c>
      <c r="J1475">
        <v>0</v>
      </c>
      <c r="K1475">
        <v>0</v>
      </c>
    </row>
    <row r="1476" spans="1:11" x14ac:dyDescent="0.25">
      <c r="A1476" t="s">
        <v>1516</v>
      </c>
      <c r="B1476" s="1">
        <v>45970.328263888892</v>
      </c>
      <c r="C1476" s="2" t="s">
        <v>29</v>
      </c>
      <c r="D1476" t="s">
        <v>45</v>
      </c>
      <c r="E1476">
        <v>106259</v>
      </c>
      <c r="F1476" t="s">
        <v>50</v>
      </c>
      <c r="G1476" t="s">
        <v>15</v>
      </c>
      <c r="H1476" t="s">
        <v>46</v>
      </c>
      <c r="I1476">
        <v>1062.5899999999999</v>
      </c>
      <c r="J1476">
        <v>0</v>
      </c>
      <c r="K1476">
        <v>1062.5899999999999</v>
      </c>
    </row>
    <row r="1477" spans="1:11" x14ac:dyDescent="0.25">
      <c r="A1477" t="s">
        <v>1517</v>
      </c>
      <c r="B1477" s="1">
        <v>46064.702418981484</v>
      </c>
      <c r="C1477" s="2" t="s">
        <v>32</v>
      </c>
      <c r="D1477" t="s">
        <v>19</v>
      </c>
      <c r="E1477">
        <v>124962</v>
      </c>
      <c r="F1477" t="s">
        <v>14</v>
      </c>
      <c r="G1477" t="s">
        <v>51</v>
      </c>
      <c r="H1477" t="s">
        <v>16</v>
      </c>
      <c r="I1477">
        <v>5</v>
      </c>
      <c r="J1477">
        <v>0</v>
      </c>
      <c r="K1477">
        <v>5</v>
      </c>
    </row>
    <row r="1478" spans="1:11" x14ac:dyDescent="0.25">
      <c r="A1478" t="s">
        <v>1518</v>
      </c>
      <c r="B1478" s="1">
        <v>46016.353981481479</v>
      </c>
      <c r="C1478" s="2" t="s">
        <v>22</v>
      </c>
      <c r="D1478" t="s">
        <v>33</v>
      </c>
      <c r="E1478">
        <v>92378</v>
      </c>
      <c r="F1478" t="s">
        <v>14</v>
      </c>
      <c r="G1478" t="s">
        <v>34</v>
      </c>
      <c r="H1478" t="s">
        <v>16</v>
      </c>
      <c r="I1478">
        <v>0</v>
      </c>
      <c r="J1478">
        <v>0</v>
      </c>
      <c r="K1478">
        <v>0</v>
      </c>
    </row>
    <row r="1479" spans="1:11" x14ac:dyDescent="0.25">
      <c r="A1479" t="s">
        <v>1519</v>
      </c>
      <c r="B1479" s="1">
        <v>45814.898356481484</v>
      </c>
      <c r="C1479" s="2" t="s">
        <v>26</v>
      </c>
      <c r="D1479" t="s">
        <v>33</v>
      </c>
      <c r="E1479">
        <v>71046</v>
      </c>
      <c r="F1479" t="s">
        <v>14</v>
      </c>
      <c r="G1479" t="s">
        <v>30</v>
      </c>
      <c r="H1479" t="s">
        <v>16</v>
      </c>
      <c r="I1479">
        <v>0</v>
      </c>
      <c r="J1479">
        <v>0</v>
      </c>
      <c r="K1479">
        <v>0</v>
      </c>
    </row>
    <row r="1480" spans="1:11" x14ac:dyDescent="0.25">
      <c r="A1480" t="s">
        <v>1520</v>
      </c>
      <c r="B1480" s="1">
        <v>45935.043819444443</v>
      </c>
      <c r="C1480" s="2" t="s">
        <v>32</v>
      </c>
      <c r="D1480" t="s">
        <v>13</v>
      </c>
      <c r="E1480">
        <v>70500</v>
      </c>
      <c r="F1480" t="s">
        <v>99</v>
      </c>
      <c r="G1480" t="s">
        <v>34</v>
      </c>
      <c r="H1480" t="s">
        <v>16</v>
      </c>
      <c r="I1480">
        <v>1304.25</v>
      </c>
      <c r="J1480">
        <v>521.70000000000005</v>
      </c>
      <c r="K1480">
        <v>782.55</v>
      </c>
    </row>
    <row r="1481" spans="1:11" x14ac:dyDescent="0.25">
      <c r="A1481" t="s">
        <v>1521</v>
      </c>
      <c r="B1481" s="1">
        <v>45983.760046296295</v>
      </c>
      <c r="C1481" s="2" t="s">
        <v>22</v>
      </c>
      <c r="D1481" t="s">
        <v>19</v>
      </c>
      <c r="E1481">
        <v>136516</v>
      </c>
      <c r="F1481" t="s">
        <v>99</v>
      </c>
      <c r="G1481" t="s">
        <v>58</v>
      </c>
      <c r="H1481" t="s">
        <v>16</v>
      </c>
      <c r="I1481">
        <v>5</v>
      </c>
      <c r="J1481">
        <v>0</v>
      </c>
      <c r="K1481">
        <v>5</v>
      </c>
    </row>
    <row r="1482" spans="1:11" x14ac:dyDescent="0.25">
      <c r="A1482" t="s">
        <v>1522</v>
      </c>
      <c r="B1482" s="1">
        <v>45915.901736111111</v>
      </c>
      <c r="C1482" s="2" t="s">
        <v>39</v>
      </c>
      <c r="D1482" t="s">
        <v>23</v>
      </c>
      <c r="E1482">
        <v>3414</v>
      </c>
      <c r="F1482" t="s">
        <v>14</v>
      </c>
      <c r="G1482" t="s">
        <v>84</v>
      </c>
      <c r="H1482" t="s">
        <v>16</v>
      </c>
      <c r="I1482">
        <v>0</v>
      </c>
      <c r="J1482">
        <v>0</v>
      </c>
      <c r="K1482">
        <v>0</v>
      </c>
    </row>
    <row r="1483" spans="1:11" x14ac:dyDescent="0.25">
      <c r="A1483" t="s">
        <v>1523</v>
      </c>
      <c r="B1483" s="1">
        <v>45816.815381944441</v>
      </c>
      <c r="C1483" s="2" t="s">
        <v>26</v>
      </c>
      <c r="D1483" t="s">
        <v>45</v>
      </c>
      <c r="E1483">
        <v>139333</v>
      </c>
      <c r="F1483" t="s">
        <v>50</v>
      </c>
      <c r="G1483" t="s">
        <v>84</v>
      </c>
      <c r="H1483" t="s">
        <v>56</v>
      </c>
      <c r="I1483">
        <v>1393.33</v>
      </c>
      <c r="J1483">
        <v>0</v>
      </c>
      <c r="K1483">
        <v>1393.33</v>
      </c>
    </row>
    <row r="1484" spans="1:11" x14ac:dyDescent="0.25">
      <c r="A1484" t="s">
        <v>1524</v>
      </c>
      <c r="B1484" s="1">
        <v>45824.06758101852</v>
      </c>
      <c r="C1484" s="2" t="s">
        <v>26</v>
      </c>
      <c r="D1484" t="s">
        <v>33</v>
      </c>
      <c r="E1484">
        <v>93078</v>
      </c>
      <c r="F1484" t="s">
        <v>14</v>
      </c>
      <c r="G1484" t="s">
        <v>27</v>
      </c>
      <c r="H1484" t="s">
        <v>16</v>
      </c>
      <c r="I1484">
        <v>0</v>
      </c>
      <c r="J1484">
        <v>0</v>
      </c>
      <c r="K1484">
        <v>0</v>
      </c>
    </row>
    <row r="1485" spans="1:11" x14ac:dyDescent="0.25">
      <c r="A1485" t="s">
        <v>1525</v>
      </c>
      <c r="B1485" s="1">
        <v>46040.69940972222</v>
      </c>
      <c r="C1485" s="2" t="s">
        <v>39</v>
      </c>
      <c r="D1485" t="s">
        <v>13</v>
      </c>
      <c r="E1485">
        <v>46500</v>
      </c>
      <c r="F1485" t="s">
        <v>14</v>
      </c>
      <c r="G1485" t="s">
        <v>24</v>
      </c>
      <c r="H1485" t="s">
        <v>16</v>
      </c>
      <c r="I1485">
        <v>860.25</v>
      </c>
      <c r="J1485">
        <v>344.1</v>
      </c>
      <c r="K1485">
        <v>516.15</v>
      </c>
    </row>
    <row r="1486" spans="1:11" x14ac:dyDescent="0.25">
      <c r="A1486" t="s">
        <v>1526</v>
      </c>
      <c r="B1486" s="1">
        <v>46092.208252314813</v>
      </c>
      <c r="C1486" s="2" t="s">
        <v>22</v>
      </c>
      <c r="D1486" t="s">
        <v>33</v>
      </c>
      <c r="E1486">
        <v>108365</v>
      </c>
      <c r="F1486" t="s">
        <v>14</v>
      </c>
      <c r="G1486" t="s">
        <v>15</v>
      </c>
      <c r="H1486" t="s">
        <v>16</v>
      </c>
      <c r="I1486">
        <v>0</v>
      </c>
      <c r="J1486">
        <v>0</v>
      </c>
      <c r="K1486">
        <v>0</v>
      </c>
    </row>
    <row r="1487" spans="1:11" x14ac:dyDescent="0.25">
      <c r="A1487" t="s">
        <v>1527</v>
      </c>
      <c r="B1487" s="1">
        <v>45919.394212962965</v>
      </c>
      <c r="C1487" s="2" t="s">
        <v>39</v>
      </c>
      <c r="D1487" t="s">
        <v>19</v>
      </c>
      <c r="E1487">
        <v>130356</v>
      </c>
      <c r="F1487" t="s">
        <v>14</v>
      </c>
      <c r="G1487" t="s">
        <v>15</v>
      </c>
      <c r="H1487" t="s">
        <v>16</v>
      </c>
      <c r="I1487">
        <v>5</v>
      </c>
      <c r="J1487">
        <v>0</v>
      </c>
      <c r="K1487">
        <v>5</v>
      </c>
    </row>
    <row r="1488" spans="1:11" x14ac:dyDescent="0.25">
      <c r="A1488" t="s">
        <v>1528</v>
      </c>
      <c r="B1488" s="1">
        <v>45980.887430555558</v>
      </c>
      <c r="C1488" s="2" t="s">
        <v>39</v>
      </c>
      <c r="D1488" t="s">
        <v>19</v>
      </c>
      <c r="E1488">
        <v>147347</v>
      </c>
      <c r="F1488" t="s">
        <v>50</v>
      </c>
      <c r="G1488" t="s">
        <v>20</v>
      </c>
      <c r="H1488" t="s">
        <v>16</v>
      </c>
      <c r="I1488">
        <v>5</v>
      </c>
      <c r="J1488">
        <v>0</v>
      </c>
      <c r="K1488">
        <v>5</v>
      </c>
    </row>
    <row r="1489" spans="1:11" x14ac:dyDescent="0.25">
      <c r="A1489" t="s">
        <v>1529</v>
      </c>
      <c r="B1489" s="1">
        <v>45926.86645833333</v>
      </c>
      <c r="C1489" s="2" t="s">
        <v>12</v>
      </c>
      <c r="D1489" t="s">
        <v>13</v>
      </c>
      <c r="E1489">
        <v>161000</v>
      </c>
      <c r="F1489" t="s">
        <v>14</v>
      </c>
      <c r="G1489" t="s">
        <v>51</v>
      </c>
      <c r="H1489" t="s">
        <v>16</v>
      </c>
      <c r="I1489">
        <v>2978.5</v>
      </c>
      <c r="J1489">
        <v>1191.4000000000001</v>
      </c>
      <c r="K1489">
        <v>1787.1</v>
      </c>
    </row>
    <row r="1490" spans="1:11" x14ac:dyDescent="0.25">
      <c r="A1490" t="s">
        <v>1530</v>
      </c>
      <c r="B1490" s="1">
        <v>45985.244328703702</v>
      </c>
      <c r="C1490" s="2" t="s">
        <v>39</v>
      </c>
      <c r="D1490" t="s">
        <v>19</v>
      </c>
      <c r="E1490">
        <v>30610</v>
      </c>
      <c r="F1490" t="s">
        <v>14</v>
      </c>
      <c r="G1490" t="s">
        <v>84</v>
      </c>
      <c r="H1490" t="s">
        <v>16</v>
      </c>
      <c r="I1490">
        <v>5</v>
      </c>
      <c r="J1490">
        <v>0</v>
      </c>
      <c r="K1490">
        <v>5</v>
      </c>
    </row>
    <row r="1491" spans="1:11" x14ac:dyDescent="0.25">
      <c r="A1491" t="s">
        <v>1531</v>
      </c>
      <c r="B1491" s="1">
        <v>45779.908020833333</v>
      </c>
      <c r="C1491" s="2" t="s">
        <v>22</v>
      </c>
      <c r="D1491" t="s">
        <v>33</v>
      </c>
      <c r="E1491">
        <v>46690</v>
      </c>
      <c r="F1491" t="s">
        <v>14</v>
      </c>
      <c r="G1491" t="s">
        <v>24</v>
      </c>
      <c r="H1491" t="s">
        <v>16</v>
      </c>
      <c r="I1491">
        <v>0</v>
      </c>
      <c r="J1491">
        <v>0</v>
      </c>
      <c r="K1491">
        <v>0</v>
      </c>
    </row>
    <row r="1492" spans="1:11" x14ac:dyDescent="0.25">
      <c r="A1492" t="s">
        <v>1532</v>
      </c>
      <c r="B1492" s="1">
        <v>46032.985115740739</v>
      </c>
      <c r="C1492" s="2" t="s">
        <v>41</v>
      </c>
      <c r="D1492" t="s">
        <v>13</v>
      </c>
      <c r="E1492">
        <v>117500</v>
      </c>
      <c r="F1492" t="s">
        <v>14</v>
      </c>
      <c r="G1492" t="s">
        <v>20</v>
      </c>
      <c r="H1492" t="s">
        <v>16</v>
      </c>
      <c r="I1492">
        <v>2173.75</v>
      </c>
      <c r="J1492">
        <v>869.5</v>
      </c>
      <c r="K1492">
        <v>1304.25</v>
      </c>
    </row>
    <row r="1493" spans="1:11" x14ac:dyDescent="0.25">
      <c r="A1493" t="s">
        <v>1533</v>
      </c>
      <c r="B1493" s="1">
        <v>45796.728715277779</v>
      </c>
      <c r="C1493" s="2" t="s">
        <v>12</v>
      </c>
      <c r="D1493" t="s">
        <v>19</v>
      </c>
      <c r="E1493">
        <v>102101</v>
      </c>
      <c r="F1493" t="s">
        <v>14</v>
      </c>
      <c r="G1493" t="s">
        <v>20</v>
      </c>
      <c r="H1493" t="s">
        <v>16</v>
      </c>
      <c r="I1493">
        <v>5</v>
      </c>
      <c r="J1493">
        <v>0</v>
      </c>
      <c r="K1493">
        <v>5</v>
      </c>
    </row>
    <row r="1494" spans="1:11" x14ac:dyDescent="0.25">
      <c r="A1494" t="s">
        <v>1534</v>
      </c>
      <c r="B1494" s="1">
        <v>46105.878379629627</v>
      </c>
      <c r="C1494" s="2" t="s">
        <v>41</v>
      </c>
      <c r="D1494" t="s">
        <v>13</v>
      </c>
      <c r="E1494">
        <v>231500</v>
      </c>
      <c r="F1494" t="s">
        <v>50</v>
      </c>
      <c r="G1494" t="s">
        <v>30</v>
      </c>
      <c r="H1494" t="s">
        <v>16</v>
      </c>
      <c r="I1494">
        <v>4282.75</v>
      </c>
      <c r="J1494">
        <v>1713.1</v>
      </c>
      <c r="K1494">
        <v>2569.65</v>
      </c>
    </row>
    <row r="1495" spans="1:11" x14ac:dyDescent="0.25">
      <c r="A1495" t="s">
        <v>1535</v>
      </c>
      <c r="B1495" s="1">
        <v>46132.120474537034</v>
      </c>
      <c r="C1495" s="2" t="s">
        <v>12</v>
      </c>
      <c r="D1495" t="s">
        <v>45</v>
      </c>
      <c r="E1495">
        <v>113004</v>
      </c>
      <c r="F1495" t="s">
        <v>14</v>
      </c>
      <c r="G1495" t="s">
        <v>58</v>
      </c>
      <c r="H1495" t="s">
        <v>178</v>
      </c>
      <c r="I1495">
        <v>1130.04</v>
      </c>
      <c r="J1495">
        <v>0</v>
      </c>
      <c r="K1495">
        <v>1130.04</v>
      </c>
    </row>
    <row r="1496" spans="1:11" x14ac:dyDescent="0.25">
      <c r="A1496" t="s">
        <v>1536</v>
      </c>
      <c r="B1496" s="1">
        <v>46109.335532407407</v>
      </c>
      <c r="C1496" s="2" t="s">
        <v>29</v>
      </c>
      <c r="D1496" t="s">
        <v>23</v>
      </c>
      <c r="E1496">
        <v>2970</v>
      </c>
      <c r="F1496" t="s">
        <v>14</v>
      </c>
      <c r="G1496" t="s">
        <v>51</v>
      </c>
      <c r="H1496" t="s">
        <v>16</v>
      </c>
      <c r="I1496">
        <v>0</v>
      </c>
      <c r="J1496">
        <v>0</v>
      </c>
      <c r="K1496">
        <v>0</v>
      </c>
    </row>
    <row r="1497" spans="1:11" x14ac:dyDescent="0.25">
      <c r="A1497" t="s">
        <v>1537</v>
      </c>
      <c r="B1497" s="1">
        <v>45780.44332175926</v>
      </c>
      <c r="C1497" s="2" t="s">
        <v>26</v>
      </c>
      <c r="D1497" t="s">
        <v>13</v>
      </c>
      <c r="E1497">
        <v>73500</v>
      </c>
      <c r="F1497" t="s">
        <v>14</v>
      </c>
      <c r="G1497" t="s">
        <v>34</v>
      </c>
      <c r="H1497" t="s">
        <v>16</v>
      </c>
      <c r="I1497">
        <v>1359.75</v>
      </c>
      <c r="J1497">
        <v>543.9</v>
      </c>
      <c r="K1497">
        <v>815.85</v>
      </c>
    </row>
    <row r="1498" spans="1:11" x14ac:dyDescent="0.25">
      <c r="A1498" t="s">
        <v>1538</v>
      </c>
      <c r="B1498" s="1">
        <v>45876.447731481479</v>
      </c>
      <c r="C1498" s="2" t="s">
        <v>18</v>
      </c>
      <c r="D1498" t="s">
        <v>33</v>
      </c>
      <c r="E1498">
        <v>59643</v>
      </c>
      <c r="F1498" t="s">
        <v>50</v>
      </c>
      <c r="G1498" t="s">
        <v>51</v>
      </c>
      <c r="H1498" t="s">
        <v>16</v>
      </c>
      <c r="I1498">
        <v>0</v>
      </c>
      <c r="J1498">
        <v>0</v>
      </c>
      <c r="K1498">
        <v>0</v>
      </c>
    </row>
    <row r="1499" spans="1:11" x14ac:dyDescent="0.25">
      <c r="A1499" t="s">
        <v>1539</v>
      </c>
      <c r="B1499" s="1">
        <v>45782.862627314818</v>
      </c>
      <c r="C1499" s="2" t="s">
        <v>22</v>
      </c>
      <c r="D1499" t="s">
        <v>19</v>
      </c>
      <c r="E1499">
        <v>40793</v>
      </c>
      <c r="F1499" t="s">
        <v>14</v>
      </c>
      <c r="G1499" t="s">
        <v>20</v>
      </c>
      <c r="H1499" t="s">
        <v>16</v>
      </c>
      <c r="I1499">
        <v>5</v>
      </c>
      <c r="J1499">
        <v>0</v>
      </c>
      <c r="K1499">
        <v>5</v>
      </c>
    </row>
    <row r="1500" spans="1:11" x14ac:dyDescent="0.25">
      <c r="A1500" t="s">
        <v>1540</v>
      </c>
      <c r="B1500" s="1">
        <v>45780.413113425922</v>
      </c>
      <c r="C1500" s="2" t="s">
        <v>29</v>
      </c>
      <c r="D1500" t="s">
        <v>19</v>
      </c>
      <c r="E1500">
        <v>7332</v>
      </c>
      <c r="F1500" t="s">
        <v>14</v>
      </c>
      <c r="G1500" t="s">
        <v>27</v>
      </c>
      <c r="H1500" t="s">
        <v>16</v>
      </c>
      <c r="I1500">
        <v>5</v>
      </c>
      <c r="J1500">
        <v>0</v>
      </c>
      <c r="K1500">
        <v>5</v>
      </c>
    </row>
    <row r="1501" spans="1:11" x14ac:dyDescent="0.25">
      <c r="A1501" t="s">
        <v>1541</v>
      </c>
      <c r="B1501" s="1">
        <v>45907.369976851849</v>
      </c>
      <c r="C1501" s="2" t="s">
        <v>32</v>
      </c>
      <c r="D1501" t="s">
        <v>19</v>
      </c>
      <c r="E1501">
        <v>30547</v>
      </c>
      <c r="F1501" t="s">
        <v>14</v>
      </c>
      <c r="G1501" t="s">
        <v>51</v>
      </c>
      <c r="H1501" t="s">
        <v>16</v>
      </c>
      <c r="I1501">
        <v>5</v>
      </c>
      <c r="J1501">
        <v>0</v>
      </c>
      <c r="K1501">
        <v>5</v>
      </c>
    </row>
    <row r="1502" spans="1:11" x14ac:dyDescent="0.25">
      <c r="A1502" t="s">
        <v>1542</v>
      </c>
      <c r="B1502" s="1">
        <v>45807.286793981482</v>
      </c>
      <c r="C1502" s="2" t="s">
        <v>22</v>
      </c>
      <c r="D1502" t="s">
        <v>23</v>
      </c>
      <c r="E1502">
        <v>4021</v>
      </c>
      <c r="F1502" t="s">
        <v>14</v>
      </c>
      <c r="G1502" t="s">
        <v>30</v>
      </c>
      <c r="H1502" t="s">
        <v>16</v>
      </c>
      <c r="I1502">
        <v>0</v>
      </c>
      <c r="J1502">
        <v>0</v>
      </c>
      <c r="K1502">
        <v>0</v>
      </c>
    </row>
    <row r="1503" spans="1:11" x14ac:dyDescent="0.25">
      <c r="A1503" t="s">
        <v>1543</v>
      </c>
      <c r="B1503" s="1">
        <v>46057.561944444446</v>
      </c>
      <c r="C1503" s="2" t="s">
        <v>22</v>
      </c>
      <c r="D1503" t="s">
        <v>33</v>
      </c>
      <c r="E1503">
        <v>88062</v>
      </c>
      <c r="F1503" t="s">
        <v>99</v>
      </c>
      <c r="G1503" t="s">
        <v>30</v>
      </c>
      <c r="H1503" t="s">
        <v>16</v>
      </c>
      <c r="I1503">
        <v>0</v>
      </c>
      <c r="J1503">
        <v>0</v>
      </c>
      <c r="K1503">
        <v>0</v>
      </c>
    </row>
    <row r="1504" spans="1:11" x14ac:dyDescent="0.25">
      <c r="A1504" t="s">
        <v>1544</v>
      </c>
      <c r="B1504" s="1">
        <v>46012.374212962961</v>
      </c>
      <c r="C1504" s="2" t="s">
        <v>18</v>
      </c>
      <c r="D1504" t="s">
        <v>33</v>
      </c>
      <c r="E1504">
        <v>25353</v>
      </c>
      <c r="F1504" t="s">
        <v>14</v>
      </c>
      <c r="G1504" t="s">
        <v>58</v>
      </c>
      <c r="H1504" t="s">
        <v>16</v>
      </c>
      <c r="I1504">
        <v>0</v>
      </c>
      <c r="J1504">
        <v>0</v>
      </c>
      <c r="K1504">
        <v>0</v>
      </c>
    </row>
    <row r="1505" spans="1:11" x14ac:dyDescent="0.25">
      <c r="A1505" t="s">
        <v>1545</v>
      </c>
      <c r="B1505" s="1">
        <v>45921.878067129626</v>
      </c>
      <c r="C1505" s="2" t="s">
        <v>12</v>
      </c>
      <c r="D1505" t="s">
        <v>45</v>
      </c>
      <c r="E1505">
        <v>52706</v>
      </c>
      <c r="F1505" t="s">
        <v>14</v>
      </c>
      <c r="G1505" t="s">
        <v>34</v>
      </c>
      <c r="H1505" t="s">
        <v>46</v>
      </c>
      <c r="I1505">
        <v>527.05999999999995</v>
      </c>
      <c r="J1505">
        <v>0</v>
      </c>
      <c r="K1505">
        <v>527.05999999999995</v>
      </c>
    </row>
    <row r="1506" spans="1:11" x14ac:dyDescent="0.25">
      <c r="A1506" t="s">
        <v>1546</v>
      </c>
      <c r="B1506" s="1">
        <v>45965.042638888888</v>
      </c>
      <c r="C1506" s="2" t="s">
        <v>18</v>
      </c>
      <c r="D1506" t="s">
        <v>13</v>
      </c>
      <c r="E1506">
        <v>8500</v>
      </c>
      <c r="F1506" t="s">
        <v>14</v>
      </c>
      <c r="G1506" t="s">
        <v>34</v>
      </c>
      <c r="H1506" t="s">
        <v>16</v>
      </c>
      <c r="I1506">
        <v>157.25</v>
      </c>
      <c r="J1506">
        <v>62.9</v>
      </c>
      <c r="K1506">
        <v>94.35</v>
      </c>
    </row>
    <row r="1507" spans="1:11" x14ac:dyDescent="0.25">
      <c r="A1507" t="s">
        <v>1547</v>
      </c>
      <c r="B1507" s="1">
        <v>45859.17695601852</v>
      </c>
      <c r="C1507" s="2" t="s">
        <v>32</v>
      </c>
      <c r="D1507" t="s">
        <v>33</v>
      </c>
      <c r="E1507">
        <v>123969</v>
      </c>
      <c r="F1507" t="s">
        <v>14</v>
      </c>
      <c r="G1507" t="s">
        <v>24</v>
      </c>
      <c r="H1507" t="s">
        <v>16</v>
      </c>
      <c r="I1507">
        <v>0</v>
      </c>
      <c r="J1507">
        <v>0</v>
      </c>
      <c r="K1507">
        <v>0</v>
      </c>
    </row>
    <row r="1508" spans="1:11" x14ac:dyDescent="0.25">
      <c r="A1508" t="s">
        <v>1548</v>
      </c>
      <c r="B1508" s="1">
        <v>45780.631238425929</v>
      </c>
      <c r="C1508" s="2" t="s">
        <v>41</v>
      </c>
      <c r="D1508" t="s">
        <v>19</v>
      </c>
      <c r="E1508">
        <v>15270</v>
      </c>
      <c r="F1508" t="s">
        <v>14</v>
      </c>
      <c r="G1508" t="s">
        <v>24</v>
      </c>
      <c r="H1508" t="s">
        <v>16</v>
      </c>
      <c r="I1508">
        <v>5</v>
      </c>
      <c r="J1508">
        <v>0</v>
      </c>
      <c r="K1508">
        <v>5</v>
      </c>
    </row>
    <row r="1509" spans="1:11" x14ac:dyDescent="0.25">
      <c r="A1509" t="s">
        <v>1549</v>
      </c>
      <c r="B1509" s="1">
        <v>46061.205810185187</v>
      </c>
      <c r="C1509" s="2" t="s">
        <v>12</v>
      </c>
      <c r="D1509" t="s">
        <v>23</v>
      </c>
      <c r="E1509">
        <v>3259</v>
      </c>
      <c r="F1509" t="s">
        <v>14</v>
      </c>
      <c r="G1509" t="s">
        <v>84</v>
      </c>
      <c r="H1509" t="s">
        <v>16</v>
      </c>
      <c r="I1509">
        <v>0</v>
      </c>
      <c r="J1509">
        <v>0</v>
      </c>
      <c r="K1509">
        <v>0</v>
      </c>
    </row>
    <row r="1510" spans="1:11" x14ac:dyDescent="0.25">
      <c r="A1510" t="s">
        <v>1550</v>
      </c>
      <c r="B1510" s="1">
        <v>45991.598703703705</v>
      </c>
      <c r="C1510" s="2" t="s">
        <v>22</v>
      </c>
      <c r="D1510" t="s">
        <v>19</v>
      </c>
      <c r="E1510">
        <v>47517</v>
      </c>
      <c r="F1510" t="s">
        <v>14</v>
      </c>
      <c r="G1510" t="s">
        <v>84</v>
      </c>
      <c r="H1510" t="s">
        <v>16</v>
      </c>
      <c r="I1510">
        <v>5</v>
      </c>
      <c r="J1510">
        <v>0</v>
      </c>
      <c r="K1510">
        <v>5</v>
      </c>
    </row>
    <row r="1511" spans="1:11" x14ac:dyDescent="0.25">
      <c r="A1511" t="s">
        <v>1551</v>
      </c>
      <c r="B1511" s="1">
        <v>46062.17324074074</v>
      </c>
      <c r="C1511" s="2" t="s">
        <v>12</v>
      </c>
      <c r="D1511" t="s">
        <v>23</v>
      </c>
      <c r="E1511">
        <v>1252</v>
      </c>
      <c r="F1511" t="s">
        <v>50</v>
      </c>
      <c r="G1511" t="s">
        <v>34</v>
      </c>
      <c r="H1511" t="s">
        <v>16</v>
      </c>
      <c r="I1511">
        <v>0</v>
      </c>
      <c r="J1511">
        <v>0</v>
      </c>
      <c r="K1511">
        <v>0</v>
      </c>
    </row>
    <row r="1512" spans="1:11" x14ac:dyDescent="0.25">
      <c r="A1512" t="s">
        <v>1552</v>
      </c>
      <c r="B1512" s="1">
        <v>45979.667511574073</v>
      </c>
      <c r="C1512" s="2" t="s">
        <v>22</v>
      </c>
      <c r="D1512" t="s">
        <v>23</v>
      </c>
      <c r="E1512">
        <v>2321</v>
      </c>
      <c r="F1512" t="s">
        <v>14</v>
      </c>
      <c r="G1512" t="s">
        <v>20</v>
      </c>
      <c r="H1512" t="s">
        <v>16</v>
      </c>
      <c r="I1512">
        <v>0</v>
      </c>
      <c r="J1512">
        <v>0</v>
      </c>
      <c r="K1512">
        <v>0</v>
      </c>
    </row>
    <row r="1513" spans="1:11" x14ac:dyDescent="0.25">
      <c r="A1513" t="s">
        <v>1553</v>
      </c>
      <c r="B1513" s="1">
        <v>45803.736875000002</v>
      </c>
      <c r="C1513" s="2" t="s">
        <v>26</v>
      </c>
      <c r="D1513" t="s">
        <v>23</v>
      </c>
      <c r="E1513">
        <v>2007</v>
      </c>
      <c r="F1513" t="s">
        <v>14</v>
      </c>
      <c r="G1513" t="s">
        <v>20</v>
      </c>
      <c r="H1513" t="s">
        <v>16</v>
      </c>
      <c r="I1513">
        <v>0</v>
      </c>
      <c r="J1513">
        <v>0</v>
      </c>
      <c r="K1513">
        <v>0</v>
      </c>
    </row>
    <row r="1514" spans="1:11" x14ac:dyDescent="0.25">
      <c r="A1514" t="s">
        <v>1554</v>
      </c>
      <c r="B1514" s="1">
        <v>46012.393645833334</v>
      </c>
      <c r="C1514" s="2" t="s">
        <v>32</v>
      </c>
      <c r="D1514" t="s">
        <v>23</v>
      </c>
      <c r="E1514">
        <v>563</v>
      </c>
      <c r="F1514" t="s">
        <v>50</v>
      </c>
      <c r="G1514" t="s">
        <v>15</v>
      </c>
      <c r="H1514" t="s">
        <v>16</v>
      </c>
      <c r="I1514">
        <v>0</v>
      </c>
      <c r="J1514">
        <v>0</v>
      </c>
      <c r="K1514">
        <v>0</v>
      </c>
    </row>
    <row r="1515" spans="1:11" x14ac:dyDescent="0.25">
      <c r="A1515" t="s">
        <v>1555</v>
      </c>
      <c r="B1515" s="1">
        <v>46093.642870370371</v>
      </c>
      <c r="C1515" s="2" t="s">
        <v>18</v>
      </c>
      <c r="D1515" t="s">
        <v>33</v>
      </c>
      <c r="E1515">
        <v>10917</v>
      </c>
      <c r="F1515" t="s">
        <v>14</v>
      </c>
      <c r="G1515" t="s">
        <v>84</v>
      </c>
      <c r="H1515" t="s">
        <v>16</v>
      </c>
      <c r="I1515">
        <v>0</v>
      </c>
      <c r="J1515">
        <v>0</v>
      </c>
      <c r="K1515">
        <v>0</v>
      </c>
    </row>
    <row r="1516" spans="1:11" x14ac:dyDescent="0.25">
      <c r="A1516" t="s">
        <v>1556</v>
      </c>
      <c r="B1516" s="1">
        <v>46007.251250000001</v>
      </c>
      <c r="C1516" s="2" t="s">
        <v>41</v>
      </c>
      <c r="D1516" t="s">
        <v>19</v>
      </c>
      <c r="E1516">
        <v>107574</v>
      </c>
      <c r="F1516" t="s">
        <v>14</v>
      </c>
      <c r="G1516" t="s">
        <v>34</v>
      </c>
      <c r="H1516" t="s">
        <v>16</v>
      </c>
      <c r="I1516">
        <v>5</v>
      </c>
      <c r="J1516">
        <v>0</v>
      </c>
      <c r="K1516">
        <v>5</v>
      </c>
    </row>
    <row r="1517" spans="1:11" x14ac:dyDescent="0.25">
      <c r="A1517" t="s">
        <v>1557</v>
      </c>
      <c r="B1517" s="1">
        <v>45816.058622685188</v>
      </c>
      <c r="C1517" s="2" t="s">
        <v>26</v>
      </c>
      <c r="D1517" t="s">
        <v>13</v>
      </c>
      <c r="E1517">
        <v>199500</v>
      </c>
      <c r="F1517" t="s">
        <v>14</v>
      </c>
      <c r="G1517" t="s">
        <v>15</v>
      </c>
      <c r="H1517" t="s">
        <v>16</v>
      </c>
      <c r="I1517">
        <v>3690.75</v>
      </c>
      <c r="J1517">
        <v>1476.3</v>
      </c>
      <c r="K1517">
        <v>2214.4499999999998</v>
      </c>
    </row>
    <row r="1518" spans="1:11" x14ac:dyDescent="0.25">
      <c r="A1518" t="s">
        <v>1558</v>
      </c>
      <c r="B1518" s="1">
        <v>45886.903831018521</v>
      </c>
      <c r="C1518" s="2" t="s">
        <v>12</v>
      </c>
      <c r="D1518" t="s">
        <v>19</v>
      </c>
      <c r="E1518">
        <v>19307</v>
      </c>
      <c r="F1518" t="s">
        <v>14</v>
      </c>
      <c r="G1518" t="s">
        <v>24</v>
      </c>
      <c r="H1518" t="s">
        <v>16</v>
      </c>
      <c r="I1518">
        <v>5</v>
      </c>
      <c r="J1518">
        <v>0</v>
      </c>
      <c r="K1518">
        <v>5</v>
      </c>
    </row>
    <row r="1519" spans="1:11" x14ac:dyDescent="0.25">
      <c r="A1519" t="s">
        <v>1559</v>
      </c>
      <c r="B1519" s="1">
        <v>45896.752268518518</v>
      </c>
      <c r="C1519" s="2" t="s">
        <v>29</v>
      </c>
      <c r="D1519" t="s">
        <v>23</v>
      </c>
      <c r="E1519">
        <v>1163</v>
      </c>
      <c r="F1519" t="s">
        <v>14</v>
      </c>
      <c r="G1519" t="s">
        <v>30</v>
      </c>
      <c r="H1519" t="s">
        <v>16</v>
      </c>
      <c r="I1519">
        <v>0</v>
      </c>
      <c r="J1519">
        <v>0</v>
      </c>
      <c r="K1519">
        <v>0</v>
      </c>
    </row>
    <row r="1520" spans="1:11" x14ac:dyDescent="0.25">
      <c r="A1520" t="s">
        <v>1560</v>
      </c>
      <c r="B1520" s="1">
        <v>46022.176099537035</v>
      </c>
      <c r="C1520" s="2" t="s">
        <v>18</v>
      </c>
      <c r="D1520" t="s">
        <v>13</v>
      </c>
      <c r="E1520">
        <v>200000</v>
      </c>
      <c r="F1520" t="s">
        <v>14</v>
      </c>
      <c r="G1520" t="s">
        <v>30</v>
      </c>
      <c r="H1520" t="s">
        <v>16</v>
      </c>
      <c r="I1520">
        <v>3700</v>
      </c>
      <c r="J1520">
        <v>1480</v>
      </c>
      <c r="K1520">
        <v>2220</v>
      </c>
    </row>
    <row r="1521" spans="1:11" x14ac:dyDescent="0.25">
      <c r="A1521" t="s">
        <v>1561</v>
      </c>
      <c r="B1521" s="1">
        <v>45796.164398148147</v>
      </c>
      <c r="C1521" s="2" t="s">
        <v>12</v>
      </c>
      <c r="D1521" t="s">
        <v>45</v>
      </c>
      <c r="E1521">
        <v>42921</v>
      </c>
      <c r="F1521" t="s">
        <v>14</v>
      </c>
      <c r="G1521" t="s">
        <v>24</v>
      </c>
      <c r="H1521" t="s">
        <v>178</v>
      </c>
      <c r="I1521">
        <v>429.21</v>
      </c>
      <c r="J1521">
        <v>0</v>
      </c>
      <c r="K1521">
        <v>429.21</v>
      </c>
    </row>
    <row r="1522" spans="1:11" x14ac:dyDescent="0.25">
      <c r="A1522" t="s">
        <v>1562</v>
      </c>
      <c r="B1522" s="1">
        <v>45999.143796296295</v>
      </c>
      <c r="C1522" s="2" t="s">
        <v>22</v>
      </c>
      <c r="D1522" t="s">
        <v>33</v>
      </c>
      <c r="E1522">
        <v>51479</v>
      </c>
      <c r="F1522" t="s">
        <v>14</v>
      </c>
      <c r="G1522" t="s">
        <v>24</v>
      </c>
      <c r="H1522" t="s">
        <v>16</v>
      </c>
      <c r="I1522">
        <v>0</v>
      </c>
      <c r="J1522">
        <v>0</v>
      </c>
      <c r="K1522">
        <v>0</v>
      </c>
    </row>
    <row r="1523" spans="1:11" x14ac:dyDescent="0.25">
      <c r="A1523" t="s">
        <v>1563</v>
      </c>
      <c r="B1523" s="1">
        <v>46097.586886574078</v>
      </c>
      <c r="C1523" s="2" t="s">
        <v>32</v>
      </c>
      <c r="D1523" t="s">
        <v>33</v>
      </c>
      <c r="E1523">
        <v>48512</v>
      </c>
      <c r="F1523" t="s">
        <v>14</v>
      </c>
      <c r="G1523" t="s">
        <v>24</v>
      </c>
      <c r="H1523" t="s">
        <v>16</v>
      </c>
      <c r="I1523">
        <v>0</v>
      </c>
      <c r="J1523">
        <v>0</v>
      </c>
      <c r="K1523">
        <v>0</v>
      </c>
    </row>
    <row r="1524" spans="1:11" x14ac:dyDescent="0.25">
      <c r="A1524" t="s">
        <v>1564</v>
      </c>
      <c r="B1524" s="1">
        <v>45905.29179398148</v>
      </c>
      <c r="C1524" s="2" t="s">
        <v>39</v>
      </c>
      <c r="D1524" t="s">
        <v>45</v>
      </c>
      <c r="E1524">
        <v>26114</v>
      </c>
      <c r="F1524" t="s">
        <v>14</v>
      </c>
      <c r="G1524" t="s">
        <v>15</v>
      </c>
      <c r="H1524" t="s">
        <v>56</v>
      </c>
      <c r="I1524">
        <v>261.14</v>
      </c>
      <c r="J1524">
        <v>0</v>
      </c>
      <c r="K1524">
        <v>261.14</v>
      </c>
    </row>
    <row r="1525" spans="1:11" x14ac:dyDescent="0.25">
      <c r="A1525" t="s">
        <v>1565</v>
      </c>
      <c r="B1525" s="1">
        <v>46121.397048611114</v>
      </c>
      <c r="C1525" s="2" t="s">
        <v>22</v>
      </c>
      <c r="D1525" t="s">
        <v>33</v>
      </c>
      <c r="E1525">
        <v>30489</v>
      </c>
      <c r="F1525" t="s">
        <v>14</v>
      </c>
      <c r="G1525" t="s">
        <v>84</v>
      </c>
      <c r="H1525" t="s">
        <v>16</v>
      </c>
      <c r="I1525">
        <v>0</v>
      </c>
      <c r="J1525">
        <v>0</v>
      </c>
      <c r="K1525">
        <v>0</v>
      </c>
    </row>
    <row r="1526" spans="1:11" x14ac:dyDescent="0.25">
      <c r="A1526" t="s">
        <v>1566</v>
      </c>
      <c r="B1526" s="1">
        <v>45988.320775462962</v>
      </c>
      <c r="C1526" s="2" t="s">
        <v>18</v>
      </c>
      <c r="D1526" t="s">
        <v>19</v>
      </c>
      <c r="E1526">
        <v>50779</v>
      </c>
      <c r="F1526" t="s">
        <v>14</v>
      </c>
      <c r="G1526" t="s">
        <v>30</v>
      </c>
      <c r="H1526" t="s">
        <v>16</v>
      </c>
      <c r="I1526">
        <v>5</v>
      </c>
      <c r="J1526">
        <v>0</v>
      </c>
      <c r="K1526">
        <v>5</v>
      </c>
    </row>
    <row r="1527" spans="1:11" x14ac:dyDescent="0.25">
      <c r="A1527" t="s">
        <v>1567</v>
      </c>
      <c r="B1527" s="1">
        <v>45996.396817129629</v>
      </c>
      <c r="C1527" s="2" t="s">
        <v>12</v>
      </c>
      <c r="D1527" t="s">
        <v>33</v>
      </c>
      <c r="E1527">
        <v>74142</v>
      </c>
      <c r="F1527" t="s">
        <v>50</v>
      </c>
      <c r="G1527" t="s">
        <v>30</v>
      </c>
      <c r="H1527" t="s">
        <v>16</v>
      </c>
      <c r="I1527">
        <v>0</v>
      </c>
      <c r="J1527">
        <v>0</v>
      </c>
      <c r="K1527">
        <v>0</v>
      </c>
    </row>
    <row r="1528" spans="1:11" x14ac:dyDescent="0.25">
      <c r="A1528" t="s">
        <v>1568</v>
      </c>
      <c r="B1528" s="1">
        <v>45998.799027777779</v>
      </c>
      <c r="C1528" s="2" t="s">
        <v>26</v>
      </c>
      <c r="D1528" t="s">
        <v>23</v>
      </c>
      <c r="E1528">
        <v>1658</v>
      </c>
      <c r="F1528" t="s">
        <v>14</v>
      </c>
      <c r="G1528" t="s">
        <v>20</v>
      </c>
      <c r="H1528" t="s">
        <v>16</v>
      </c>
      <c r="I1528">
        <v>0</v>
      </c>
      <c r="J1528">
        <v>0</v>
      </c>
      <c r="K1528">
        <v>0</v>
      </c>
    </row>
    <row r="1529" spans="1:11" x14ac:dyDescent="0.25">
      <c r="A1529" t="s">
        <v>1569</v>
      </c>
      <c r="B1529" s="1">
        <v>46030.032060185185</v>
      </c>
      <c r="C1529" s="2" t="s">
        <v>29</v>
      </c>
      <c r="D1529" t="s">
        <v>13</v>
      </c>
      <c r="E1529">
        <v>217500</v>
      </c>
      <c r="F1529" t="s">
        <v>14</v>
      </c>
      <c r="G1529" t="s">
        <v>34</v>
      </c>
      <c r="H1529" t="s">
        <v>16</v>
      </c>
      <c r="I1529">
        <v>4023.75</v>
      </c>
      <c r="J1529">
        <v>1609.5</v>
      </c>
      <c r="K1529">
        <v>2414.25</v>
      </c>
    </row>
    <row r="1530" spans="1:11" x14ac:dyDescent="0.25">
      <c r="A1530" t="s">
        <v>1570</v>
      </c>
      <c r="B1530" s="1">
        <v>45795.332499999997</v>
      </c>
      <c r="C1530" s="2" t="s">
        <v>26</v>
      </c>
      <c r="D1530" t="s">
        <v>13</v>
      </c>
      <c r="E1530">
        <v>65500</v>
      </c>
      <c r="F1530" t="s">
        <v>14</v>
      </c>
      <c r="G1530" t="s">
        <v>34</v>
      </c>
      <c r="H1530" t="s">
        <v>16</v>
      </c>
      <c r="I1530">
        <v>1211.75</v>
      </c>
      <c r="J1530">
        <v>484.7</v>
      </c>
      <c r="K1530">
        <v>727.05</v>
      </c>
    </row>
    <row r="1531" spans="1:11" x14ac:dyDescent="0.25">
      <c r="A1531" t="s">
        <v>1571</v>
      </c>
      <c r="B1531" s="1">
        <v>46069.406493055554</v>
      </c>
      <c r="C1531" s="2" t="s">
        <v>32</v>
      </c>
      <c r="D1531" t="s">
        <v>19</v>
      </c>
      <c r="E1531">
        <v>78932</v>
      </c>
      <c r="F1531" t="s">
        <v>50</v>
      </c>
      <c r="G1531" t="s">
        <v>58</v>
      </c>
      <c r="H1531" t="s">
        <v>16</v>
      </c>
      <c r="I1531">
        <v>5</v>
      </c>
      <c r="J1531">
        <v>0</v>
      </c>
      <c r="K1531">
        <v>5</v>
      </c>
    </row>
    <row r="1532" spans="1:11" x14ac:dyDescent="0.25">
      <c r="A1532" t="s">
        <v>1572</v>
      </c>
      <c r="B1532" s="1">
        <v>45866.586354166669</v>
      </c>
      <c r="C1532" s="2" t="s">
        <v>32</v>
      </c>
      <c r="D1532" t="s">
        <v>45</v>
      </c>
      <c r="E1532">
        <v>2553</v>
      </c>
      <c r="F1532" t="s">
        <v>14</v>
      </c>
      <c r="G1532" t="s">
        <v>24</v>
      </c>
      <c r="H1532" t="s">
        <v>46</v>
      </c>
      <c r="I1532">
        <v>25.53</v>
      </c>
      <c r="J1532">
        <v>0</v>
      </c>
      <c r="K1532">
        <v>25.53</v>
      </c>
    </row>
    <row r="1533" spans="1:11" x14ac:dyDescent="0.25">
      <c r="A1533" t="s">
        <v>1573</v>
      </c>
      <c r="B1533" s="1">
        <v>45830.578703703701</v>
      </c>
      <c r="C1533" s="2" t="s">
        <v>26</v>
      </c>
      <c r="D1533" t="s">
        <v>45</v>
      </c>
      <c r="E1533">
        <v>141559</v>
      </c>
      <c r="F1533" t="s">
        <v>14</v>
      </c>
      <c r="G1533" t="s">
        <v>34</v>
      </c>
      <c r="H1533" t="s">
        <v>46</v>
      </c>
      <c r="I1533">
        <v>1415.59</v>
      </c>
      <c r="J1533">
        <v>0</v>
      </c>
      <c r="K1533">
        <v>1415.59</v>
      </c>
    </row>
    <row r="1534" spans="1:11" x14ac:dyDescent="0.25">
      <c r="A1534" t="s">
        <v>1574</v>
      </c>
      <c r="B1534" s="1">
        <v>45836.575694444444</v>
      </c>
      <c r="C1534" s="2" t="s">
        <v>18</v>
      </c>
      <c r="D1534" t="s">
        <v>19</v>
      </c>
      <c r="E1534">
        <v>10302</v>
      </c>
      <c r="F1534" t="s">
        <v>14</v>
      </c>
      <c r="G1534" t="s">
        <v>51</v>
      </c>
      <c r="H1534" t="s">
        <v>16</v>
      </c>
      <c r="I1534">
        <v>5</v>
      </c>
      <c r="J1534">
        <v>0</v>
      </c>
      <c r="K1534">
        <v>5</v>
      </c>
    </row>
    <row r="1535" spans="1:11" x14ac:dyDescent="0.25">
      <c r="A1535" t="s">
        <v>1575</v>
      </c>
      <c r="B1535" s="1">
        <v>45908.086574074077</v>
      </c>
      <c r="C1535" s="2" t="s">
        <v>41</v>
      </c>
      <c r="D1535" t="s">
        <v>33</v>
      </c>
      <c r="E1535">
        <v>106691</v>
      </c>
      <c r="F1535" t="s">
        <v>14</v>
      </c>
      <c r="G1535" t="s">
        <v>58</v>
      </c>
      <c r="H1535" t="s">
        <v>16</v>
      </c>
      <c r="I1535">
        <v>0</v>
      </c>
      <c r="J1535">
        <v>0</v>
      </c>
      <c r="K1535">
        <v>0</v>
      </c>
    </row>
    <row r="1536" spans="1:11" x14ac:dyDescent="0.25">
      <c r="A1536" t="s">
        <v>1576</v>
      </c>
      <c r="B1536" s="1">
        <v>46012.058831018519</v>
      </c>
      <c r="C1536" s="2" t="s">
        <v>18</v>
      </c>
      <c r="D1536" t="s">
        <v>45</v>
      </c>
      <c r="E1536">
        <v>108405</v>
      </c>
      <c r="F1536" t="s">
        <v>99</v>
      </c>
      <c r="G1536" t="s">
        <v>15</v>
      </c>
      <c r="H1536" t="s">
        <v>59</v>
      </c>
      <c r="I1536">
        <v>1084.05</v>
      </c>
      <c r="J1536">
        <v>0</v>
      </c>
      <c r="K1536">
        <v>1084.05</v>
      </c>
    </row>
    <row r="1537" spans="1:11" x14ac:dyDescent="0.25">
      <c r="A1537" t="s">
        <v>1577</v>
      </c>
      <c r="B1537" s="1">
        <v>46017.412824074076</v>
      </c>
      <c r="C1537" s="2" t="s">
        <v>39</v>
      </c>
      <c r="D1537" t="s">
        <v>19</v>
      </c>
      <c r="E1537">
        <v>44942</v>
      </c>
      <c r="F1537" t="s">
        <v>14</v>
      </c>
      <c r="G1537" t="s">
        <v>27</v>
      </c>
      <c r="H1537" t="s">
        <v>16</v>
      </c>
      <c r="I1537">
        <v>5</v>
      </c>
      <c r="J1537">
        <v>0</v>
      </c>
      <c r="K1537">
        <v>5</v>
      </c>
    </row>
    <row r="1538" spans="1:11" x14ac:dyDescent="0.25">
      <c r="A1538" t="s">
        <v>1578</v>
      </c>
      <c r="B1538" s="1">
        <v>46125.643541666665</v>
      </c>
      <c r="C1538" s="2" t="s">
        <v>22</v>
      </c>
      <c r="D1538" t="s">
        <v>13</v>
      </c>
      <c r="E1538">
        <v>220000</v>
      </c>
      <c r="F1538" t="s">
        <v>14</v>
      </c>
      <c r="G1538" t="s">
        <v>51</v>
      </c>
      <c r="H1538" t="s">
        <v>16</v>
      </c>
      <c r="I1538">
        <v>4070</v>
      </c>
      <c r="J1538">
        <v>1628</v>
      </c>
      <c r="K1538">
        <v>2442</v>
      </c>
    </row>
    <row r="1539" spans="1:11" x14ac:dyDescent="0.25">
      <c r="A1539" t="s">
        <v>1579</v>
      </c>
      <c r="B1539" s="1">
        <v>46004.925023148149</v>
      </c>
      <c r="C1539" s="2" t="s">
        <v>29</v>
      </c>
      <c r="D1539" t="s">
        <v>13</v>
      </c>
      <c r="E1539">
        <v>193000</v>
      </c>
      <c r="F1539" t="s">
        <v>14</v>
      </c>
      <c r="G1539" t="s">
        <v>27</v>
      </c>
      <c r="H1539" t="s">
        <v>16</v>
      </c>
      <c r="I1539">
        <v>3570.5</v>
      </c>
      <c r="J1539">
        <v>1428.2</v>
      </c>
      <c r="K1539">
        <v>2142.3000000000002</v>
      </c>
    </row>
    <row r="1540" spans="1:11" x14ac:dyDescent="0.25">
      <c r="A1540" t="s">
        <v>1580</v>
      </c>
      <c r="B1540" s="1">
        <v>46082.585393518515</v>
      </c>
      <c r="C1540" s="2" t="s">
        <v>22</v>
      </c>
      <c r="D1540" t="s">
        <v>13</v>
      </c>
      <c r="E1540">
        <v>35500</v>
      </c>
      <c r="F1540" t="s">
        <v>50</v>
      </c>
      <c r="G1540" t="s">
        <v>24</v>
      </c>
      <c r="H1540" t="s">
        <v>16</v>
      </c>
      <c r="I1540">
        <v>656.75</v>
      </c>
      <c r="J1540">
        <v>262.7</v>
      </c>
      <c r="K1540">
        <v>394.05</v>
      </c>
    </row>
    <row r="1541" spans="1:11" x14ac:dyDescent="0.25">
      <c r="A1541" t="s">
        <v>1581</v>
      </c>
      <c r="B1541" s="1">
        <v>45944.187523148146</v>
      </c>
      <c r="C1541" s="2" t="s">
        <v>22</v>
      </c>
      <c r="D1541" t="s">
        <v>13</v>
      </c>
      <c r="E1541">
        <v>218000</v>
      </c>
      <c r="F1541" t="s">
        <v>14</v>
      </c>
      <c r="G1541" t="s">
        <v>58</v>
      </c>
      <c r="H1541" t="s">
        <v>16</v>
      </c>
      <c r="I1541">
        <v>4033</v>
      </c>
      <c r="J1541">
        <v>1613.2</v>
      </c>
      <c r="K1541">
        <v>2419.8000000000002</v>
      </c>
    </row>
    <row r="1542" spans="1:11" x14ac:dyDescent="0.25">
      <c r="A1542" t="s">
        <v>1582</v>
      </c>
      <c r="B1542" s="1">
        <v>45879.476365740738</v>
      </c>
      <c r="C1542" s="2" t="s">
        <v>22</v>
      </c>
      <c r="D1542" t="s">
        <v>23</v>
      </c>
      <c r="E1542">
        <v>2570</v>
      </c>
      <c r="F1542" t="s">
        <v>14</v>
      </c>
      <c r="G1542" t="s">
        <v>24</v>
      </c>
      <c r="H1542" t="s">
        <v>16</v>
      </c>
      <c r="I1542">
        <v>0</v>
      </c>
      <c r="J1542">
        <v>0</v>
      </c>
      <c r="K1542">
        <v>0</v>
      </c>
    </row>
    <row r="1543" spans="1:11" x14ac:dyDescent="0.25">
      <c r="A1543" t="s">
        <v>1583</v>
      </c>
      <c r="B1543" s="1">
        <v>46073.680208333331</v>
      </c>
      <c r="C1543" s="2" t="s">
        <v>41</v>
      </c>
      <c r="D1543" t="s">
        <v>23</v>
      </c>
      <c r="E1543">
        <v>3070</v>
      </c>
      <c r="F1543" t="s">
        <v>14</v>
      </c>
      <c r="G1543" t="s">
        <v>84</v>
      </c>
      <c r="H1543" t="s">
        <v>16</v>
      </c>
      <c r="I1543">
        <v>0</v>
      </c>
      <c r="J1543">
        <v>0</v>
      </c>
      <c r="K1543">
        <v>0</v>
      </c>
    </row>
    <row r="1544" spans="1:11" x14ac:dyDescent="0.25">
      <c r="A1544" t="s">
        <v>1584</v>
      </c>
      <c r="B1544" s="1">
        <v>45928.380972222221</v>
      </c>
      <c r="C1544" s="2" t="s">
        <v>22</v>
      </c>
      <c r="D1544" t="s">
        <v>19</v>
      </c>
      <c r="E1544">
        <v>66978</v>
      </c>
      <c r="F1544" t="s">
        <v>14</v>
      </c>
      <c r="G1544" t="s">
        <v>34</v>
      </c>
      <c r="H1544" t="s">
        <v>16</v>
      </c>
      <c r="I1544">
        <v>5</v>
      </c>
      <c r="J1544">
        <v>0</v>
      </c>
      <c r="K1544">
        <v>5</v>
      </c>
    </row>
    <row r="1545" spans="1:11" x14ac:dyDescent="0.25">
      <c r="A1545" t="s">
        <v>1585</v>
      </c>
      <c r="B1545" s="1">
        <v>46083.654629629629</v>
      </c>
      <c r="C1545" s="2" t="s">
        <v>39</v>
      </c>
      <c r="D1545" t="s">
        <v>33</v>
      </c>
      <c r="E1545">
        <v>121194</v>
      </c>
      <c r="F1545" t="s">
        <v>14</v>
      </c>
      <c r="G1545" t="s">
        <v>84</v>
      </c>
      <c r="H1545" t="s">
        <v>16</v>
      </c>
      <c r="I1545">
        <v>0</v>
      </c>
      <c r="J1545">
        <v>0</v>
      </c>
      <c r="K1545">
        <v>0</v>
      </c>
    </row>
    <row r="1546" spans="1:11" x14ac:dyDescent="0.25">
      <c r="A1546" t="s">
        <v>1586</v>
      </c>
      <c r="B1546" s="1">
        <v>46046.709317129629</v>
      </c>
      <c r="C1546" s="2" t="s">
        <v>29</v>
      </c>
      <c r="D1546" t="s">
        <v>33</v>
      </c>
      <c r="E1546">
        <v>136327</v>
      </c>
      <c r="F1546" t="s">
        <v>14</v>
      </c>
      <c r="G1546" t="s">
        <v>58</v>
      </c>
      <c r="H1546" t="s">
        <v>16</v>
      </c>
      <c r="I1546">
        <v>0</v>
      </c>
      <c r="J1546">
        <v>0</v>
      </c>
      <c r="K1546">
        <v>0</v>
      </c>
    </row>
    <row r="1547" spans="1:11" x14ac:dyDescent="0.25">
      <c r="A1547" t="s">
        <v>1587</v>
      </c>
      <c r="B1547" s="1">
        <v>45868.645925925928</v>
      </c>
      <c r="C1547" s="2" t="s">
        <v>26</v>
      </c>
      <c r="D1547" t="s">
        <v>13</v>
      </c>
      <c r="E1547">
        <v>98500</v>
      </c>
      <c r="F1547" t="s">
        <v>14</v>
      </c>
      <c r="G1547" t="s">
        <v>51</v>
      </c>
      <c r="H1547" t="s">
        <v>16</v>
      </c>
      <c r="I1547">
        <v>1822.25</v>
      </c>
      <c r="J1547">
        <v>728.9</v>
      </c>
      <c r="K1547">
        <v>1093.3499999999999</v>
      </c>
    </row>
    <row r="1548" spans="1:11" x14ac:dyDescent="0.25">
      <c r="A1548" t="s">
        <v>1588</v>
      </c>
      <c r="B1548" s="1">
        <v>45934.486689814818</v>
      </c>
      <c r="C1548" s="2" t="s">
        <v>22</v>
      </c>
      <c r="D1548" t="s">
        <v>23</v>
      </c>
      <c r="E1548">
        <v>4657</v>
      </c>
      <c r="F1548" t="s">
        <v>14</v>
      </c>
      <c r="G1548" t="s">
        <v>27</v>
      </c>
      <c r="H1548" t="s">
        <v>16</v>
      </c>
      <c r="I1548">
        <v>0</v>
      </c>
      <c r="J1548">
        <v>0</v>
      </c>
      <c r="K1548">
        <v>0</v>
      </c>
    </row>
    <row r="1549" spans="1:11" x14ac:dyDescent="0.25">
      <c r="A1549" t="s">
        <v>1589</v>
      </c>
      <c r="B1549" s="1">
        <v>45863.651319444441</v>
      </c>
      <c r="C1549" s="2" t="s">
        <v>29</v>
      </c>
      <c r="D1549" t="s">
        <v>45</v>
      </c>
      <c r="E1549">
        <v>63413</v>
      </c>
      <c r="F1549" t="s">
        <v>14</v>
      </c>
      <c r="G1549" t="s">
        <v>58</v>
      </c>
      <c r="H1549" t="s">
        <v>56</v>
      </c>
      <c r="I1549">
        <v>634.13</v>
      </c>
      <c r="J1549">
        <v>0</v>
      </c>
      <c r="K1549">
        <v>634.13</v>
      </c>
    </row>
    <row r="1550" spans="1:11" x14ac:dyDescent="0.25">
      <c r="A1550" t="s">
        <v>1590</v>
      </c>
      <c r="B1550" s="1">
        <v>45944.080833333333</v>
      </c>
      <c r="C1550" s="2" t="s">
        <v>18</v>
      </c>
      <c r="D1550" t="s">
        <v>19</v>
      </c>
      <c r="E1550">
        <v>73104</v>
      </c>
      <c r="F1550" t="s">
        <v>14</v>
      </c>
      <c r="G1550" t="s">
        <v>58</v>
      </c>
      <c r="H1550" t="s">
        <v>16</v>
      </c>
      <c r="I1550">
        <v>5</v>
      </c>
      <c r="J1550">
        <v>0</v>
      </c>
      <c r="K1550">
        <v>5</v>
      </c>
    </row>
    <row r="1551" spans="1:11" x14ac:dyDescent="0.25">
      <c r="A1551" t="s">
        <v>1591</v>
      </c>
      <c r="B1551" s="1">
        <v>46106.927418981482</v>
      </c>
      <c r="C1551" s="2" t="s">
        <v>41</v>
      </c>
      <c r="D1551" t="s">
        <v>23</v>
      </c>
      <c r="E1551">
        <v>4285</v>
      </c>
      <c r="F1551" t="s">
        <v>14</v>
      </c>
      <c r="G1551" t="s">
        <v>34</v>
      </c>
      <c r="H1551" t="s">
        <v>16</v>
      </c>
      <c r="I1551">
        <v>0</v>
      </c>
      <c r="J1551">
        <v>0</v>
      </c>
      <c r="K1551">
        <v>0</v>
      </c>
    </row>
    <row r="1552" spans="1:11" x14ac:dyDescent="0.25">
      <c r="A1552" t="s">
        <v>1592</v>
      </c>
      <c r="B1552" s="1">
        <v>46095.903148148151</v>
      </c>
      <c r="C1552" s="2" t="s">
        <v>22</v>
      </c>
      <c r="D1552" t="s">
        <v>33</v>
      </c>
      <c r="E1552">
        <v>69822</v>
      </c>
      <c r="F1552" t="s">
        <v>14</v>
      </c>
      <c r="G1552" t="s">
        <v>15</v>
      </c>
      <c r="H1552" t="s">
        <v>16</v>
      </c>
      <c r="I1552">
        <v>0</v>
      </c>
      <c r="J1552">
        <v>0</v>
      </c>
      <c r="K1552">
        <v>0</v>
      </c>
    </row>
    <row r="1553" spans="1:11" x14ac:dyDescent="0.25">
      <c r="A1553" t="s">
        <v>1593</v>
      </c>
      <c r="B1553" s="1">
        <v>46065.776192129626</v>
      </c>
      <c r="C1553" s="2" t="s">
        <v>26</v>
      </c>
      <c r="D1553" t="s">
        <v>19</v>
      </c>
      <c r="E1553">
        <v>13226</v>
      </c>
      <c r="F1553" t="s">
        <v>50</v>
      </c>
      <c r="G1553" t="s">
        <v>51</v>
      </c>
      <c r="H1553" t="s">
        <v>16</v>
      </c>
      <c r="I1553">
        <v>5</v>
      </c>
      <c r="J1553">
        <v>0</v>
      </c>
      <c r="K1553">
        <v>5</v>
      </c>
    </row>
    <row r="1554" spans="1:11" x14ac:dyDescent="0.25">
      <c r="A1554" t="s">
        <v>1594</v>
      </c>
      <c r="B1554" s="1">
        <v>46054.785775462966</v>
      </c>
      <c r="C1554" s="2" t="s">
        <v>41</v>
      </c>
      <c r="D1554" t="s">
        <v>45</v>
      </c>
      <c r="E1554">
        <v>119717</v>
      </c>
      <c r="F1554" t="s">
        <v>14</v>
      </c>
      <c r="G1554" t="s">
        <v>15</v>
      </c>
      <c r="H1554" t="s">
        <v>71</v>
      </c>
      <c r="I1554">
        <v>1197.17</v>
      </c>
      <c r="J1554">
        <v>0</v>
      </c>
      <c r="K1554">
        <v>1197.17</v>
      </c>
    </row>
    <row r="1555" spans="1:11" x14ac:dyDescent="0.25">
      <c r="A1555" t="s">
        <v>1595</v>
      </c>
      <c r="B1555" s="1">
        <v>45884.39634259259</v>
      </c>
      <c r="C1555" s="2" t="s">
        <v>12</v>
      </c>
      <c r="D1555" t="s">
        <v>45</v>
      </c>
      <c r="E1555">
        <v>78914</v>
      </c>
      <c r="F1555" t="s">
        <v>14</v>
      </c>
      <c r="G1555" t="s">
        <v>30</v>
      </c>
      <c r="H1555" t="s">
        <v>178</v>
      </c>
      <c r="I1555">
        <v>789.14</v>
      </c>
      <c r="J1555">
        <v>0</v>
      </c>
      <c r="K1555">
        <v>789.14</v>
      </c>
    </row>
    <row r="1556" spans="1:11" x14ac:dyDescent="0.25">
      <c r="A1556" t="s">
        <v>1596</v>
      </c>
      <c r="B1556" s="1">
        <v>45997.336180555554</v>
      </c>
      <c r="C1556" s="2" t="s">
        <v>41</v>
      </c>
      <c r="D1556" t="s">
        <v>45</v>
      </c>
      <c r="E1556">
        <v>3693</v>
      </c>
      <c r="F1556" t="s">
        <v>14</v>
      </c>
      <c r="G1556" t="s">
        <v>34</v>
      </c>
      <c r="H1556" t="s">
        <v>46</v>
      </c>
      <c r="I1556">
        <v>36.93</v>
      </c>
      <c r="J1556">
        <v>0</v>
      </c>
      <c r="K1556">
        <v>36.93</v>
      </c>
    </row>
    <row r="1557" spans="1:11" x14ac:dyDescent="0.25">
      <c r="A1557" t="s">
        <v>1597</v>
      </c>
      <c r="B1557" s="1">
        <v>45800.528090277781</v>
      </c>
      <c r="C1557" s="2" t="s">
        <v>32</v>
      </c>
      <c r="D1557" t="s">
        <v>23</v>
      </c>
      <c r="E1557">
        <v>3621</v>
      </c>
      <c r="F1557" t="s">
        <v>14</v>
      </c>
      <c r="G1557" t="s">
        <v>20</v>
      </c>
      <c r="H1557" t="s">
        <v>16</v>
      </c>
      <c r="I1557">
        <v>0</v>
      </c>
      <c r="J1557">
        <v>0</v>
      </c>
      <c r="K1557">
        <v>0</v>
      </c>
    </row>
    <row r="1558" spans="1:11" x14ac:dyDescent="0.25">
      <c r="A1558" t="s">
        <v>1598</v>
      </c>
      <c r="B1558" s="1">
        <v>46080.25613425926</v>
      </c>
      <c r="C1558" s="2" t="s">
        <v>12</v>
      </c>
      <c r="D1558" t="s">
        <v>23</v>
      </c>
      <c r="E1558">
        <v>4224</v>
      </c>
      <c r="F1558" t="s">
        <v>50</v>
      </c>
      <c r="G1558" t="s">
        <v>24</v>
      </c>
      <c r="H1558" t="s">
        <v>16</v>
      </c>
      <c r="I1558">
        <v>0</v>
      </c>
      <c r="J1558">
        <v>0</v>
      </c>
      <c r="K1558">
        <v>0</v>
      </c>
    </row>
    <row r="1559" spans="1:11" x14ac:dyDescent="0.25">
      <c r="A1559" t="s">
        <v>1599</v>
      </c>
      <c r="B1559" s="1">
        <v>45794.273009259261</v>
      </c>
      <c r="C1559" s="2" t="s">
        <v>29</v>
      </c>
      <c r="D1559" t="s">
        <v>19</v>
      </c>
      <c r="E1559">
        <v>77032</v>
      </c>
      <c r="F1559" t="s">
        <v>14</v>
      </c>
      <c r="G1559" t="s">
        <v>84</v>
      </c>
      <c r="H1559" t="s">
        <v>16</v>
      </c>
      <c r="I1559">
        <v>5</v>
      </c>
      <c r="J1559">
        <v>0</v>
      </c>
      <c r="K1559">
        <v>5</v>
      </c>
    </row>
    <row r="1560" spans="1:11" x14ac:dyDescent="0.25">
      <c r="A1560" t="s">
        <v>1600</v>
      </c>
      <c r="B1560" s="1">
        <v>45836.821064814816</v>
      </c>
      <c r="C1560" s="2" t="s">
        <v>12</v>
      </c>
      <c r="D1560" t="s">
        <v>13</v>
      </c>
      <c r="E1560">
        <v>228000</v>
      </c>
      <c r="F1560" t="s">
        <v>14</v>
      </c>
      <c r="G1560" t="s">
        <v>34</v>
      </c>
      <c r="H1560" t="s">
        <v>16</v>
      </c>
      <c r="I1560">
        <v>4218</v>
      </c>
      <c r="J1560">
        <v>1687.2</v>
      </c>
      <c r="K1560">
        <v>2530.8000000000002</v>
      </c>
    </row>
    <row r="1561" spans="1:11" x14ac:dyDescent="0.25">
      <c r="A1561" t="s">
        <v>1601</v>
      </c>
      <c r="B1561" s="1">
        <v>46024.132395833331</v>
      </c>
      <c r="C1561" s="2" t="s">
        <v>29</v>
      </c>
      <c r="D1561" t="s">
        <v>19</v>
      </c>
      <c r="E1561">
        <v>121978</v>
      </c>
      <c r="F1561" t="s">
        <v>50</v>
      </c>
      <c r="G1561" t="s">
        <v>24</v>
      </c>
      <c r="H1561" t="s">
        <v>16</v>
      </c>
      <c r="I1561">
        <v>5</v>
      </c>
      <c r="J1561">
        <v>0</v>
      </c>
      <c r="K1561">
        <v>5</v>
      </c>
    </row>
    <row r="1562" spans="1:11" x14ac:dyDescent="0.25">
      <c r="A1562" t="s">
        <v>1602</v>
      </c>
      <c r="B1562" s="1">
        <v>45947.849166666667</v>
      </c>
      <c r="C1562" s="2" t="s">
        <v>26</v>
      </c>
      <c r="D1562" t="s">
        <v>45</v>
      </c>
      <c r="E1562">
        <v>121851</v>
      </c>
      <c r="F1562" t="s">
        <v>99</v>
      </c>
      <c r="G1562" t="s">
        <v>30</v>
      </c>
      <c r="H1562" t="s">
        <v>56</v>
      </c>
      <c r="I1562">
        <v>1218.51</v>
      </c>
      <c r="J1562">
        <v>0</v>
      </c>
      <c r="K1562">
        <v>1218.51</v>
      </c>
    </row>
    <row r="1563" spans="1:11" x14ac:dyDescent="0.25">
      <c r="A1563" t="s">
        <v>1603</v>
      </c>
      <c r="B1563" s="1">
        <v>45849.123981481483</v>
      </c>
      <c r="C1563" s="2" t="s">
        <v>29</v>
      </c>
      <c r="D1563" t="s">
        <v>23</v>
      </c>
      <c r="E1563">
        <v>4648</v>
      </c>
      <c r="F1563" t="s">
        <v>14</v>
      </c>
      <c r="G1563" t="s">
        <v>20</v>
      </c>
      <c r="H1563" t="s">
        <v>16</v>
      </c>
      <c r="I1563">
        <v>0</v>
      </c>
      <c r="J1563">
        <v>0</v>
      </c>
      <c r="K1563">
        <v>0</v>
      </c>
    </row>
    <row r="1564" spans="1:11" x14ac:dyDescent="0.25">
      <c r="A1564" t="s">
        <v>1604</v>
      </c>
      <c r="B1564" s="1">
        <v>45991.964513888888</v>
      </c>
      <c r="C1564" s="2" t="s">
        <v>32</v>
      </c>
      <c r="D1564" t="s">
        <v>19</v>
      </c>
      <c r="E1564">
        <v>144033</v>
      </c>
      <c r="F1564" t="s">
        <v>14</v>
      </c>
      <c r="G1564" t="s">
        <v>27</v>
      </c>
      <c r="H1564" t="s">
        <v>16</v>
      </c>
      <c r="I1564">
        <v>5</v>
      </c>
      <c r="J1564">
        <v>0</v>
      </c>
      <c r="K1564">
        <v>5</v>
      </c>
    </row>
    <row r="1565" spans="1:11" x14ac:dyDescent="0.25">
      <c r="A1565" t="s">
        <v>1605</v>
      </c>
      <c r="B1565" s="1">
        <v>46062.702430555553</v>
      </c>
      <c r="C1565" s="2" t="s">
        <v>39</v>
      </c>
      <c r="D1565" t="s">
        <v>45</v>
      </c>
      <c r="E1565">
        <v>56129</v>
      </c>
      <c r="F1565" t="s">
        <v>14</v>
      </c>
      <c r="G1565" t="s">
        <v>58</v>
      </c>
      <c r="H1565" t="s">
        <v>59</v>
      </c>
      <c r="I1565">
        <v>561.29</v>
      </c>
      <c r="J1565">
        <v>0</v>
      </c>
      <c r="K1565">
        <v>561.29</v>
      </c>
    </row>
    <row r="1566" spans="1:11" x14ac:dyDescent="0.25">
      <c r="A1566" t="s">
        <v>1606</v>
      </c>
      <c r="B1566" s="1">
        <v>45791.734976851854</v>
      </c>
      <c r="C1566" s="2" t="s">
        <v>22</v>
      </c>
      <c r="D1566" t="s">
        <v>23</v>
      </c>
      <c r="E1566">
        <v>3387</v>
      </c>
      <c r="F1566" t="s">
        <v>14</v>
      </c>
      <c r="G1566" t="s">
        <v>24</v>
      </c>
      <c r="H1566" t="s">
        <v>16</v>
      </c>
      <c r="I1566">
        <v>0</v>
      </c>
      <c r="J1566">
        <v>0</v>
      </c>
      <c r="K1566">
        <v>0</v>
      </c>
    </row>
    <row r="1567" spans="1:11" x14ac:dyDescent="0.25">
      <c r="A1567" t="s">
        <v>1607</v>
      </c>
      <c r="B1567" s="1">
        <v>45859.961157407408</v>
      </c>
      <c r="C1567" s="2" t="s">
        <v>26</v>
      </c>
      <c r="D1567" t="s">
        <v>23</v>
      </c>
      <c r="E1567">
        <v>3256</v>
      </c>
      <c r="F1567" t="s">
        <v>14</v>
      </c>
      <c r="G1567" t="s">
        <v>34</v>
      </c>
      <c r="H1567" t="s">
        <v>16</v>
      </c>
      <c r="I1567">
        <v>0</v>
      </c>
      <c r="J1567">
        <v>0</v>
      </c>
      <c r="K1567">
        <v>0</v>
      </c>
    </row>
    <row r="1568" spans="1:11" x14ac:dyDescent="0.25">
      <c r="A1568" t="s">
        <v>1608</v>
      </c>
      <c r="B1568" s="1">
        <v>45869.72146990741</v>
      </c>
      <c r="C1568" s="2" t="s">
        <v>18</v>
      </c>
      <c r="D1568" t="s">
        <v>13</v>
      </c>
      <c r="E1568">
        <v>217500</v>
      </c>
      <c r="F1568" t="s">
        <v>14</v>
      </c>
      <c r="G1568" t="s">
        <v>24</v>
      </c>
      <c r="H1568" t="s">
        <v>16</v>
      </c>
      <c r="I1568">
        <v>4023.75</v>
      </c>
      <c r="J1568">
        <v>1609.5</v>
      </c>
      <c r="K1568">
        <v>2414.25</v>
      </c>
    </row>
    <row r="1569" spans="1:11" x14ac:dyDescent="0.25">
      <c r="A1569" t="s">
        <v>1609</v>
      </c>
      <c r="B1569" s="1">
        <v>45991.732048611113</v>
      </c>
      <c r="C1569" s="2" t="s">
        <v>32</v>
      </c>
      <c r="D1569" t="s">
        <v>13</v>
      </c>
      <c r="E1569">
        <v>243000</v>
      </c>
      <c r="F1569" t="s">
        <v>50</v>
      </c>
      <c r="G1569" t="s">
        <v>20</v>
      </c>
      <c r="H1569" t="s">
        <v>16</v>
      </c>
      <c r="I1569">
        <v>4495.5</v>
      </c>
      <c r="J1569">
        <v>1798.2</v>
      </c>
      <c r="K1569">
        <v>2697.3</v>
      </c>
    </row>
    <row r="1570" spans="1:11" x14ac:dyDescent="0.25">
      <c r="A1570" t="s">
        <v>1610</v>
      </c>
      <c r="B1570" s="1">
        <v>45975.726689814815</v>
      </c>
      <c r="C1570" s="2" t="s">
        <v>29</v>
      </c>
      <c r="D1570" t="s">
        <v>13</v>
      </c>
      <c r="E1570">
        <v>97500</v>
      </c>
      <c r="F1570" t="s">
        <v>14</v>
      </c>
      <c r="G1570" t="s">
        <v>27</v>
      </c>
      <c r="H1570" t="s">
        <v>16</v>
      </c>
      <c r="I1570">
        <v>1803.75</v>
      </c>
      <c r="J1570">
        <v>721.5</v>
      </c>
      <c r="K1570">
        <v>1082.25</v>
      </c>
    </row>
    <row r="1571" spans="1:11" x14ac:dyDescent="0.25">
      <c r="A1571" t="s">
        <v>1611</v>
      </c>
      <c r="B1571" s="1">
        <v>45870.215150462966</v>
      </c>
      <c r="C1571" s="2" t="s">
        <v>29</v>
      </c>
      <c r="D1571" t="s">
        <v>13</v>
      </c>
      <c r="E1571">
        <v>65500</v>
      </c>
      <c r="F1571" t="s">
        <v>50</v>
      </c>
      <c r="G1571" t="s">
        <v>15</v>
      </c>
      <c r="H1571" t="s">
        <v>16</v>
      </c>
      <c r="I1571">
        <v>1211.75</v>
      </c>
      <c r="J1571">
        <v>484.7</v>
      </c>
      <c r="K1571">
        <v>727.05</v>
      </c>
    </row>
    <row r="1572" spans="1:11" x14ac:dyDescent="0.25">
      <c r="A1572" t="s">
        <v>1612</v>
      </c>
      <c r="B1572" s="1">
        <v>45893.302164351851</v>
      </c>
      <c r="C1572" s="2" t="s">
        <v>41</v>
      </c>
      <c r="D1572" t="s">
        <v>45</v>
      </c>
      <c r="E1572">
        <v>112543</v>
      </c>
      <c r="F1572" t="s">
        <v>50</v>
      </c>
      <c r="G1572" t="s">
        <v>51</v>
      </c>
      <c r="H1572" t="s">
        <v>59</v>
      </c>
      <c r="I1572">
        <v>1125.43</v>
      </c>
      <c r="J1572">
        <v>0</v>
      </c>
      <c r="K1572">
        <v>1125.43</v>
      </c>
    </row>
    <row r="1573" spans="1:11" x14ac:dyDescent="0.25">
      <c r="A1573" t="s">
        <v>1613</v>
      </c>
      <c r="B1573" s="1">
        <v>45979.825972222221</v>
      </c>
      <c r="C1573" s="2" t="s">
        <v>26</v>
      </c>
      <c r="D1573" t="s">
        <v>19</v>
      </c>
      <c r="E1573">
        <v>111205</v>
      </c>
      <c r="F1573" t="s">
        <v>50</v>
      </c>
      <c r="G1573" t="s">
        <v>51</v>
      </c>
      <c r="H1573" t="s">
        <v>16</v>
      </c>
      <c r="I1573">
        <v>5</v>
      </c>
      <c r="J1573">
        <v>0</v>
      </c>
      <c r="K1573">
        <v>5</v>
      </c>
    </row>
    <row r="1574" spans="1:11" x14ac:dyDescent="0.25">
      <c r="A1574" t="s">
        <v>1614</v>
      </c>
      <c r="B1574" s="1">
        <v>45939.450266203705</v>
      </c>
      <c r="C1574" s="2" t="s">
        <v>12</v>
      </c>
      <c r="D1574" t="s">
        <v>45</v>
      </c>
      <c r="E1574">
        <v>5589</v>
      </c>
      <c r="F1574" t="s">
        <v>14</v>
      </c>
      <c r="G1574" t="s">
        <v>34</v>
      </c>
      <c r="H1574" t="s">
        <v>56</v>
      </c>
      <c r="I1574">
        <v>55.89</v>
      </c>
      <c r="J1574">
        <v>0</v>
      </c>
      <c r="K1574">
        <v>55.89</v>
      </c>
    </row>
    <row r="1575" spans="1:11" x14ac:dyDescent="0.25">
      <c r="A1575" t="s">
        <v>1615</v>
      </c>
      <c r="B1575" s="1">
        <v>45831.741446759261</v>
      </c>
      <c r="C1575" s="2" t="s">
        <v>32</v>
      </c>
      <c r="D1575" t="s">
        <v>23</v>
      </c>
      <c r="E1575">
        <v>3918</v>
      </c>
      <c r="F1575" t="s">
        <v>50</v>
      </c>
      <c r="G1575" t="s">
        <v>20</v>
      </c>
      <c r="H1575" t="s">
        <v>16</v>
      </c>
      <c r="I1575">
        <v>0</v>
      </c>
      <c r="J1575">
        <v>0</v>
      </c>
      <c r="K1575">
        <v>0</v>
      </c>
    </row>
    <row r="1576" spans="1:11" x14ac:dyDescent="0.25">
      <c r="A1576" t="s">
        <v>1616</v>
      </c>
      <c r="B1576" s="1">
        <v>45922.473993055559</v>
      </c>
      <c r="C1576" s="2" t="s">
        <v>12</v>
      </c>
      <c r="D1576" t="s">
        <v>33</v>
      </c>
      <c r="E1576">
        <v>148743</v>
      </c>
      <c r="F1576" t="s">
        <v>99</v>
      </c>
      <c r="G1576" t="s">
        <v>51</v>
      </c>
      <c r="H1576" t="s">
        <v>16</v>
      </c>
      <c r="I1576">
        <v>0</v>
      </c>
      <c r="J1576">
        <v>0</v>
      </c>
      <c r="K1576">
        <v>0</v>
      </c>
    </row>
    <row r="1577" spans="1:11" x14ac:dyDescent="0.25">
      <c r="A1577" t="s">
        <v>1617</v>
      </c>
      <c r="B1577" s="1">
        <v>46062.653020833335</v>
      </c>
      <c r="C1577" s="2" t="s">
        <v>26</v>
      </c>
      <c r="D1577" t="s">
        <v>33</v>
      </c>
      <c r="E1577">
        <v>45844</v>
      </c>
      <c r="F1577" t="s">
        <v>14</v>
      </c>
      <c r="G1577" t="s">
        <v>27</v>
      </c>
      <c r="H1577" t="s">
        <v>16</v>
      </c>
      <c r="I1577">
        <v>0</v>
      </c>
      <c r="J1577">
        <v>0</v>
      </c>
      <c r="K1577">
        <v>0</v>
      </c>
    </row>
    <row r="1578" spans="1:11" x14ac:dyDescent="0.25">
      <c r="A1578" t="s">
        <v>1618</v>
      </c>
      <c r="B1578" s="1">
        <v>46108.016828703701</v>
      </c>
      <c r="C1578" s="2" t="s">
        <v>18</v>
      </c>
      <c r="D1578" t="s">
        <v>19</v>
      </c>
      <c r="E1578">
        <v>89760</v>
      </c>
      <c r="F1578" t="s">
        <v>14</v>
      </c>
      <c r="G1578" t="s">
        <v>84</v>
      </c>
      <c r="H1578" t="s">
        <v>16</v>
      </c>
      <c r="I1578">
        <v>5</v>
      </c>
      <c r="J1578">
        <v>0</v>
      </c>
      <c r="K1578">
        <v>5</v>
      </c>
    </row>
    <row r="1579" spans="1:11" x14ac:dyDescent="0.25">
      <c r="A1579" t="s">
        <v>1619</v>
      </c>
      <c r="B1579" s="1">
        <v>46092.502465277779</v>
      </c>
      <c r="C1579" s="2" t="s">
        <v>39</v>
      </c>
      <c r="D1579" t="s">
        <v>33</v>
      </c>
      <c r="E1579">
        <v>67221</v>
      </c>
      <c r="F1579" t="s">
        <v>14</v>
      </c>
      <c r="G1579" t="s">
        <v>30</v>
      </c>
      <c r="H1579" t="s">
        <v>16</v>
      </c>
      <c r="I1579">
        <v>0</v>
      </c>
      <c r="J1579">
        <v>0</v>
      </c>
      <c r="K1579">
        <v>0</v>
      </c>
    </row>
    <row r="1580" spans="1:11" x14ac:dyDescent="0.25">
      <c r="A1580" t="s">
        <v>1620</v>
      </c>
      <c r="B1580" s="1">
        <v>46116.900787037041</v>
      </c>
      <c r="C1580" s="2" t="s">
        <v>12</v>
      </c>
      <c r="D1580" t="s">
        <v>19</v>
      </c>
      <c r="E1580">
        <v>100690</v>
      </c>
      <c r="F1580" t="s">
        <v>99</v>
      </c>
      <c r="G1580" t="s">
        <v>34</v>
      </c>
      <c r="H1580" t="s">
        <v>16</v>
      </c>
      <c r="I1580">
        <v>5</v>
      </c>
      <c r="J1580">
        <v>0</v>
      </c>
      <c r="K1580">
        <v>5</v>
      </c>
    </row>
    <row r="1581" spans="1:11" x14ac:dyDescent="0.25">
      <c r="A1581" t="s">
        <v>1621</v>
      </c>
      <c r="B1581" s="1">
        <v>46053.371354166666</v>
      </c>
      <c r="C1581" s="2" t="s">
        <v>39</v>
      </c>
      <c r="D1581" t="s">
        <v>33</v>
      </c>
      <c r="E1581">
        <v>70080</v>
      </c>
      <c r="F1581" t="s">
        <v>50</v>
      </c>
      <c r="G1581" t="s">
        <v>51</v>
      </c>
      <c r="H1581" t="s">
        <v>16</v>
      </c>
      <c r="I1581">
        <v>0</v>
      </c>
      <c r="J1581">
        <v>0</v>
      </c>
      <c r="K1581">
        <v>0</v>
      </c>
    </row>
    <row r="1582" spans="1:11" x14ac:dyDescent="0.25">
      <c r="A1582" t="s">
        <v>1622</v>
      </c>
      <c r="B1582" s="1">
        <v>45799.706597222219</v>
      </c>
      <c r="C1582" s="2" t="s">
        <v>39</v>
      </c>
      <c r="D1582" t="s">
        <v>19</v>
      </c>
      <c r="E1582">
        <v>109722</v>
      </c>
      <c r="F1582" t="s">
        <v>14</v>
      </c>
      <c r="G1582" t="s">
        <v>20</v>
      </c>
      <c r="H1582" t="s">
        <v>16</v>
      </c>
      <c r="I1582">
        <v>5</v>
      </c>
      <c r="J1582">
        <v>0</v>
      </c>
      <c r="K1582">
        <v>5</v>
      </c>
    </row>
    <row r="1583" spans="1:11" x14ac:dyDescent="0.25">
      <c r="A1583" t="s">
        <v>1623</v>
      </c>
      <c r="B1583" s="1">
        <v>45822.675717592596</v>
      </c>
      <c r="C1583" s="2" t="s">
        <v>32</v>
      </c>
      <c r="D1583" t="s">
        <v>33</v>
      </c>
      <c r="E1583">
        <v>81192</v>
      </c>
      <c r="F1583" t="s">
        <v>14</v>
      </c>
      <c r="G1583" t="s">
        <v>15</v>
      </c>
      <c r="H1583" t="s">
        <v>16</v>
      </c>
      <c r="I1583">
        <v>0</v>
      </c>
      <c r="J1583">
        <v>0</v>
      </c>
      <c r="K1583">
        <v>0</v>
      </c>
    </row>
    <row r="1584" spans="1:11" x14ac:dyDescent="0.25">
      <c r="A1584" t="s">
        <v>1624</v>
      </c>
      <c r="B1584" s="1">
        <v>46042.636087962965</v>
      </c>
      <c r="C1584" s="2" t="s">
        <v>41</v>
      </c>
      <c r="D1584" t="s">
        <v>13</v>
      </c>
      <c r="E1584">
        <v>98000</v>
      </c>
      <c r="F1584" t="s">
        <v>14</v>
      </c>
      <c r="G1584" t="s">
        <v>51</v>
      </c>
      <c r="H1584" t="s">
        <v>16</v>
      </c>
      <c r="I1584">
        <v>1813</v>
      </c>
      <c r="J1584">
        <v>725.2</v>
      </c>
      <c r="K1584">
        <v>1087.8</v>
      </c>
    </row>
    <row r="1585" spans="1:11" x14ac:dyDescent="0.25">
      <c r="A1585" t="s">
        <v>1625</v>
      </c>
      <c r="B1585" s="1">
        <v>45869.311527777776</v>
      </c>
      <c r="C1585" s="2" t="s">
        <v>18</v>
      </c>
      <c r="D1585" t="s">
        <v>45</v>
      </c>
      <c r="E1585">
        <v>12734</v>
      </c>
      <c r="F1585" t="s">
        <v>50</v>
      </c>
      <c r="G1585" t="s">
        <v>20</v>
      </c>
      <c r="H1585" t="s">
        <v>71</v>
      </c>
      <c r="I1585">
        <v>127.34</v>
      </c>
      <c r="J1585">
        <v>0</v>
      </c>
      <c r="K1585">
        <v>127.34</v>
      </c>
    </row>
    <row r="1586" spans="1:11" x14ac:dyDescent="0.25">
      <c r="A1586" t="s">
        <v>1626</v>
      </c>
      <c r="B1586" s="1">
        <v>45833.642129629632</v>
      </c>
      <c r="C1586" s="2" t="s">
        <v>41</v>
      </c>
      <c r="D1586" t="s">
        <v>45</v>
      </c>
      <c r="E1586">
        <v>4483</v>
      </c>
      <c r="F1586" t="s">
        <v>50</v>
      </c>
      <c r="G1586" t="s">
        <v>34</v>
      </c>
      <c r="H1586" t="s">
        <v>71</v>
      </c>
      <c r="I1586">
        <v>44.83</v>
      </c>
      <c r="J1586">
        <v>0</v>
      </c>
      <c r="K1586">
        <v>44.83</v>
      </c>
    </row>
    <row r="1587" spans="1:11" x14ac:dyDescent="0.25">
      <c r="A1587" t="s">
        <v>1627</v>
      </c>
      <c r="B1587" s="1">
        <v>46080.133842592593</v>
      </c>
      <c r="C1587" s="2" t="s">
        <v>29</v>
      </c>
      <c r="D1587" t="s">
        <v>45</v>
      </c>
      <c r="E1587">
        <v>138501</v>
      </c>
      <c r="F1587" t="s">
        <v>50</v>
      </c>
      <c r="G1587" t="s">
        <v>34</v>
      </c>
      <c r="H1587" t="s">
        <v>71</v>
      </c>
      <c r="I1587">
        <v>1385.01</v>
      </c>
      <c r="J1587">
        <v>0</v>
      </c>
      <c r="K1587">
        <v>1385.01</v>
      </c>
    </row>
    <row r="1588" spans="1:11" x14ac:dyDescent="0.25">
      <c r="A1588" t="s">
        <v>1628</v>
      </c>
      <c r="B1588" s="1">
        <v>45814.973715277774</v>
      </c>
      <c r="C1588" s="2" t="s">
        <v>32</v>
      </c>
      <c r="D1588" t="s">
        <v>13</v>
      </c>
      <c r="E1588">
        <v>62000</v>
      </c>
      <c r="F1588" t="s">
        <v>14</v>
      </c>
      <c r="G1588" t="s">
        <v>58</v>
      </c>
      <c r="H1588" t="s">
        <v>16</v>
      </c>
      <c r="I1588">
        <v>1147</v>
      </c>
      <c r="J1588">
        <v>458.8</v>
      </c>
      <c r="K1588">
        <v>688.2</v>
      </c>
    </row>
    <row r="1589" spans="1:11" x14ac:dyDescent="0.25">
      <c r="A1589" t="s">
        <v>1629</v>
      </c>
      <c r="B1589" s="1">
        <v>45876.453356481485</v>
      </c>
      <c r="C1589" s="2" t="s">
        <v>29</v>
      </c>
      <c r="D1589" t="s">
        <v>13</v>
      </c>
      <c r="E1589">
        <v>174500</v>
      </c>
      <c r="F1589" t="s">
        <v>14</v>
      </c>
      <c r="G1589" t="s">
        <v>24</v>
      </c>
      <c r="H1589" t="s">
        <v>16</v>
      </c>
      <c r="I1589">
        <v>3228.25</v>
      </c>
      <c r="J1589">
        <v>1291.3</v>
      </c>
      <c r="K1589">
        <v>1936.95</v>
      </c>
    </row>
    <row r="1590" spans="1:11" x14ac:dyDescent="0.25">
      <c r="A1590" t="s">
        <v>1630</v>
      </c>
      <c r="B1590" s="1">
        <v>45838.540902777779</v>
      </c>
      <c r="C1590" s="2" t="s">
        <v>12</v>
      </c>
      <c r="D1590" t="s">
        <v>13</v>
      </c>
      <c r="E1590">
        <v>38500</v>
      </c>
      <c r="F1590" t="s">
        <v>14</v>
      </c>
      <c r="G1590" t="s">
        <v>34</v>
      </c>
      <c r="H1590" t="s">
        <v>16</v>
      </c>
      <c r="I1590">
        <v>712.25</v>
      </c>
      <c r="J1590">
        <v>284.89999999999998</v>
      </c>
      <c r="K1590">
        <v>427.35</v>
      </c>
    </row>
    <row r="1591" spans="1:11" x14ac:dyDescent="0.25">
      <c r="A1591" t="s">
        <v>1631</v>
      </c>
      <c r="B1591" s="1">
        <v>45885.643310185187</v>
      </c>
      <c r="C1591" s="2" t="s">
        <v>26</v>
      </c>
      <c r="D1591" t="s">
        <v>19</v>
      </c>
      <c r="E1591">
        <v>99988</v>
      </c>
      <c r="F1591" t="s">
        <v>99</v>
      </c>
      <c r="G1591" t="s">
        <v>30</v>
      </c>
      <c r="H1591" t="s">
        <v>16</v>
      </c>
      <c r="I1591">
        <v>5</v>
      </c>
      <c r="J1591">
        <v>0</v>
      </c>
      <c r="K1591">
        <v>5</v>
      </c>
    </row>
    <row r="1592" spans="1:11" x14ac:dyDescent="0.25">
      <c r="A1592" t="s">
        <v>1632</v>
      </c>
      <c r="B1592" s="1">
        <v>45874.164710648147</v>
      </c>
      <c r="C1592" s="2" t="s">
        <v>29</v>
      </c>
      <c r="D1592" t="s">
        <v>33</v>
      </c>
      <c r="E1592">
        <v>120254</v>
      </c>
      <c r="F1592" t="s">
        <v>14</v>
      </c>
      <c r="G1592" t="s">
        <v>27</v>
      </c>
      <c r="H1592" t="s">
        <v>16</v>
      </c>
      <c r="I1592">
        <v>0</v>
      </c>
      <c r="J1592">
        <v>0</v>
      </c>
      <c r="K1592">
        <v>0</v>
      </c>
    </row>
    <row r="1593" spans="1:11" x14ac:dyDescent="0.25">
      <c r="A1593" t="s">
        <v>1633</v>
      </c>
      <c r="B1593" s="1">
        <v>45955.401122685187</v>
      </c>
      <c r="C1593" s="2" t="s">
        <v>29</v>
      </c>
      <c r="D1593" t="s">
        <v>23</v>
      </c>
      <c r="E1593">
        <v>4510</v>
      </c>
      <c r="F1593" t="s">
        <v>14</v>
      </c>
      <c r="G1593" t="s">
        <v>24</v>
      </c>
      <c r="H1593" t="s">
        <v>16</v>
      </c>
      <c r="I1593">
        <v>0</v>
      </c>
      <c r="J1593">
        <v>0</v>
      </c>
      <c r="K1593">
        <v>0</v>
      </c>
    </row>
    <row r="1594" spans="1:11" x14ac:dyDescent="0.25">
      <c r="A1594" t="s">
        <v>1634</v>
      </c>
      <c r="B1594" s="1">
        <v>45778.900567129633</v>
      </c>
      <c r="C1594" s="2" t="s">
        <v>22</v>
      </c>
      <c r="D1594" t="s">
        <v>13</v>
      </c>
      <c r="E1594">
        <v>40000</v>
      </c>
      <c r="F1594" t="s">
        <v>99</v>
      </c>
      <c r="G1594" t="s">
        <v>24</v>
      </c>
      <c r="H1594" t="s">
        <v>16</v>
      </c>
      <c r="I1594">
        <v>740</v>
      </c>
      <c r="J1594">
        <v>296</v>
      </c>
      <c r="K1594">
        <v>444</v>
      </c>
    </row>
    <row r="1595" spans="1:11" x14ac:dyDescent="0.25">
      <c r="A1595" t="s">
        <v>1635</v>
      </c>
      <c r="B1595" s="1">
        <v>45876.217916666668</v>
      </c>
      <c r="C1595" s="2" t="s">
        <v>39</v>
      </c>
      <c r="D1595" t="s">
        <v>45</v>
      </c>
      <c r="E1595">
        <v>55717</v>
      </c>
      <c r="F1595" t="s">
        <v>14</v>
      </c>
      <c r="G1595" t="s">
        <v>24</v>
      </c>
      <c r="H1595" t="s">
        <v>56</v>
      </c>
      <c r="I1595">
        <v>557.16999999999996</v>
      </c>
      <c r="J1595">
        <v>0</v>
      </c>
      <c r="K1595">
        <v>557.16999999999996</v>
      </c>
    </row>
    <row r="1596" spans="1:11" x14ac:dyDescent="0.25">
      <c r="A1596" t="s">
        <v>1636</v>
      </c>
      <c r="B1596" s="1">
        <v>45938.199108796296</v>
      </c>
      <c r="C1596" s="2" t="s">
        <v>26</v>
      </c>
      <c r="D1596" t="s">
        <v>23</v>
      </c>
      <c r="E1596">
        <v>752</v>
      </c>
      <c r="F1596" t="s">
        <v>14</v>
      </c>
      <c r="G1596" t="s">
        <v>24</v>
      </c>
      <c r="H1596" t="s">
        <v>16</v>
      </c>
      <c r="I1596">
        <v>0</v>
      </c>
      <c r="J1596">
        <v>0</v>
      </c>
      <c r="K1596">
        <v>0</v>
      </c>
    </row>
    <row r="1597" spans="1:11" x14ac:dyDescent="0.25">
      <c r="A1597" t="s">
        <v>1637</v>
      </c>
      <c r="B1597" s="1">
        <v>45980.701331018521</v>
      </c>
      <c r="C1597" s="2" t="s">
        <v>22</v>
      </c>
      <c r="D1597" t="s">
        <v>45</v>
      </c>
      <c r="E1597">
        <v>38290</v>
      </c>
      <c r="F1597" t="s">
        <v>14</v>
      </c>
      <c r="G1597" t="s">
        <v>84</v>
      </c>
      <c r="H1597" t="s">
        <v>59</v>
      </c>
      <c r="I1597">
        <v>382.9</v>
      </c>
      <c r="J1597">
        <v>0</v>
      </c>
      <c r="K1597">
        <v>382.9</v>
      </c>
    </row>
    <row r="1598" spans="1:11" x14ac:dyDescent="0.25">
      <c r="A1598" t="s">
        <v>1638</v>
      </c>
      <c r="B1598" s="1">
        <v>46055.697326388887</v>
      </c>
      <c r="C1598" s="2" t="s">
        <v>41</v>
      </c>
      <c r="D1598" t="s">
        <v>23</v>
      </c>
      <c r="E1598">
        <v>2303</v>
      </c>
      <c r="F1598" t="s">
        <v>14</v>
      </c>
      <c r="G1598" t="s">
        <v>24</v>
      </c>
      <c r="H1598" t="s">
        <v>16</v>
      </c>
      <c r="I1598">
        <v>0</v>
      </c>
      <c r="J1598">
        <v>0</v>
      </c>
      <c r="K1598">
        <v>0</v>
      </c>
    </row>
    <row r="1599" spans="1:11" x14ac:dyDescent="0.25">
      <c r="A1599" t="s">
        <v>1639</v>
      </c>
      <c r="B1599" s="1">
        <v>45899.99832175926</v>
      </c>
      <c r="C1599" s="2" t="s">
        <v>12</v>
      </c>
      <c r="D1599" t="s">
        <v>45</v>
      </c>
      <c r="E1599">
        <v>53040</v>
      </c>
      <c r="F1599" t="s">
        <v>99</v>
      </c>
      <c r="G1599" t="s">
        <v>15</v>
      </c>
      <c r="H1599" t="s">
        <v>46</v>
      </c>
      <c r="I1599">
        <v>530.4</v>
      </c>
      <c r="J1599">
        <v>0</v>
      </c>
      <c r="K1599">
        <v>530.4</v>
      </c>
    </row>
    <row r="1600" spans="1:11" x14ac:dyDescent="0.25">
      <c r="A1600" t="s">
        <v>1640</v>
      </c>
      <c r="B1600" s="1">
        <v>46065.241423611114</v>
      </c>
      <c r="C1600" s="2" t="s">
        <v>41</v>
      </c>
      <c r="D1600" t="s">
        <v>33</v>
      </c>
      <c r="E1600">
        <v>140990</v>
      </c>
      <c r="F1600" t="s">
        <v>14</v>
      </c>
      <c r="G1600" t="s">
        <v>24</v>
      </c>
      <c r="H1600" t="s">
        <v>16</v>
      </c>
      <c r="I1600">
        <v>0</v>
      </c>
      <c r="J1600">
        <v>0</v>
      </c>
      <c r="K1600">
        <v>0</v>
      </c>
    </row>
    <row r="1601" spans="1:11" x14ac:dyDescent="0.25">
      <c r="A1601" t="s">
        <v>1641</v>
      </c>
      <c r="B1601" s="1">
        <v>45980.527662037035</v>
      </c>
      <c r="C1601" s="2" t="s">
        <v>18</v>
      </c>
      <c r="D1601" t="s">
        <v>45</v>
      </c>
      <c r="E1601">
        <v>142745</v>
      </c>
      <c r="F1601" t="s">
        <v>14</v>
      </c>
      <c r="G1601" t="s">
        <v>34</v>
      </c>
      <c r="H1601" t="s">
        <v>46</v>
      </c>
      <c r="I1601">
        <v>1427.45</v>
      </c>
      <c r="J1601">
        <v>0</v>
      </c>
      <c r="K1601">
        <v>1427.45</v>
      </c>
    </row>
    <row r="1602" spans="1:11" x14ac:dyDescent="0.25">
      <c r="A1602" t="s">
        <v>1642</v>
      </c>
      <c r="B1602" s="1">
        <v>45965.825243055559</v>
      </c>
      <c r="C1602" s="2" t="s">
        <v>26</v>
      </c>
      <c r="D1602" t="s">
        <v>45</v>
      </c>
      <c r="E1602">
        <v>84925</v>
      </c>
      <c r="F1602" t="s">
        <v>50</v>
      </c>
      <c r="G1602" t="s">
        <v>34</v>
      </c>
      <c r="H1602" t="s">
        <v>178</v>
      </c>
      <c r="I1602">
        <v>849.25</v>
      </c>
      <c r="J1602">
        <v>0</v>
      </c>
      <c r="K1602">
        <v>849.25</v>
      </c>
    </row>
    <row r="1603" spans="1:11" x14ac:dyDescent="0.25">
      <c r="A1603" t="s">
        <v>1643</v>
      </c>
      <c r="B1603" s="1">
        <v>46081.80972222222</v>
      </c>
      <c r="C1603" s="2" t="s">
        <v>22</v>
      </c>
      <c r="D1603" t="s">
        <v>45</v>
      </c>
      <c r="E1603">
        <v>106123</v>
      </c>
      <c r="F1603" t="s">
        <v>14</v>
      </c>
      <c r="G1603" t="s">
        <v>34</v>
      </c>
      <c r="H1603" t="s">
        <v>178</v>
      </c>
      <c r="I1603">
        <v>1061.23</v>
      </c>
      <c r="J1603">
        <v>0</v>
      </c>
      <c r="K1603">
        <v>1061.23</v>
      </c>
    </row>
    <row r="1604" spans="1:11" x14ac:dyDescent="0.25">
      <c r="A1604" t="s">
        <v>1644</v>
      </c>
      <c r="B1604" s="1">
        <v>46126.662638888891</v>
      </c>
      <c r="C1604" s="2" t="s">
        <v>39</v>
      </c>
      <c r="D1604" t="s">
        <v>13</v>
      </c>
      <c r="E1604">
        <v>168500</v>
      </c>
      <c r="F1604" t="s">
        <v>99</v>
      </c>
      <c r="G1604" t="s">
        <v>30</v>
      </c>
      <c r="H1604" t="s">
        <v>16</v>
      </c>
      <c r="I1604">
        <v>3117.25</v>
      </c>
      <c r="J1604">
        <v>1246.9000000000001</v>
      </c>
      <c r="K1604">
        <v>1870.35</v>
      </c>
    </row>
    <row r="1605" spans="1:11" x14ac:dyDescent="0.25">
      <c r="A1605" t="s">
        <v>1645</v>
      </c>
      <c r="B1605" s="1">
        <v>45823.021539351852</v>
      </c>
      <c r="C1605" s="2" t="s">
        <v>26</v>
      </c>
      <c r="D1605" t="s">
        <v>33</v>
      </c>
      <c r="E1605">
        <v>148635</v>
      </c>
      <c r="F1605" t="s">
        <v>14</v>
      </c>
      <c r="G1605" t="s">
        <v>15</v>
      </c>
      <c r="H1605" t="s">
        <v>16</v>
      </c>
      <c r="I1605">
        <v>0</v>
      </c>
      <c r="J1605">
        <v>0</v>
      </c>
      <c r="K1605">
        <v>0</v>
      </c>
    </row>
    <row r="1606" spans="1:11" x14ac:dyDescent="0.25">
      <c r="A1606" t="s">
        <v>1646</v>
      </c>
      <c r="B1606" s="1">
        <v>46072.132789351854</v>
      </c>
      <c r="C1606" s="2" t="s">
        <v>41</v>
      </c>
      <c r="D1606" t="s">
        <v>19</v>
      </c>
      <c r="E1606">
        <v>144458</v>
      </c>
      <c r="F1606" t="s">
        <v>14</v>
      </c>
      <c r="G1606" t="s">
        <v>34</v>
      </c>
      <c r="H1606" t="s">
        <v>16</v>
      </c>
      <c r="I1606">
        <v>5</v>
      </c>
      <c r="J1606">
        <v>0</v>
      </c>
      <c r="K1606">
        <v>5</v>
      </c>
    </row>
    <row r="1607" spans="1:11" x14ac:dyDescent="0.25">
      <c r="A1607" t="s">
        <v>1647</v>
      </c>
      <c r="B1607" s="1">
        <v>45824.915520833332</v>
      </c>
      <c r="C1607" s="2" t="s">
        <v>26</v>
      </c>
      <c r="D1607" t="s">
        <v>33</v>
      </c>
      <c r="E1607">
        <v>144227</v>
      </c>
      <c r="F1607" t="s">
        <v>99</v>
      </c>
      <c r="G1607" t="s">
        <v>24</v>
      </c>
      <c r="H1607" t="s">
        <v>16</v>
      </c>
      <c r="I1607">
        <v>0</v>
      </c>
      <c r="J1607">
        <v>0</v>
      </c>
      <c r="K1607">
        <v>0</v>
      </c>
    </row>
    <row r="1608" spans="1:11" x14ac:dyDescent="0.25">
      <c r="A1608" t="s">
        <v>1648</v>
      </c>
      <c r="B1608" s="1">
        <v>45874.066319444442</v>
      </c>
      <c r="C1608" s="2" t="s">
        <v>12</v>
      </c>
      <c r="D1608" t="s">
        <v>33</v>
      </c>
      <c r="E1608">
        <v>34165</v>
      </c>
      <c r="F1608" t="s">
        <v>14</v>
      </c>
      <c r="G1608" t="s">
        <v>27</v>
      </c>
      <c r="H1608" t="s">
        <v>16</v>
      </c>
      <c r="I1608">
        <v>0</v>
      </c>
      <c r="J1608">
        <v>0</v>
      </c>
      <c r="K1608">
        <v>0</v>
      </c>
    </row>
    <row r="1609" spans="1:11" x14ac:dyDescent="0.25">
      <c r="A1609" t="s">
        <v>1649</v>
      </c>
      <c r="B1609" s="1">
        <v>45898.690671296295</v>
      </c>
      <c r="C1609" s="2" t="s">
        <v>41</v>
      </c>
      <c r="D1609" t="s">
        <v>33</v>
      </c>
      <c r="E1609">
        <v>61893</v>
      </c>
      <c r="F1609" t="s">
        <v>14</v>
      </c>
      <c r="G1609" t="s">
        <v>20</v>
      </c>
      <c r="H1609" t="s">
        <v>16</v>
      </c>
      <c r="I1609">
        <v>0</v>
      </c>
      <c r="J1609">
        <v>0</v>
      </c>
      <c r="K1609">
        <v>0</v>
      </c>
    </row>
    <row r="1610" spans="1:11" x14ac:dyDescent="0.25">
      <c r="A1610" t="s">
        <v>1650</v>
      </c>
      <c r="B1610" s="1">
        <v>46079.106550925928</v>
      </c>
      <c r="C1610" s="2" t="s">
        <v>18</v>
      </c>
      <c r="D1610" t="s">
        <v>45</v>
      </c>
      <c r="E1610">
        <v>108814</v>
      </c>
      <c r="F1610" t="s">
        <v>14</v>
      </c>
      <c r="G1610" t="s">
        <v>34</v>
      </c>
      <c r="H1610" t="s">
        <v>59</v>
      </c>
      <c r="I1610">
        <v>1088.1400000000001</v>
      </c>
      <c r="J1610">
        <v>0</v>
      </c>
      <c r="K1610">
        <v>1088.1400000000001</v>
      </c>
    </row>
    <row r="1611" spans="1:11" x14ac:dyDescent="0.25">
      <c r="A1611" t="s">
        <v>1651</v>
      </c>
      <c r="B1611" s="1">
        <v>46035.301111111112</v>
      </c>
      <c r="C1611" s="2" t="s">
        <v>41</v>
      </c>
      <c r="D1611" t="s">
        <v>19</v>
      </c>
      <c r="E1611">
        <v>18600</v>
      </c>
      <c r="F1611" t="s">
        <v>14</v>
      </c>
      <c r="G1611" t="s">
        <v>51</v>
      </c>
      <c r="H1611" t="s">
        <v>16</v>
      </c>
      <c r="I1611">
        <v>5</v>
      </c>
      <c r="J1611">
        <v>0</v>
      </c>
      <c r="K1611">
        <v>5</v>
      </c>
    </row>
    <row r="1612" spans="1:11" x14ac:dyDescent="0.25">
      <c r="A1612" t="s">
        <v>1652</v>
      </c>
      <c r="B1612" s="1">
        <v>46045.352569444447</v>
      </c>
      <c r="C1612" s="2" t="s">
        <v>12</v>
      </c>
      <c r="D1612" t="s">
        <v>13</v>
      </c>
      <c r="E1612">
        <v>171500</v>
      </c>
      <c r="F1612" t="s">
        <v>50</v>
      </c>
      <c r="G1612" t="s">
        <v>30</v>
      </c>
      <c r="H1612" t="s">
        <v>16</v>
      </c>
      <c r="I1612">
        <v>3172.75</v>
      </c>
      <c r="J1612">
        <v>1269.0999999999999</v>
      </c>
      <c r="K1612">
        <v>1903.65</v>
      </c>
    </row>
    <row r="1613" spans="1:11" x14ac:dyDescent="0.25">
      <c r="A1613" t="s">
        <v>1653</v>
      </c>
      <c r="B1613" s="1">
        <v>45791.665335648147</v>
      </c>
      <c r="C1613" s="2" t="s">
        <v>29</v>
      </c>
      <c r="D1613" t="s">
        <v>33</v>
      </c>
      <c r="E1613">
        <v>141525</v>
      </c>
      <c r="F1613" t="s">
        <v>14</v>
      </c>
      <c r="G1613" t="s">
        <v>51</v>
      </c>
      <c r="H1613" t="s">
        <v>16</v>
      </c>
      <c r="I1613">
        <v>0</v>
      </c>
      <c r="J1613">
        <v>0</v>
      </c>
      <c r="K1613">
        <v>0</v>
      </c>
    </row>
    <row r="1614" spans="1:11" x14ac:dyDescent="0.25">
      <c r="A1614" t="s">
        <v>1654</v>
      </c>
      <c r="B1614" s="1">
        <v>45783.318252314813</v>
      </c>
      <c r="C1614" s="2" t="s">
        <v>32</v>
      </c>
      <c r="D1614" t="s">
        <v>33</v>
      </c>
      <c r="E1614">
        <v>65965</v>
      </c>
      <c r="F1614" t="s">
        <v>14</v>
      </c>
      <c r="G1614" t="s">
        <v>51</v>
      </c>
      <c r="H1614" t="s">
        <v>16</v>
      </c>
      <c r="I1614">
        <v>0</v>
      </c>
      <c r="J1614">
        <v>0</v>
      </c>
      <c r="K1614">
        <v>0</v>
      </c>
    </row>
    <row r="1615" spans="1:11" x14ac:dyDescent="0.25">
      <c r="A1615" t="s">
        <v>1655</v>
      </c>
      <c r="B1615" s="1">
        <v>46022.497534722221</v>
      </c>
      <c r="C1615" s="2" t="s">
        <v>12</v>
      </c>
      <c r="D1615" t="s">
        <v>23</v>
      </c>
      <c r="E1615">
        <v>2949</v>
      </c>
      <c r="F1615" t="s">
        <v>14</v>
      </c>
      <c r="G1615" t="s">
        <v>34</v>
      </c>
      <c r="H1615" t="s">
        <v>16</v>
      </c>
      <c r="I1615">
        <v>0</v>
      </c>
      <c r="J1615">
        <v>0</v>
      </c>
      <c r="K1615">
        <v>0</v>
      </c>
    </row>
    <row r="1616" spans="1:11" x14ac:dyDescent="0.25">
      <c r="A1616" t="s">
        <v>1656</v>
      </c>
      <c r="B1616" s="1">
        <v>46110.105243055557</v>
      </c>
      <c r="C1616" s="2" t="s">
        <v>12</v>
      </c>
      <c r="D1616" t="s">
        <v>45</v>
      </c>
      <c r="E1616">
        <v>111881</v>
      </c>
      <c r="F1616" t="s">
        <v>14</v>
      </c>
      <c r="G1616" t="s">
        <v>27</v>
      </c>
      <c r="H1616" t="s">
        <v>178</v>
      </c>
      <c r="I1616">
        <v>1118.81</v>
      </c>
      <c r="J1616">
        <v>0</v>
      </c>
      <c r="K1616">
        <v>1118.81</v>
      </c>
    </row>
    <row r="1617" spans="1:11" x14ac:dyDescent="0.25">
      <c r="A1617" t="s">
        <v>1657</v>
      </c>
      <c r="B1617" s="1">
        <v>45900.4684837963</v>
      </c>
      <c r="C1617" s="2" t="s">
        <v>32</v>
      </c>
      <c r="D1617" t="s">
        <v>19</v>
      </c>
      <c r="E1617">
        <v>25678</v>
      </c>
      <c r="F1617" t="s">
        <v>14</v>
      </c>
      <c r="G1617" t="s">
        <v>20</v>
      </c>
      <c r="H1617" t="s">
        <v>16</v>
      </c>
      <c r="I1617">
        <v>5</v>
      </c>
      <c r="J1617">
        <v>0</v>
      </c>
      <c r="K1617">
        <v>5</v>
      </c>
    </row>
    <row r="1618" spans="1:11" x14ac:dyDescent="0.25">
      <c r="A1618" t="s">
        <v>1658</v>
      </c>
      <c r="B1618" s="1">
        <v>46005.040370370371</v>
      </c>
      <c r="C1618" s="2" t="s">
        <v>22</v>
      </c>
      <c r="D1618" t="s">
        <v>23</v>
      </c>
      <c r="E1618">
        <v>3270</v>
      </c>
      <c r="F1618" t="s">
        <v>14</v>
      </c>
      <c r="G1618" t="s">
        <v>30</v>
      </c>
      <c r="H1618" t="s">
        <v>16</v>
      </c>
      <c r="I1618">
        <v>0</v>
      </c>
      <c r="J1618">
        <v>0</v>
      </c>
      <c r="K1618">
        <v>0</v>
      </c>
    </row>
    <row r="1619" spans="1:11" x14ac:dyDescent="0.25">
      <c r="A1619" t="s">
        <v>1659</v>
      </c>
      <c r="B1619" s="1">
        <v>46073.205289351848</v>
      </c>
      <c r="C1619" s="2" t="s">
        <v>18</v>
      </c>
      <c r="D1619" t="s">
        <v>23</v>
      </c>
      <c r="E1619">
        <v>3748</v>
      </c>
      <c r="F1619" t="s">
        <v>99</v>
      </c>
      <c r="G1619" t="s">
        <v>20</v>
      </c>
      <c r="H1619" t="s">
        <v>16</v>
      </c>
      <c r="I1619">
        <v>0</v>
      </c>
      <c r="J1619">
        <v>0</v>
      </c>
      <c r="K1619">
        <v>0</v>
      </c>
    </row>
    <row r="1620" spans="1:11" x14ac:dyDescent="0.25">
      <c r="A1620" t="s">
        <v>1660</v>
      </c>
      <c r="B1620" s="1">
        <v>46059.986793981479</v>
      </c>
      <c r="C1620" s="2" t="s">
        <v>12</v>
      </c>
      <c r="D1620" t="s">
        <v>23</v>
      </c>
      <c r="E1620">
        <v>4704</v>
      </c>
      <c r="F1620" t="s">
        <v>14</v>
      </c>
      <c r="G1620" t="s">
        <v>34</v>
      </c>
      <c r="H1620" t="s">
        <v>16</v>
      </c>
      <c r="I1620">
        <v>0</v>
      </c>
      <c r="J1620">
        <v>0</v>
      </c>
      <c r="K1620">
        <v>0</v>
      </c>
    </row>
    <row r="1621" spans="1:11" x14ac:dyDescent="0.25">
      <c r="A1621" t="s">
        <v>1661</v>
      </c>
      <c r="B1621" s="1">
        <v>46116.502303240741</v>
      </c>
      <c r="C1621" s="2" t="s">
        <v>18</v>
      </c>
      <c r="D1621" t="s">
        <v>33</v>
      </c>
      <c r="E1621">
        <v>131343</v>
      </c>
      <c r="F1621" t="s">
        <v>50</v>
      </c>
      <c r="G1621" t="s">
        <v>15</v>
      </c>
      <c r="H1621" t="s">
        <v>16</v>
      </c>
      <c r="I1621">
        <v>0</v>
      </c>
      <c r="J1621">
        <v>0</v>
      </c>
      <c r="K1621">
        <v>0</v>
      </c>
    </row>
    <row r="1622" spans="1:11" x14ac:dyDescent="0.25">
      <c r="A1622" t="s">
        <v>1662</v>
      </c>
      <c r="B1622" s="1">
        <v>45880.617997685185</v>
      </c>
      <c r="C1622" s="2" t="s">
        <v>18</v>
      </c>
      <c r="D1622" t="s">
        <v>45</v>
      </c>
      <c r="E1622">
        <v>109285</v>
      </c>
      <c r="F1622" t="s">
        <v>14</v>
      </c>
      <c r="G1622" t="s">
        <v>84</v>
      </c>
      <c r="H1622" t="s">
        <v>178</v>
      </c>
      <c r="I1622">
        <v>1092.8499999999999</v>
      </c>
      <c r="J1622">
        <v>0</v>
      </c>
      <c r="K1622">
        <v>1092.8499999999999</v>
      </c>
    </row>
    <row r="1623" spans="1:11" x14ac:dyDescent="0.25">
      <c r="A1623" t="s">
        <v>1663</v>
      </c>
      <c r="B1623" s="1">
        <v>45993.347916666666</v>
      </c>
      <c r="C1623" s="2" t="s">
        <v>29</v>
      </c>
      <c r="D1623" t="s">
        <v>45</v>
      </c>
      <c r="E1623">
        <v>96329</v>
      </c>
      <c r="F1623" t="s">
        <v>14</v>
      </c>
      <c r="G1623" t="s">
        <v>15</v>
      </c>
      <c r="H1623" t="s">
        <v>178</v>
      </c>
      <c r="I1623">
        <v>963.29</v>
      </c>
      <c r="J1623">
        <v>0</v>
      </c>
      <c r="K1623">
        <v>963.29</v>
      </c>
    </row>
    <row r="1624" spans="1:11" x14ac:dyDescent="0.25">
      <c r="A1624" t="s">
        <v>1664</v>
      </c>
      <c r="B1624" s="1">
        <v>46089.439108796294</v>
      </c>
      <c r="C1624" s="2" t="s">
        <v>26</v>
      </c>
      <c r="D1624" t="s">
        <v>13</v>
      </c>
      <c r="E1624">
        <v>64500</v>
      </c>
      <c r="F1624" t="s">
        <v>14</v>
      </c>
      <c r="G1624" t="s">
        <v>84</v>
      </c>
      <c r="H1624" t="s">
        <v>16</v>
      </c>
      <c r="I1624">
        <v>1193.25</v>
      </c>
      <c r="J1624">
        <v>477.3</v>
      </c>
      <c r="K1624">
        <v>715.95</v>
      </c>
    </row>
    <row r="1625" spans="1:11" x14ac:dyDescent="0.25">
      <c r="A1625" t="s">
        <v>1665</v>
      </c>
      <c r="B1625" s="1">
        <v>46064.359537037039</v>
      </c>
      <c r="C1625" s="2" t="s">
        <v>22</v>
      </c>
      <c r="D1625" t="s">
        <v>45</v>
      </c>
      <c r="E1625">
        <v>88427</v>
      </c>
      <c r="F1625" t="s">
        <v>50</v>
      </c>
      <c r="G1625" t="s">
        <v>34</v>
      </c>
      <c r="H1625" t="s">
        <v>59</v>
      </c>
      <c r="I1625">
        <v>884.27</v>
      </c>
      <c r="J1625">
        <v>0</v>
      </c>
      <c r="K1625">
        <v>884.27</v>
      </c>
    </row>
    <row r="1626" spans="1:11" x14ac:dyDescent="0.25">
      <c r="A1626" t="s">
        <v>1666</v>
      </c>
      <c r="B1626" s="1">
        <v>45999.235601851855</v>
      </c>
      <c r="C1626" s="2" t="s">
        <v>39</v>
      </c>
      <c r="D1626" t="s">
        <v>19</v>
      </c>
      <c r="E1626">
        <v>51233</v>
      </c>
      <c r="F1626" t="s">
        <v>14</v>
      </c>
      <c r="G1626" t="s">
        <v>20</v>
      </c>
      <c r="H1626" t="s">
        <v>16</v>
      </c>
      <c r="I1626">
        <v>5</v>
      </c>
      <c r="J1626">
        <v>0</v>
      </c>
      <c r="K1626">
        <v>5</v>
      </c>
    </row>
    <row r="1627" spans="1:11" x14ac:dyDescent="0.25">
      <c r="A1627" t="s">
        <v>1667</v>
      </c>
      <c r="B1627" s="1">
        <v>46115.773449074077</v>
      </c>
      <c r="C1627" s="2" t="s">
        <v>22</v>
      </c>
      <c r="D1627" t="s">
        <v>13</v>
      </c>
      <c r="E1627">
        <v>71500</v>
      </c>
      <c r="F1627" t="s">
        <v>14</v>
      </c>
      <c r="G1627" t="s">
        <v>34</v>
      </c>
      <c r="H1627" t="s">
        <v>16</v>
      </c>
      <c r="I1627">
        <v>1322.75</v>
      </c>
      <c r="J1627">
        <v>529.1</v>
      </c>
      <c r="K1627">
        <v>793.65</v>
      </c>
    </row>
    <row r="1628" spans="1:11" x14ac:dyDescent="0.25">
      <c r="A1628" t="s">
        <v>1668</v>
      </c>
      <c r="B1628" s="1">
        <v>45975.473171296297</v>
      </c>
      <c r="C1628" s="2" t="s">
        <v>41</v>
      </c>
      <c r="D1628" t="s">
        <v>33</v>
      </c>
      <c r="E1628">
        <v>133461</v>
      </c>
      <c r="F1628" t="s">
        <v>14</v>
      </c>
      <c r="G1628" t="s">
        <v>34</v>
      </c>
      <c r="H1628" t="s">
        <v>16</v>
      </c>
      <c r="I1628">
        <v>0</v>
      </c>
      <c r="J1628">
        <v>0</v>
      </c>
      <c r="K1628">
        <v>0</v>
      </c>
    </row>
    <row r="1629" spans="1:11" x14ac:dyDescent="0.25">
      <c r="A1629" t="s">
        <v>1669</v>
      </c>
      <c r="B1629" s="1">
        <v>45917.886967592596</v>
      </c>
      <c r="C1629" s="2" t="s">
        <v>39</v>
      </c>
      <c r="D1629" t="s">
        <v>19</v>
      </c>
      <c r="E1629">
        <v>22359</v>
      </c>
      <c r="F1629" t="s">
        <v>14</v>
      </c>
      <c r="G1629" t="s">
        <v>20</v>
      </c>
      <c r="H1629" t="s">
        <v>16</v>
      </c>
      <c r="I1629">
        <v>5</v>
      </c>
      <c r="J1629">
        <v>0</v>
      </c>
      <c r="K1629">
        <v>5</v>
      </c>
    </row>
    <row r="1630" spans="1:11" x14ac:dyDescent="0.25">
      <c r="A1630" t="s">
        <v>1670</v>
      </c>
      <c r="B1630" s="1">
        <v>45882.823888888888</v>
      </c>
      <c r="C1630" s="2" t="s">
        <v>29</v>
      </c>
      <c r="D1630" t="s">
        <v>45</v>
      </c>
      <c r="E1630">
        <v>64894</v>
      </c>
      <c r="F1630" t="s">
        <v>14</v>
      </c>
      <c r="G1630" t="s">
        <v>20</v>
      </c>
      <c r="H1630" t="s">
        <v>71</v>
      </c>
      <c r="I1630">
        <v>648.94000000000005</v>
      </c>
      <c r="J1630">
        <v>0</v>
      </c>
      <c r="K1630">
        <v>648.94000000000005</v>
      </c>
    </row>
    <row r="1631" spans="1:11" x14ac:dyDescent="0.25">
      <c r="A1631" t="s">
        <v>1671</v>
      </c>
      <c r="B1631" s="1">
        <v>46056.726747685185</v>
      </c>
      <c r="C1631" s="2" t="s">
        <v>41</v>
      </c>
      <c r="D1631" t="s">
        <v>45</v>
      </c>
      <c r="E1631">
        <v>148699</v>
      </c>
      <c r="F1631" t="s">
        <v>14</v>
      </c>
      <c r="G1631" t="s">
        <v>24</v>
      </c>
      <c r="H1631" t="s">
        <v>59</v>
      </c>
      <c r="I1631">
        <v>1486.99</v>
      </c>
      <c r="J1631">
        <v>0</v>
      </c>
      <c r="K1631">
        <v>1486.99</v>
      </c>
    </row>
    <row r="1632" spans="1:11" x14ac:dyDescent="0.25">
      <c r="A1632" t="s">
        <v>1672</v>
      </c>
      <c r="B1632" s="1">
        <v>46040.275231481479</v>
      </c>
      <c r="C1632" s="2" t="s">
        <v>12</v>
      </c>
      <c r="D1632" t="s">
        <v>13</v>
      </c>
      <c r="E1632">
        <v>111500</v>
      </c>
      <c r="F1632" t="s">
        <v>14</v>
      </c>
      <c r="G1632" t="s">
        <v>27</v>
      </c>
      <c r="H1632" t="s">
        <v>16</v>
      </c>
      <c r="I1632">
        <v>2062.75</v>
      </c>
      <c r="J1632">
        <v>825.1</v>
      </c>
      <c r="K1632">
        <v>1237.6500000000001</v>
      </c>
    </row>
    <row r="1633" spans="1:11" x14ac:dyDescent="0.25">
      <c r="A1633" t="s">
        <v>1673</v>
      </c>
      <c r="B1633" s="1">
        <v>45903.482442129629</v>
      </c>
      <c r="C1633" s="2" t="s">
        <v>18</v>
      </c>
      <c r="D1633" t="s">
        <v>45</v>
      </c>
      <c r="E1633">
        <v>52774</v>
      </c>
      <c r="F1633" t="s">
        <v>14</v>
      </c>
      <c r="G1633" t="s">
        <v>58</v>
      </c>
      <c r="H1633" t="s">
        <v>59</v>
      </c>
      <c r="I1633">
        <v>527.74</v>
      </c>
      <c r="J1633">
        <v>0</v>
      </c>
      <c r="K1633">
        <v>527.74</v>
      </c>
    </row>
    <row r="1634" spans="1:11" x14ac:dyDescent="0.25">
      <c r="A1634" t="s">
        <v>1674</v>
      </c>
      <c r="B1634" s="1">
        <v>45842.95</v>
      </c>
      <c r="C1634" s="2" t="s">
        <v>26</v>
      </c>
      <c r="D1634" t="s">
        <v>33</v>
      </c>
      <c r="E1634">
        <v>40299</v>
      </c>
      <c r="F1634" t="s">
        <v>14</v>
      </c>
      <c r="G1634" t="s">
        <v>30</v>
      </c>
      <c r="H1634" t="s">
        <v>16</v>
      </c>
      <c r="I1634">
        <v>0</v>
      </c>
      <c r="J1634">
        <v>0</v>
      </c>
      <c r="K1634">
        <v>0</v>
      </c>
    </row>
    <row r="1635" spans="1:11" x14ac:dyDescent="0.25">
      <c r="A1635" t="s">
        <v>1675</v>
      </c>
      <c r="B1635" s="1">
        <v>46083.877581018518</v>
      </c>
      <c r="C1635" s="2" t="s">
        <v>32</v>
      </c>
      <c r="D1635" t="s">
        <v>45</v>
      </c>
      <c r="E1635">
        <v>47465</v>
      </c>
      <c r="F1635" t="s">
        <v>14</v>
      </c>
      <c r="G1635" t="s">
        <v>34</v>
      </c>
      <c r="H1635" t="s">
        <v>56</v>
      </c>
      <c r="I1635">
        <v>474.65</v>
      </c>
      <c r="J1635">
        <v>0</v>
      </c>
      <c r="K1635">
        <v>474.65</v>
      </c>
    </row>
    <row r="1636" spans="1:11" x14ac:dyDescent="0.25">
      <c r="A1636" t="s">
        <v>1676</v>
      </c>
      <c r="B1636" s="1">
        <v>46097.991666666669</v>
      </c>
      <c r="C1636" s="2" t="s">
        <v>32</v>
      </c>
      <c r="D1636" t="s">
        <v>23</v>
      </c>
      <c r="E1636">
        <v>4612</v>
      </c>
      <c r="F1636" t="s">
        <v>14</v>
      </c>
      <c r="G1636" t="s">
        <v>34</v>
      </c>
      <c r="H1636" t="s">
        <v>16</v>
      </c>
      <c r="I1636">
        <v>0</v>
      </c>
      <c r="J1636">
        <v>0</v>
      </c>
      <c r="K1636">
        <v>0</v>
      </c>
    </row>
    <row r="1637" spans="1:11" x14ac:dyDescent="0.25">
      <c r="A1637" t="s">
        <v>1677</v>
      </c>
      <c r="B1637" s="1">
        <v>46074.77679398148</v>
      </c>
      <c r="C1637" s="2" t="s">
        <v>39</v>
      </c>
      <c r="D1637" t="s">
        <v>33</v>
      </c>
      <c r="E1637">
        <v>35966</v>
      </c>
      <c r="F1637" t="s">
        <v>14</v>
      </c>
      <c r="G1637" t="s">
        <v>20</v>
      </c>
      <c r="H1637" t="s">
        <v>16</v>
      </c>
      <c r="I1637">
        <v>0</v>
      </c>
      <c r="J1637">
        <v>0</v>
      </c>
      <c r="K1637">
        <v>0</v>
      </c>
    </row>
    <row r="1638" spans="1:11" x14ac:dyDescent="0.25">
      <c r="A1638" t="s">
        <v>1678</v>
      </c>
      <c r="B1638" s="1">
        <v>45793.097187500003</v>
      </c>
      <c r="C1638" s="2" t="s">
        <v>39</v>
      </c>
      <c r="D1638" t="s">
        <v>13</v>
      </c>
      <c r="E1638">
        <v>166500</v>
      </c>
      <c r="F1638" t="s">
        <v>14</v>
      </c>
      <c r="G1638" t="s">
        <v>24</v>
      </c>
      <c r="H1638" t="s">
        <v>16</v>
      </c>
      <c r="I1638">
        <v>3080.25</v>
      </c>
      <c r="J1638">
        <v>1232.0999999999999</v>
      </c>
      <c r="K1638">
        <v>1848.15</v>
      </c>
    </row>
    <row r="1639" spans="1:11" x14ac:dyDescent="0.25">
      <c r="A1639" t="s">
        <v>1679</v>
      </c>
      <c r="B1639" s="1">
        <v>45928.631643518522</v>
      </c>
      <c r="C1639" s="2" t="s">
        <v>29</v>
      </c>
      <c r="D1639" t="s">
        <v>33</v>
      </c>
      <c r="E1639">
        <v>87255</v>
      </c>
      <c r="F1639" t="s">
        <v>14</v>
      </c>
      <c r="G1639" t="s">
        <v>34</v>
      </c>
      <c r="H1639" t="s">
        <v>16</v>
      </c>
      <c r="I1639">
        <v>0</v>
      </c>
      <c r="J1639">
        <v>0</v>
      </c>
      <c r="K1639">
        <v>0</v>
      </c>
    </row>
    <row r="1640" spans="1:11" x14ac:dyDescent="0.25">
      <c r="A1640" t="s">
        <v>1680</v>
      </c>
      <c r="B1640" s="1">
        <v>45866.686516203707</v>
      </c>
      <c r="C1640" s="2" t="s">
        <v>22</v>
      </c>
      <c r="D1640" t="s">
        <v>19</v>
      </c>
      <c r="E1640">
        <v>123528</v>
      </c>
      <c r="F1640" t="s">
        <v>14</v>
      </c>
      <c r="G1640" t="s">
        <v>24</v>
      </c>
      <c r="H1640" t="s">
        <v>16</v>
      </c>
      <c r="I1640">
        <v>5</v>
      </c>
      <c r="J1640">
        <v>0</v>
      </c>
      <c r="K1640">
        <v>5</v>
      </c>
    </row>
    <row r="1641" spans="1:11" x14ac:dyDescent="0.25">
      <c r="A1641" t="s">
        <v>1681</v>
      </c>
      <c r="B1641" s="1">
        <v>45842.365567129629</v>
      </c>
      <c r="C1641" s="2" t="s">
        <v>32</v>
      </c>
      <c r="D1641" t="s">
        <v>45</v>
      </c>
      <c r="E1641">
        <v>1097</v>
      </c>
      <c r="F1641" t="s">
        <v>14</v>
      </c>
      <c r="G1641" t="s">
        <v>27</v>
      </c>
      <c r="H1641" t="s">
        <v>71</v>
      </c>
      <c r="I1641">
        <v>10.97</v>
      </c>
      <c r="J1641">
        <v>0</v>
      </c>
      <c r="K1641">
        <v>10.97</v>
      </c>
    </row>
    <row r="1642" spans="1:11" x14ac:dyDescent="0.25">
      <c r="A1642" t="s">
        <v>1682</v>
      </c>
      <c r="B1642" s="1">
        <v>46035.873124999998</v>
      </c>
      <c r="C1642" s="2" t="s">
        <v>41</v>
      </c>
      <c r="D1642" t="s">
        <v>13</v>
      </c>
      <c r="E1642">
        <v>81000</v>
      </c>
      <c r="F1642" t="s">
        <v>50</v>
      </c>
      <c r="G1642" t="s">
        <v>84</v>
      </c>
      <c r="H1642" t="s">
        <v>16</v>
      </c>
      <c r="I1642">
        <v>1498.5</v>
      </c>
      <c r="J1642">
        <v>599.4</v>
      </c>
      <c r="K1642">
        <v>899.1</v>
      </c>
    </row>
    <row r="1643" spans="1:11" x14ac:dyDescent="0.25">
      <c r="A1643" t="s">
        <v>1683</v>
      </c>
      <c r="B1643" s="1">
        <v>46065.171238425923</v>
      </c>
      <c r="C1643" s="2" t="s">
        <v>18</v>
      </c>
      <c r="D1643" t="s">
        <v>33</v>
      </c>
      <c r="E1643">
        <v>70946</v>
      </c>
      <c r="F1643" t="s">
        <v>14</v>
      </c>
      <c r="G1643" t="s">
        <v>30</v>
      </c>
      <c r="H1643" t="s">
        <v>16</v>
      </c>
      <c r="I1643">
        <v>0</v>
      </c>
      <c r="J1643">
        <v>0</v>
      </c>
      <c r="K1643">
        <v>0</v>
      </c>
    </row>
    <row r="1644" spans="1:11" x14ac:dyDescent="0.25">
      <c r="A1644" t="s">
        <v>1684</v>
      </c>
      <c r="B1644" s="1">
        <v>46048.663124999999</v>
      </c>
      <c r="C1644" s="2" t="s">
        <v>22</v>
      </c>
      <c r="D1644" t="s">
        <v>13</v>
      </c>
      <c r="E1644">
        <v>78000</v>
      </c>
      <c r="F1644" t="s">
        <v>14</v>
      </c>
      <c r="G1644" t="s">
        <v>84</v>
      </c>
      <c r="H1644" t="s">
        <v>16</v>
      </c>
      <c r="I1644">
        <v>1443</v>
      </c>
      <c r="J1644">
        <v>577.20000000000005</v>
      </c>
      <c r="K1644">
        <v>865.8</v>
      </c>
    </row>
    <row r="1645" spans="1:11" x14ac:dyDescent="0.25">
      <c r="A1645" t="s">
        <v>1685</v>
      </c>
      <c r="B1645" s="1">
        <v>46071.0856712963</v>
      </c>
      <c r="C1645" s="2" t="s">
        <v>39</v>
      </c>
      <c r="D1645" t="s">
        <v>45</v>
      </c>
      <c r="E1645">
        <v>110545</v>
      </c>
      <c r="F1645" t="s">
        <v>50</v>
      </c>
      <c r="G1645" t="s">
        <v>30</v>
      </c>
      <c r="H1645" t="s">
        <v>178</v>
      </c>
      <c r="I1645">
        <v>1105.45</v>
      </c>
      <c r="J1645">
        <v>0</v>
      </c>
      <c r="K1645">
        <v>1105.45</v>
      </c>
    </row>
    <row r="1646" spans="1:11" x14ac:dyDescent="0.25">
      <c r="A1646" t="s">
        <v>1686</v>
      </c>
      <c r="B1646" s="1">
        <v>46097.179502314815</v>
      </c>
      <c r="C1646" s="2" t="s">
        <v>29</v>
      </c>
      <c r="D1646" t="s">
        <v>33</v>
      </c>
      <c r="E1646">
        <v>8589</v>
      </c>
      <c r="F1646" t="s">
        <v>14</v>
      </c>
      <c r="G1646" t="s">
        <v>20</v>
      </c>
      <c r="H1646" t="s">
        <v>16</v>
      </c>
      <c r="I1646">
        <v>0</v>
      </c>
      <c r="J1646">
        <v>0</v>
      </c>
      <c r="K1646">
        <v>0</v>
      </c>
    </row>
    <row r="1647" spans="1:11" x14ac:dyDescent="0.25">
      <c r="A1647" t="s">
        <v>1687</v>
      </c>
      <c r="B1647" s="1">
        <v>45889.302037037036</v>
      </c>
      <c r="C1647" s="2" t="s">
        <v>18</v>
      </c>
      <c r="D1647" t="s">
        <v>19</v>
      </c>
      <c r="E1647">
        <v>82818</v>
      </c>
      <c r="F1647" t="s">
        <v>14</v>
      </c>
      <c r="G1647" t="s">
        <v>15</v>
      </c>
      <c r="H1647" t="s">
        <v>16</v>
      </c>
      <c r="I1647">
        <v>5</v>
      </c>
      <c r="J1647">
        <v>0</v>
      </c>
      <c r="K1647">
        <v>5</v>
      </c>
    </row>
    <row r="1648" spans="1:11" x14ac:dyDescent="0.25">
      <c r="A1648" t="s">
        <v>1688</v>
      </c>
      <c r="B1648" s="1">
        <v>45829.401620370372</v>
      </c>
      <c r="C1648" s="2" t="s">
        <v>32</v>
      </c>
      <c r="D1648" t="s">
        <v>33</v>
      </c>
      <c r="E1648">
        <v>50188</v>
      </c>
      <c r="F1648" t="s">
        <v>14</v>
      </c>
      <c r="G1648" t="s">
        <v>30</v>
      </c>
      <c r="H1648" t="s">
        <v>16</v>
      </c>
      <c r="I1648">
        <v>0</v>
      </c>
      <c r="J1648">
        <v>0</v>
      </c>
      <c r="K1648">
        <v>0</v>
      </c>
    </row>
    <row r="1649" spans="1:11" x14ac:dyDescent="0.25">
      <c r="A1649" t="s">
        <v>1689</v>
      </c>
      <c r="B1649" s="1">
        <v>45871.301898148151</v>
      </c>
      <c r="C1649" s="2" t="s">
        <v>12</v>
      </c>
      <c r="D1649" t="s">
        <v>19</v>
      </c>
      <c r="E1649">
        <v>131573</v>
      </c>
      <c r="F1649" t="s">
        <v>50</v>
      </c>
      <c r="G1649" t="s">
        <v>15</v>
      </c>
      <c r="H1649" t="s">
        <v>16</v>
      </c>
      <c r="I1649">
        <v>5</v>
      </c>
      <c r="J1649">
        <v>0</v>
      </c>
      <c r="K1649">
        <v>5</v>
      </c>
    </row>
    <row r="1650" spans="1:11" x14ac:dyDescent="0.25">
      <c r="A1650" t="s">
        <v>1690</v>
      </c>
      <c r="B1650" s="1">
        <v>45844.559259259258</v>
      </c>
      <c r="C1650" s="2" t="s">
        <v>32</v>
      </c>
      <c r="D1650" t="s">
        <v>33</v>
      </c>
      <c r="E1650">
        <v>51033</v>
      </c>
      <c r="F1650" t="s">
        <v>14</v>
      </c>
      <c r="G1650" t="s">
        <v>84</v>
      </c>
      <c r="H1650" t="s">
        <v>16</v>
      </c>
      <c r="I1650">
        <v>0</v>
      </c>
      <c r="J1650">
        <v>0</v>
      </c>
      <c r="K1650">
        <v>0</v>
      </c>
    </row>
    <row r="1651" spans="1:11" x14ac:dyDescent="0.25">
      <c r="A1651" t="s">
        <v>1691</v>
      </c>
      <c r="B1651" s="1">
        <v>45835.313726851855</v>
      </c>
      <c r="C1651" s="2" t="s">
        <v>32</v>
      </c>
      <c r="D1651" t="s">
        <v>13</v>
      </c>
      <c r="E1651">
        <v>69500</v>
      </c>
      <c r="F1651" t="s">
        <v>50</v>
      </c>
      <c r="G1651" t="s">
        <v>51</v>
      </c>
      <c r="H1651" t="s">
        <v>16</v>
      </c>
      <c r="I1651">
        <v>1285.75</v>
      </c>
      <c r="J1651">
        <v>514.29999999999995</v>
      </c>
      <c r="K1651">
        <v>771.45</v>
      </c>
    </row>
    <row r="1652" spans="1:11" x14ac:dyDescent="0.25">
      <c r="A1652" t="s">
        <v>1692</v>
      </c>
      <c r="B1652" s="1">
        <v>45815.030752314815</v>
      </c>
      <c r="C1652" s="2" t="s">
        <v>41</v>
      </c>
      <c r="D1652" t="s">
        <v>33</v>
      </c>
      <c r="E1652">
        <v>63004</v>
      </c>
      <c r="F1652" t="s">
        <v>14</v>
      </c>
      <c r="G1652" t="s">
        <v>58</v>
      </c>
      <c r="H1652" t="s">
        <v>16</v>
      </c>
      <c r="I1652">
        <v>0</v>
      </c>
      <c r="J1652">
        <v>0</v>
      </c>
      <c r="K1652">
        <v>0</v>
      </c>
    </row>
    <row r="1653" spans="1:11" x14ac:dyDescent="0.25">
      <c r="A1653" t="s">
        <v>1693</v>
      </c>
      <c r="B1653" s="1">
        <v>45863.111226851855</v>
      </c>
      <c r="C1653" s="2" t="s">
        <v>39</v>
      </c>
      <c r="D1653" t="s">
        <v>45</v>
      </c>
      <c r="E1653">
        <v>65920</v>
      </c>
      <c r="F1653" t="s">
        <v>14</v>
      </c>
      <c r="G1653" t="s">
        <v>30</v>
      </c>
      <c r="H1653" t="s">
        <v>59</v>
      </c>
      <c r="I1653">
        <v>659.2</v>
      </c>
      <c r="J1653">
        <v>0</v>
      </c>
      <c r="K1653">
        <v>659.2</v>
      </c>
    </row>
    <row r="1654" spans="1:11" x14ac:dyDescent="0.25">
      <c r="A1654" t="s">
        <v>1694</v>
      </c>
      <c r="B1654" s="1">
        <v>45948.873518518521</v>
      </c>
      <c r="C1654" s="2" t="s">
        <v>29</v>
      </c>
      <c r="D1654" t="s">
        <v>13</v>
      </c>
      <c r="E1654">
        <v>229000</v>
      </c>
      <c r="F1654" t="s">
        <v>14</v>
      </c>
      <c r="G1654" t="s">
        <v>51</v>
      </c>
      <c r="H1654" t="s">
        <v>16</v>
      </c>
      <c r="I1654">
        <v>4236.5</v>
      </c>
      <c r="J1654">
        <v>1694.6</v>
      </c>
      <c r="K1654">
        <v>2541.9</v>
      </c>
    </row>
    <row r="1655" spans="1:11" x14ac:dyDescent="0.25">
      <c r="A1655" t="s">
        <v>1695</v>
      </c>
      <c r="B1655" s="1">
        <v>45844.924560185187</v>
      </c>
      <c r="C1655" s="2" t="s">
        <v>32</v>
      </c>
      <c r="D1655" t="s">
        <v>23</v>
      </c>
      <c r="E1655">
        <v>1149</v>
      </c>
      <c r="F1655" t="s">
        <v>14</v>
      </c>
      <c r="G1655" t="s">
        <v>34</v>
      </c>
      <c r="H1655" t="s">
        <v>16</v>
      </c>
      <c r="I1655">
        <v>0</v>
      </c>
      <c r="J1655">
        <v>0</v>
      </c>
      <c r="K1655">
        <v>0</v>
      </c>
    </row>
    <row r="1656" spans="1:11" x14ac:dyDescent="0.25">
      <c r="A1656" t="s">
        <v>1696</v>
      </c>
      <c r="B1656" s="1">
        <v>46036.462361111109</v>
      </c>
      <c r="C1656" s="2" t="s">
        <v>18</v>
      </c>
      <c r="D1656" t="s">
        <v>23</v>
      </c>
      <c r="E1656">
        <v>4188</v>
      </c>
      <c r="F1656" t="s">
        <v>14</v>
      </c>
      <c r="G1656" t="s">
        <v>34</v>
      </c>
      <c r="H1656" t="s">
        <v>16</v>
      </c>
      <c r="I1656">
        <v>0</v>
      </c>
      <c r="J1656">
        <v>0</v>
      </c>
      <c r="K1656">
        <v>0</v>
      </c>
    </row>
    <row r="1657" spans="1:11" x14ac:dyDescent="0.25">
      <c r="A1657" t="s">
        <v>1697</v>
      </c>
      <c r="B1657" s="1">
        <v>45923.096134259256</v>
      </c>
      <c r="C1657" s="2" t="s">
        <v>32</v>
      </c>
      <c r="D1657" t="s">
        <v>23</v>
      </c>
      <c r="E1657">
        <v>4377</v>
      </c>
      <c r="F1657" t="s">
        <v>99</v>
      </c>
      <c r="G1657" t="s">
        <v>58</v>
      </c>
      <c r="H1657" t="s">
        <v>16</v>
      </c>
      <c r="I1657">
        <v>0</v>
      </c>
      <c r="J1657">
        <v>0</v>
      </c>
      <c r="K1657">
        <v>0</v>
      </c>
    </row>
    <row r="1658" spans="1:11" x14ac:dyDescent="0.25">
      <c r="A1658" t="s">
        <v>1698</v>
      </c>
      <c r="B1658" s="1">
        <v>46135.086157407408</v>
      </c>
      <c r="C1658" s="2" t="s">
        <v>18</v>
      </c>
      <c r="D1658" t="s">
        <v>33</v>
      </c>
      <c r="E1658">
        <v>133921</v>
      </c>
      <c r="F1658" t="s">
        <v>14</v>
      </c>
      <c r="G1658" t="s">
        <v>30</v>
      </c>
      <c r="H1658" t="s">
        <v>16</v>
      </c>
      <c r="I1658">
        <v>0</v>
      </c>
      <c r="J1658">
        <v>0</v>
      </c>
      <c r="K1658">
        <v>0</v>
      </c>
    </row>
    <row r="1659" spans="1:11" x14ac:dyDescent="0.25">
      <c r="A1659" t="s">
        <v>1699</v>
      </c>
      <c r="B1659" s="1">
        <v>45805.995428240742</v>
      </c>
      <c r="C1659" s="2" t="s">
        <v>32</v>
      </c>
      <c r="D1659" t="s">
        <v>19</v>
      </c>
      <c r="E1659">
        <v>85381</v>
      </c>
      <c r="F1659" t="s">
        <v>14</v>
      </c>
      <c r="G1659" t="s">
        <v>51</v>
      </c>
      <c r="H1659" t="s">
        <v>16</v>
      </c>
      <c r="I1659">
        <v>5</v>
      </c>
      <c r="J1659">
        <v>0</v>
      </c>
      <c r="K1659">
        <v>5</v>
      </c>
    </row>
    <row r="1660" spans="1:11" x14ac:dyDescent="0.25">
      <c r="A1660" t="s">
        <v>1700</v>
      </c>
      <c r="B1660" s="1">
        <v>45927.415659722225</v>
      </c>
      <c r="C1660" s="2" t="s">
        <v>12</v>
      </c>
      <c r="D1660" t="s">
        <v>23</v>
      </c>
      <c r="E1660">
        <v>1975</v>
      </c>
      <c r="F1660" t="s">
        <v>14</v>
      </c>
      <c r="G1660" t="s">
        <v>34</v>
      </c>
      <c r="H1660" t="s">
        <v>16</v>
      </c>
      <c r="I1660">
        <v>0</v>
      </c>
      <c r="J1660">
        <v>0</v>
      </c>
      <c r="K1660">
        <v>0</v>
      </c>
    </row>
    <row r="1661" spans="1:11" x14ac:dyDescent="0.25">
      <c r="A1661" t="s">
        <v>1701</v>
      </c>
      <c r="B1661" s="1">
        <v>46089.544328703705</v>
      </c>
      <c r="C1661" s="2" t="s">
        <v>22</v>
      </c>
      <c r="D1661" t="s">
        <v>13</v>
      </c>
      <c r="E1661">
        <v>158000</v>
      </c>
      <c r="F1661" t="s">
        <v>14</v>
      </c>
      <c r="G1661" t="s">
        <v>20</v>
      </c>
      <c r="H1661" t="s">
        <v>16</v>
      </c>
      <c r="I1661">
        <v>2923</v>
      </c>
      <c r="J1661">
        <v>1169.2</v>
      </c>
      <c r="K1661">
        <v>1753.8</v>
      </c>
    </row>
    <row r="1662" spans="1:11" x14ac:dyDescent="0.25">
      <c r="A1662" t="s">
        <v>1702</v>
      </c>
      <c r="B1662" s="1">
        <v>46130.827465277776</v>
      </c>
      <c r="C1662" s="2" t="s">
        <v>18</v>
      </c>
      <c r="D1662" t="s">
        <v>45</v>
      </c>
      <c r="E1662">
        <v>1098</v>
      </c>
      <c r="F1662" t="s">
        <v>14</v>
      </c>
      <c r="G1662" t="s">
        <v>24</v>
      </c>
      <c r="H1662" t="s">
        <v>71</v>
      </c>
      <c r="I1662">
        <v>10.98</v>
      </c>
      <c r="J1662">
        <v>0</v>
      </c>
      <c r="K1662">
        <v>10.98</v>
      </c>
    </row>
    <row r="1663" spans="1:11" x14ac:dyDescent="0.25">
      <c r="A1663" t="s">
        <v>1703</v>
      </c>
      <c r="B1663" s="1">
        <v>46041.669374999998</v>
      </c>
      <c r="C1663" s="2" t="s">
        <v>26</v>
      </c>
      <c r="D1663" t="s">
        <v>23</v>
      </c>
      <c r="E1663">
        <v>4435</v>
      </c>
      <c r="F1663" t="s">
        <v>14</v>
      </c>
      <c r="G1663" t="s">
        <v>34</v>
      </c>
      <c r="H1663" t="s">
        <v>16</v>
      </c>
      <c r="I1663">
        <v>0</v>
      </c>
      <c r="J1663">
        <v>0</v>
      </c>
      <c r="K1663">
        <v>0</v>
      </c>
    </row>
    <row r="1664" spans="1:11" x14ac:dyDescent="0.25">
      <c r="A1664" t="s">
        <v>1704</v>
      </c>
      <c r="B1664" s="1">
        <v>45922.500173611108</v>
      </c>
      <c r="C1664" s="2" t="s">
        <v>32</v>
      </c>
      <c r="D1664" t="s">
        <v>23</v>
      </c>
      <c r="E1664">
        <v>2491</v>
      </c>
      <c r="F1664" t="s">
        <v>50</v>
      </c>
      <c r="G1664" t="s">
        <v>27</v>
      </c>
      <c r="H1664" t="s">
        <v>16</v>
      </c>
      <c r="I1664">
        <v>0</v>
      </c>
      <c r="J1664">
        <v>0</v>
      </c>
      <c r="K1664">
        <v>0</v>
      </c>
    </row>
    <row r="1665" spans="1:11" x14ac:dyDescent="0.25">
      <c r="A1665" t="s">
        <v>1705</v>
      </c>
      <c r="B1665" s="1">
        <v>45897.36037037037</v>
      </c>
      <c r="C1665" s="2" t="s">
        <v>26</v>
      </c>
      <c r="D1665" t="s">
        <v>19</v>
      </c>
      <c r="E1665">
        <v>138196</v>
      </c>
      <c r="F1665" t="s">
        <v>14</v>
      </c>
      <c r="G1665" t="s">
        <v>51</v>
      </c>
      <c r="H1665" t="s">
        <v>16</v>
      </c>
      <c r="I1665">
        <v>5</v>
      </c>
      <c r="J1665">
        <v>0</v>
      </c>
      <c r="K1665">
        <v>5</v>
      </c>
    </row>
    <row r="1666" spans="1:11" x14ac:dyDescent="0.25">
      <c r="A1666" t="s">
        <v>1706</v>
      </c>
      <c r="B1666" s="1">
        <v>46042.580972222226</v>
      </c>
      <c r="C1666" s="2" t="s">
        <v>39</v>
      </c>
      <c r="D1666" t="s">
        <v>33</v>
      </c>
      <c r="E1666">
        <v>56347</v>
      </c>
      <c r="F1666" t="s">
        <v>14</v>
      </c>
      <c r="G1666" t="s">
        <v>58</v>
      </c>
      <c r="H1666" t="s">
        <v>16</v>
      </c>
      <c r="I1666">
        <v>0</v>
      </c>
      <c r="J1666">
        <v>0</v>
      </c>
      <c r="K1666">
        <v>0</v>
      </c>
    </row>
    <row r="1667" spans="1:11" x14ac:dyDescent="0.25">
      <c r="A1667" t="s">
        <v>1707</v>
      </c>
      <c r="B1667" s="1">
        <v>46073.694918981484</v>
      </c>
      <c r="C1667" s="2" t="s">
        <v>18</v>
      </c>
      <c r="D1667" t="s">
        <v>33</v>
      </c>
      <c r="E1667">
        <v>46429</v>
      </c>
      <c r="F1667" t="s">
        <v>14</v>
      </c>
      <c r="G1667" t="s">
        <v>20</v>
      </c>
      <c r="H1667" t="s">
        <v>16</v>
      </c>
      <c r="I1667">
        <v>0</v>
      </c>
      <c r="J1667">
        <v>0</v>
      </c>
      <c r="K1667">
        <v>0</v>
      </c>
    </row>
    <row r="1668" spans="1:11" x14ac:dyDescent="0.25">
      <c r="A1668" t="s">
        <v>1708</v>
      </c>
      <c r="B1668" s="1">
        <v>45980.728495370371</v>
      </c>
      <c r="C1668" s="2" t="s">
        <v>18</v>
      </c>
      <c r="D1668" t="s">
        <v>19</v>
      </c>
      <c r="E1668">
        <v>147575</v>
      </c>
      <c r="F1668" t="s">
        <v>14</v>
      </c>
      <c r="G1668" t="s">
        <v>24</v>
      </c>
      <c r="H1668" t="s">
        <v>16</v>
      </c>
      <c r="I1668">
        <v>5</v>
      </c>
      <c r="J1668">
        <v>0</v>
      </c>
      <c r="K1668">
        <v>5</v>
      </c>
    </row>
    <row r="1669" spans="1:11" x14ac:dyDescent="0.25">
      <c r="A1669" t="s">
        <v>1709</v>
      </c>
      <c r="B1669" s="1">
        <v>45843.019502314812</v>
      </c>
      <c r="C1669" s="2" t="s">
        <v>41</v>
      </c>
      <c r="D1669" t="s">
        <v>19</v>
      </c>
      <c r="E1669">
        <v>31614</v>
      </c>
      <c r="F1669" t="s">
        <v>14</v>
      </c>
      <c r="G1669" t="s">
        <v>24</v>
      </c>
      <c r="H1669" t="s">
        <v>16</v>
      </c>
      <c r="I1669">
        <v>5</v>
      </c>
      <c r="J1669">
        <v>0</v>
      </c>
      <c r="K1669">
        <v>5</v>
      </c>
    </row>
    <row r="1670" spans="1:11" x14ac:dyDescent="0.25">
      <c r="A1670" t="s">
        <v>1710</v>
      </c>
      <c r="B1670" s="1">
        <v>46047.758090277777</v>
      </c>
      <c r="C1670" s="2" t="s">
        <v>39</v>
      </c>
      <c r="D1670" t="s">
        <v>33</v>
      </c>
      <c r="E1670">
        <v>30048</v>
      </c>
      <c r="F1670" t="s">
        <v>14</v>
      </c>
      <c r="G1670" t="s">
        <v>34</v>
      </c>
      <c r="H1670" t="s">
        <v>16</v>
      </c>
      <c r="I1670">
        <v>0</v>
      </c>
      <c r="J1670">
        <v>0</v>
      </c>
      <c r="K1670">
        <v>0</v>
      </c>
    </row>
    <row r="1671" spans="1:11" x14ac:dyDescent="0.25">
      <c r="A1671" t="s">
        <v>1711</v>
      </c>
      <c r="B1671" s="1">
        <v>45996.104710648149</v>
      </c>
      <c r="C1671" s="2" t="s">
        <v>41</v>
      </c>
      <c r="D1671" t="s">
        <v>19</v>
      </c>
      <c r="E1671">
        <v>114994</v>
      </c>
      <c r="F1671" t="s">
        <v>14</v>
      </c>
      <c r="G1671" t="s">
        <v>20</v>
      </c>
      <c r="H1671" t="s">
        <v>16</v>
      </c>
      <c r="I1671">
        <v>5</v>
      </c>
      <c r="J1671">
        <v>0</v>
      </c>
      <c r="K1671">
        <v>5</v>
      </c>
    </row>
    <row r="1672" spans="1:11" x14ac:dyDescent="0.25">
      <c r="A1672" t="s">
        <v>1712</v>
      </c>
      <c r="B1672" s="1">
        <v>45896.608506944445</v>
      </c>
      <c r="C1672" s="2" t="s">
        <v>12</v>
      </c>
      <c r="D1672" t="s">
        <v>45</v>
      </c>
      <c r="E1672">
        <v>12007</v>
      </c>
      <c r="F1672" t="s">
        <v>14</v>
      </c>
      <c r="G1672" t="s">
        <v>15</v>
      </c>
      <c r="H1672" t="s">
        <v>46</v>
      </c>
      <c r="I1672">
        <v>120.07</v>
      </c>
      <c r="J1672">
        <v>0</v>
      </c>
      <c r="K1672">
        <v>120.07</v>
      </c>
    </row>
    <row r="1673" spans="1:11" x14ac:dyDescent="0.25">
      <c r="A1673" t="s">
        <v>1713</v>
      </c>
      <c r="B1673" s="1">
        <v>45977.331099537034</v>
      </c>
      <c r="C1673" s="2" t="s">
        <v>41</v>
      </c>
      <c r="D1673" t="s">
        <v>23</v>
      </c>
      <c r="E1673">
        <v>3967</v>
      </c>
      <c r="F1673" t="s">
        <v>14</v>
      </c>
      <c r="G1673" t="s">
        <v>34</v>
      </c>
      <c r="H1673" t="s">
        <v>16</v>
      </c>
      <c r="I1673">
        <v>0</v>
      </c>
      <c r="J1673">
        <v>0</v>
      </c>
      <c r="K1673">
        <v>0</v>
      </c>
    </row>
    <row r="1674" spans="1:11" x14ac:dyDescent="0.25">
      <c r="A1674" t="s">
        <v>1714</v>
      </c>
      <c r="B1674" s="1">
        <v>45984.662002314813</v>
      </c>
      <c r="C1674" s="2" t="s">
        <v>41</v>
      </c>
      <c r="D1674" t="s">
        <v>23</v>
      </c>
      <c r="E1674">
        <v>992</v>
      </c>
      <c r="F1674" t="s">
        <v>14</v>
      </c>
      <c r="G1674" t="s">
        <v>24</v>
      </c>
      <c r="H1674" t="s">
        <v>16</v>
      </c>
      <c r="I1674">
        <v>0</v>
      </c>
      <c r="J1674">
        <v>0</v>
      </c>
      <c r="K1674">
        <v>0</v>
      </c>
    </row>
    <row r="1675" spans="1:11" x14ac:dyDescent="0.25">
      <c r="A1675" t="s">
        <v>1715</v>
      </c>
      <c r="B1675" s="1">
        <v>46007.788506944446</v>
      </c>
      <c r="C1675" s="2" t="s">
        <v>26</v>
      </c>
      <c r="D1675" t="s">
        <v>19</v>
      </c>
      <c r="E1675">
        <v>99792</v>
      </c>
      <c r="F1675" t="s">
        <v>14</v>
      </c>
      <c r="G1675" t="s">
        <v>51</v>
      </c>
      <c r="H1675" t="s">
        <v>16</v>
      </c>
      <c r="I1675">
        <v>5</v>
      </c>
      <c r="J1675">
        <v>0</v>
      </c>
      <c r="K1675">
        <v>5</v>
      </c>
    </row>
    <row r="1676" spans="1:11" x14ac:dyDescent="0.25">
      <c r="A1676" t="s">
        <v>1716</v>
      </c>
      <c r="B1676" s="1">
        <v>46019.083460648151</v>
      </c>
      <c r="C1676" s="2" t="s">
        <v>39</v>
      </c>
      <c r="D1676" t="s">
        <v>19</v>
      </c>
      <c r="E1676">
        <v>25889</v>
      </c>
      <c r="F1676" t="s">
        <v>14</v>
      </c>
      <c r="G1676" t="s">
        <v>34</v>
      </c>
      <c r="H1676" t="s">
        <v>16</v>
      </c>
      <c r="I1676">
        <v>5</v>
      </c>
      <c r="J1676">
        <v>0</v>
      </c>
      <c r="K1676">
        <v>5</v>
      </c>
    </row>
    <row r="1677" spans="1:11" x14ac:dyDescent="0.25">
      <c r="A1677" t="s">
        <v>1717</v>
      </c>
      <c r="B1677" s="1">
        <v>46069.648159722223</v>
      </c>
      <c r="C1677" s="2" t="s">
        <v>26</v>
      </c>
      <c r="D1677" t="s">
        <v>13</v>
      </c>
      <c r="E1677">
        <v>100000</v>
      </c>
      <c r="F1677" t="s">
        <v>14</v>
      </c>
      <c r="G1677" t="s">
        <v>20</v>
      </c>
      <c r="H1677" t="s">
        <v>16</v>
      </c>
      <c r="I1677">
        <v>1850</v>
      </c>
      <c r="J1677">
        <v>740</v>
      </c>
      <c r="K1677">
        <v>1110</v>
      </c>
    </row>
    <row r="1678" spans="1:11" x14ac:dyDescent="0.25">
      <c r="A1678" t="s">
        <v>1718</v>
      </c>
      <c r="B1678" s="1">
        <v>46116.241481481484</v>
      </c>
      <c r="C1678" s="2" t="s">
        <v>22</v>
      </c>
      <c r="D1678" t="s">
        <v>19</v>
      </c>
      <c r="E1678">
        <v>34778</v>
      </c>
      <c r="F1678" t="s">
        <v>14</v>
      </c>
      <c r="G1678" t="s">
        <v>51</v>
      </c>
      <c r="H1678" t="s">
        <v>16</v>
      </c>
      <c r="I1678">
        <v>5</v>
      </c>
      <c r="J1678">
        <v>0</v>
      </c>
      <c r="K1678">
        <v>5</v>
      </c>
    </row>
    <row r="1679" spans="1:11" x14ac:dyDescent="0.25">
      <c r="A1679" t="s">
        <v>1719</v>
      </c>
      <c r="B1679" s="1">
        <v>45788.628888888888</v>
      </c>
      <c r="C1679" s="2" t="s">
        <v>22</v>
      </c>
      <c r="D1679" t="s">
        <v>19</v>
      </c>
      <c r="E1679">
        <v>10842</v>
      </c>
      <c r="F1679" t="s">
        <v>14</v>
      </c>
      <c r="G1679" t="s">
        <v>24</v>
      </c>
      <c r="H1679" t="s">
        <v>16</v>
      </c>
      <c r="I1679">
        <v>5</v>
      </c>
      <c r="J1679">
        <v>0</v>
      </c>
      <c r="K1679">
        <v>5</v>
      </c>
    </row>
    <row r="1680" spans="1:11" x14ac:dyDescent="0.25">
      <c r="A1680" t="s">
        <v>1720</v>
      </c>
      <c r="B1680" s="1">
        <v>45803.406828703701</v>
      </c>
      <c r="C1680" s="2" t="s">
        <v>22</v>
      </c>
      <c r="D1680" t="s">
        <v>13</v>
      </c>
      <c r="E1680">
        <v>33000</v>
      </c>
      <c r="F1680" t="s">
        <v>50</v>
      </c>
      <c r="G1680" t="s">
        <v>27</v>
      </c>
      <c r="H1680" t="s">
        <v>16</v>
      </c>
      <c r="I1680">
        <v>610.5</v>
      </c>
      <c r="J1680">
        <v>244.2</v>
      </c>
      <c r="K1680">
        <v>366.3</v>
      </c>
    </row>
    <row r="1681" spans="1:11" x14ac:dyDescent="0.25">
      <c r="A1681" t="s">
        <v>1721</v>
      </c>
      <c r="B1681" s="1">
        <v>45933.088854166665</v>
      </c>
      <c r="C1681" s="2" t="s">
        <v>32</v>
      </c>
      <c r="D1681" t="s">
        <v>33</v>
      </c>
      <c r="E1681">
        <v>64193</v>
      </c>
      <c r="F1681" t="s">
        <v>50</v>
      </c>
      <c r="G1681" t="s">
        <v>27</v>
      </c>
      <c r="H1681" t="s">
        <v>16</v>
      </c>
      <c r="I1681">
        <v>0</v>
      </c>
      <c r="J1681">
        <v>0</v>
      </c>
      <c r="K1681">
        <v>0</v>
      </c>
    </row>
    <row r="1682" spans="1:11" x14ac:dyDescent="0.25">
      <c r="A1682" t="s">
        <v>1722</v>
      </c>
      <c r="B1682" s="1">
        <v>45973.864641203705</v>
      </c>
      <c r="C1682" s="2" t="s">
        <v>29</v>
      </c>
      <c r="D1682" t="s">
        <v>45</v>
      </c>
      <c r="E1682">
        <v>149120</v>
      </c>
      <c r="F1682" t="s">
        <v>14</v>
      </c>
      <c r="G1682" t="s">
        <v>58</v>
      </c>
      <c r="H1682" t="s">
        <v>178</v>
      </c>
      <c r="I1682">
        <v>1491.2</v>
      </c>
      <c r="J1682">
        <v>0</v>
      </c>
      <c r="K1682">
        <v>1491.2</v>
      </c>
    </row>
    <row r="1683" spans="1:11" x14ac:dyDescent="0.25">
      <c r="A1683" t="s">
        <v>1723</v>
      </c>
      <c r="B1683" s="1">
        <v>45939.321238425924</v>
      </c>
      <c r="C1683" s="2" t="s">
        <v>26</v>
      </c>
      <c r="D1683" t="s">
        <v>19</v>
      </c>
      <c r="E1683">
        <v>32839</v>
      </c>
      <c r="F1683" t="s">
        <v>14</v>
      </c>
      <c r="G1683" t="s">
        <v>30</v>
      </c>
      <c r="H1683" t="s">
        <v>16</v>
      </c>
      <c r="I1683">
        <v>5</v>
      </c>
      <c r="J1683">
        <v>0</v>
      </c>
      <c r="K1683">
        <v>5</v>
      </c>
    </row>
    <row r="1684" spans="1:11" x14ac:dyDescent="0.25">
      <c r="A1684" t="s">
        <v>1724</v>
      </c>
      <c r="B1684" s="1">
        <v>46085.319456018522</v>
      </c>
      <c r="C1684" s="2" t="s">
        <v>18</v>
      </c>
      <c r="D1684" t="s">
        <v>19</v>
      </c>
      <c r="E1684">
        <v>31718</v>
      </c>
      <c r="F1684" t="s">
        <v>14</v>
      </c>
      <c r="G1684" t="s">
        <v>58</v>
      </c>
      <c r="H1684" t="s">
        <v>16</v>
      </c>
      <c r="I1684">
        <v>5</v>
      </c>
      <c r="J1684">
        <v>0</v>
      </c>
      <c r="K1684">
        <v>5</v>
      </c>
    </row>
    <row r="1685" spans="1:11" x14ac:dyDescent="0.25">
      <c r="A1685" t="s">
        <v>1725</v>
      </c>
      <c r="B1685" s="1">
        <v>45852.503969907404</v>
      </c>
      <c r="C1685" s="2" t="s">
        <v>32</v>
      </c>
      <c r="D1685" t="s">
        <v>45</v>
      </c>
      <c r="E1685">
        <v>8631</v>
      </c>
      <c r="F1685" t="s">
        <v>14</v>
      </c>
      <c r="G1685" t="s">
        <v>20</v>
      </c>
      <c r="H1685" t="s">
        <v>46</v>
      </c>
      <c r="I1685">
        <v>86.31</v>
      </c>
      <c r="J1685">
        <v>0</v>
      </c>
      <c r="K1685">
        <v>86.31</v>
      </c>
    </row>
    <row r="1686" spans="1:11" x14ac:dyDescent="0.25">
      <c r="A1686" t="s">
        <v>1726</v>
      </c>
      <c r="B1686" s="1">
        <v>45987.291990740741</v>
      </c>
      <c r="C1686" s="2" t="s">
        <v>12</v>
      </c>
      <c r="D1686" t="s">
        <v>13</v>
      </c>
      <c r="E1686">
        <v>149000</v>
      </c>
      <c r="F1686" t="s">
        <v>50</v>
      </c>
      <c r="G1686" t="s">
        <v>20</v>
      </c>
      <c r="H1686" t="s">
        <v>16</v>
      </c>
      <c r="I1686">
        <v>2756.5</v>
      </c>
      <c r="J1686">
        <v>1102.5999999999999</v>
      </c>
      <c r="K1686">
        <v>1653.9</v>
      </c>
    </row>
    <row r="1687" spans="1:11" x14ac:dyDescent="0.25">
      <c r="A1687" t="s">
        <v>1727</v>
      </c>
      <c r="B1687" s="1">
        <v>46058.507650462961</v>
      </c>
      <c r="C1687" s="2" t="s">
        <v>39</v>
      </c>
      <c r="D1687" t="s">
        <v>45</v>
      </c>
      <c r="E1687">
        <v>93825</v>
      </c>
      <c r="F1687" t="s">
        <v>14</v>
      </c>
      <c r="G1687" t="s">
        <v>58</v>
      </c>
      <c r="H1687" t="s">
        <v>178</v>
      </c>
      <c r="I1687">
        <v>938.25</v>
      </c>
      <c r="J1687">
        <v>0</v>
      </c>
      <c r="K1687">
        <v>938.25</v>
      </c>
    </row>
    <row r="1688" spans="1:11" x14ac:dyDescent="0.25">
      <c r="A1688" t="s">
        <v>1728</v>
      </c>
      <c r="B1688" s="1">
        <v>46135.96266203704</v>
      </c>
      <c r="C1688" s="2" t="s">
        <v>18</v>
      </c>
      <c r="D1688" t="s">
        <v>13</v>
      </c>
      <c r="E1688">
        <v>113000</v>
      </c>
      <c r="F1688" t="s">
        <v>14</v>
      </c>
      <c r="G1688" t="s">
        <v>20</v>
      </c>
      <c r="H1688" t="s">
        <v>16</v>
      </c>
      <c r="I1688">
        <v>2090.5</v>
      </c>
      <c r="J1688">
        <v>836.2</v>
      </c>
      <c r="K1688">
        <v>1254.3</v>
      </c>
    </row>
    <row r="1689" spans="1:11" x14ac:dyDescent="0.25">
      <c r="A1689" t="s">
        <v>1729</v>
      </c>
      <c r="B1689" s="1">
        <v>45864.846180555556</v>
      </c>
      <c r="C1689" s="2" t="s">
        <v>32</v>
      </c>
      <c r="D1689" t="s">
        <v>19</v>
      </c>
      <c r="E1689">
        <v>4028</v>
      </c>
      <c r="F1689" t="s">
        <v>14</v>
      </c>
      <c r="G1689" t="s">
        <v>34</v>
      </c>
      <c r="H1689" t="s">
        <v>16</v>
      </c>
      <c r="I1689">
        <v>5</v>
      </c>
      <c r="J1689">
        <v>0</v>
      </c>
      <c r="K1689">
        <v>5</v>
      </c>
    </row>
    <row r="1690" spans="1:11" x14ac:dyDescent="0.25">
      <c r="A1690" t="s">
        <v>1730</v>
      </c>
      <c r="B1690" s="1">
        <v>45942.329872685186</v>
      </c>
      <c r="C1690" s="2" t="s">
        <v>39</v>
      </c>
      <c r="D1690" t="s">
        <v>13</v>
      </c>
      <c r="E1690">
        <v>185000</v>
      </c>
      <c r="F1690" t="s">
        <v>14</v>
      </c>
      <c r="G1690" t="s">
        <v>34</v>
      </c>
      <c r="H1690" t="s">
        <v>16</v>
      </c>
      <c r="I1690">
        <v>3422.5</v>
      </c>
      <c r="J1690">
        <v>1369</v>
      </c>
      <c r="K1690">
        <v>2053.5</v>
      </c>
    </row>
    <row r="1691" spans="1:11" x14ac:dyDescent="0.25">
      <c r="A1691" t="s">
        <v>1731</v>
      </c>
      <c r="B1691" s="1">
        <v>46066.210717592592</v>
      </c>
      <c r="C1691" s="2" t="s">
        <v>22</v>
      </c>
      <c r="D1691" t="s">
        <v>19</v>
      </c>
      <c r="E1691">
        <v>21571</v>
      </c>
      <c r="F1691" t="s">
        <v>14</v>
      </c>
      <c r="G1691" t="s">
        <v>58</v>
      </c>
      <c r="H1691" t="s">
        <v>16</v>
      </c>
      <c r="I1691">
        <v>5</v>
      </c>
      <c r="J1691">
        <v>0</v>
      </c>
      <c r="K1691">
        <v>5</v>
      </c>
    </row>
    <row r="1692" spans="1:11" x14ac:dyDescent="0.25">
      <c r="A1692" t="s">
        <v>1732</v>
      </c>
      <c r="B1692" s="1">
        <v>45867.843541666669</v>
      </c>
      <c r="C1692" s="2" t="s">
        <v>39</v>
      </c>
      <c r="D1692" t="s">
        <v>33</v>
      </c>
      <c r="E1692">
        <v>52682</v>
      </c>
      <c r="F1692" t="s">
        <v>14</v>
      </c>
      <c r="G1692" t="s">
        <v>15</v>
      </c>
      <c r="H1692" t="s">
        <v>16</v>
      </c>
      <c r="I1692">
        <v>0</v>
      </c>
      <c r="J1692">
        <v>0</v>
      </c>
      <c r="K1692">
        <v>0</v>
      </c>
    </row>
    <row r="1693" spans="1:11" x14ac:dyDescent="0.25">
      <c r="A1693" t="s">
        <v>1733</v>
      </c>
      <c r="B1693" s="1">
        <v>46110.981168981481</v>
      </c>
      <c r="C1693" s="2" t="s">
        <v>22</v>
      </c>
      <c r="D1693" t="s">
        <v>45</v>
      </c>
      <c r="E1693">
        <v>25654</v>
      </c>
      <c r="F1693" t="s">
        <v>50</v>
      </c>
      <c r="G1693" t="s">
        <v>20</v>
      </c>
      <c r="H1693" t="s">
        <v>46</v>
      </c>
      <c r="I1693">
        <v>256.54000000000002</v>
      </c>
      <c r="J1693">
        <v>0</v>
      </c>
      <c r="K1693">
        <v>256.54000000000002</v>
      </c>
    </row>
    <row r="1694" spans="1:11" x14ac:dyDescent="0.25">
      <c r="A1694" t="s">
        <v>1734</v>
      </c>
      <c r="B1694" s="1">
        <v>46124.604120370372</v>
      </c>
      <c r="C1694" s="2" t="s">
        <v>29</v>
      </c>
      <c r="D1694" t="s">
        <v>45</v>
      </c>
      <c r="E1694">
        <v>73837</v>
      </c>
      <c r="F1694" t="s">
        <v>14</v>
      </c>
      <c r="G1694" t="s">
        <v>30</v>
      </c>
      <c r="H1694" t="s">
        <v>59</v>
      </c>
      <c r="I1694">
        <v>738.37</v>
      </c>
      <c r="J1694">
        <v>0</v>
      </c>
      <c r="K1694">
        <v>738.37</v>
      </c>
    </row>
    <row r="1695" spans="1:11" x14ac:dyDescent="0.25">
      <c r="A1695" t="s">
        <v>1735</v>
      </c>
      <c r="B1695" s="1">
        <v>46118.253240740742</v>
      </c>
      <c r="C1695" s="2" t="s">
        <v>12</v>
      </c>
      <c r="D1695" t="s">
        <v>19</v>
      </c>
      <c r="E1695">
        <v>27327</v>
      </c>
      <c r="F1695" t="s">
        <v>14</v>
      </c>
      <c r="G1695" t="s">
        <v>27</v>
      </c>
      <c r="H1695" t="s">
        <v>16</v>
      </c>
      <c r="I1695">
        <v>5</v>
      </c>
      <c r="J1695">
        <v>0</v>
      </c>
      <c r="K1695">
        <v>5</v>
      </c>
    </row>
    <row r="1696" spans="1:11" x14ac:dyDescent="0.25">
      <c r="A1696" t="s">
        <v>1736</v>
      </c>
      <c r="B1696" s="1">
        <v>46059.383425925924</v>
      </c>
      <c r="C1696" s="2" t="s">
        <v>32</v>
      </c>
      <c r="D1696" t="s">
        <v>33</v>
      </c>
      <c r="E1696">
        <v>27984</v>
      </c>
      <c r="F1696" t="s">
        <v>50</v>
      </c>
      <c r="G1696" t="s">
        <v>15</v>
      </c>
      <c r="H1696" t="s">
        <v>16</v>
      </c>
      <c r="I1696">
        <v>0</v>
      </c>
      <c r="J1696">
        <v>0</v>
      </c>
      <c r="K1696">
        <v>0</v>
      </c>
    </row>
    <row r="1697" spans="1:11" x14ac:dyDescent="0.25">
      <c r="A1697" t="s">
        <v>1737</v>
      </c>
      <c r="B1697" s="1">
        <v>45790.377152777779</v>
      </c>
      <c r="C1697" s="2" t="s">
        <v>18</v>
      </c>
      <c r="D1697" t="s">
        <v>33</v>
      </c>
      <c r="E1697">
        <v>65163</v>
      </c>
      <c r="F1697" t="s">
        <v>14</v>
      </c>
      <c r="G1697" t="s">
        <v>24</v>
      </c>
      <c r="H1697" t="s">
        <v>16</v>
      </c>
      <c r="I1697">
        <v>0</v>
      </c>
      <c r="J1697">
        <v>0</v>
      </c>
      <c r="K1697">
        <v>0</v>
      </c>
    </row>
    <row r="1698" spans="1:11" x14ac:dyDescent="0.25">
      <c r="A1698" t="s">
        <v>1738</v>
      </c>
      <c r="B1698" s="1">
        <v>45901.061562499999</v>
      </c>
      <c r="C1698" s="2" t="s">
        <v>12</v>
      </c>
      <c r="D1698" t="s">
        <v>33</v>
      </c>
      <c r="E1698">
        <v>108969</v>
      </c>
      <c r="F1698" t="s">
        <v>14</v>
      </c>
      <c r="G1698" t="s">
        <v>51</v>
      </c>
      <c r="H1698" t="s">
        <v>16</v>
      </c>
      <c r="I1698">
        <v>0</v>
      </c>
      <c r="J1698">
        <v>0</v>
      </c>
      <c r="K1698">
        <v>0</v>
      </c>
    </row>
    <row r="1699" spans="1:11" x14ac:dyDescent="0.25">
      <c r="A1699" t="s">
        <v>1739</v>
      </c>
      <c r="B1699" s="1">
        <v>45975.098032407404</v>
      </c>
      <c r="C1699" s="2" t="s">
        <v>29</v>
      </c>
      <c r="D1699" t="s">
        <v>19</v>
      </c>
      <c r="E1699">
        <v>105649</v>
      </c>
      <c r="F1699" t="s">
        <v>14</v>
      </c>
      <c r="G1699" t="s">
        <v>30</v>
      </c>
      <c r="H1699" t="s">
        <v>16</v>
      </c>
      <c r="I1699">
        <v>5</v>
      </c>
      <c r="J1699">
        <v>0</v>
      </c>
      <c r="K1699">
        <v>5</v>
      </c>
    </row>
    <row r="1700" spans="1:11" x14ac:dyDescent="0.25">
      <c r="A1700" t="s">
        <v>1740</v>
      </c>
      <c r="B1700" s="1">
        <v>45848.050543981481</v>
      </c>
      <c r="C1700" s="2" t="s">
        <v>22</v>
      </c>
      <c r="D1700" t="s">
        <v>23</v>
      </c>
      <c r="E1700">
        <v>3356</v>
      </c>
      <c r="F1700" t="s">
        <v>14</v>
      </c>
      <c r="G1700" t="s">
        <v>84</v>
      </c>
      <c r="H1700" t="s">
        <v>16</v>
      </c>
      <c r="I1700">
        <v>0</v>
      </c>
      <c r="J1700">
        <v>0</v>
      </c>
      <c r="K1700">
        <v>0</v>
      </c>
    </row>
    <row r="1701" spans="1:11" x14ac:dyDescent="0.25">
      <c r="A1701" t="s">
        <v>1741</v>
      </c>
      <c r="B1701" s="1">
        <v>46070.588495370372</v>
      </c>
      <c r="C1701" s="2" t="s">
        <v>39</v>
      </c>
      <c r="D1701" t="s">
        <v>33</v>
      </c>
      <c r="E1701">
        <v>92068</v>
      </c>
      <c r="F1701" t="s">
        <v>14</v>
      </c>
      <c r="G1701" t="s">
        <v>24</v>
      </c>
      <c r="H1701" t="s">
        <v>16</v>
      </c>
      <c r="I1701">
        <v>0</v>
      </c>
      <c r="J1701">
        <v>0</v>
      </c>
      <c r="K1701">
        <v>0</v>
      </c>
    </row>
    <row r="1702" spans="1:11" x14ac:dyDescent="0.25">
      <c r="A1702" t="s">
        <v>1742</v>
      </c>
      <c r="B1702" s="1">
        <v>45916.441319444442</v>
      </c>
      <c r="C1702" s="2" t="s">
        <v>32</v>
      </c>
      <c r="D1702" t="s">
        <v>13</v>
      </c>
      <c r="E1702">
        <v>168500</v>
      </c>
      <c r="F1702" t="s">
        <v>14</v>
      </c>
      <c r="G1702" t="s">
        <v>34</v>
      </c>
      <c r="H1702" t="s">
        <v>16</v>
      </c>
      <c r="I1702">
        <v>3117.25</v>
      </c>
      <c r="J1702">
        <v>1246.9000000000001</v>
      </c>
      <c r="K1702">
        <v>1870.35</v>
      </c>
    </row>
    <row r="1703" spans="1:11" x14ac:dyDescent="0.25">
      <c r="A1703" t="s">
        <v>1743</v>
      </c>
      <c r="B1703" s="1">
        <v>45948.25681712963</v>
      </c>
      <c r="C1703" s="2" t="s">
        <v>41</v>
      </c>
      <c r="D1703" t="s">
        <v>33</v>
      </c>
      <c r="E1703">
        <v>75487</v>
      </c>
      <c r="F1703" t="s">
        <v>14</v>
      </c>
      <c r="G1703" t="s">
        <v>24</v>
      </c>
      <c r="H1703" t="s">
        <v>16</v>
      </c>
      <c r="I1703">
        <v>0</v>
      </c>
      <c r="J1703">
        <v>0</v>
      </c>
      <c r="K1703">
        <v>0</v>
      </c>
    </row>
    <row r="1704" spans="1:11" x14ac:dyDescent="0.25">
      <c r="A1704" t="s">
        <v>1744</v>
      </c>
      <c r="B1704" s="1">
        <v>45910.187592592592</v>
      </c>
      <c r="C1704" s="2" t="s">
        <v>22</v>
      </c>
      <c r="D1704" t="s">
        <v>13</v>
      </c>
      <c r="E1704">
        <v>70500</v>
      </c>
      <c r="F1704" t="s">
        <v>14</v>
      </c>
      <c r="G1704" t="s">
        <v>27</v>
      </c>
      <c r="H1704" t="s">
        <v>16</v>
      </c>
      <c r="I1704">
        <v>1304.25</v>
      </c>
      <c r="J1704">
        <v>521.70000000000005</v>
      </c>
      <c r="K1704">
        <v>782.55</v>
      </c>
    </row>
    <row r="1705" spans="1:11" x14ac:dyDescent="0.25">
      <c r="A1705" t="s">
        <v>1745</v>
      </c>
      <c r="B1705" s="1">
        <v>46066.220729166664</v>
      </c>
      <c r="C1705" s="2" t="s">
        <v>12</v>
      </c>
      <c r="D1705" t="s">
        <v>45</v>
      </c>
      <c r="E1705">
        <v>119747</v>
      </c>
      <c r="F1705" t="s">
        <v>14</v>
      </c>
      <c r="G1705" t="s">
        <v>20</v>
      </c>
      <c r="H1705" t="s">
        <v>46</v>
      </c>
      <c r="I1705">
        <v>1197.47</v>
      </c>
      <c r="J1705">
        <v>0</v>
      </c>
      <c r="K1705">
        <v>1197.47</v>
      </c>
    </row>
    <row r="1706" spans="1:11" x14ac:dyDescent="0.25">
      <c r="A1706" t="s">
        <v>1746</v>
      </c>
      <c r="B1706" s="1">
        <v>46133.421851851854</v>
      </c>
      <c r="C1706" s="2" t="s">
        <v>12</v>
      </c>
      <c r="D1706" t="s">
        <v>23</v>
      </c>
      <c r="E1706">
        <v>3294</v>
      </c>
      <c r="F1706" t="s">
        <v>14</v>
      </c>
      <c r="G1706" t="s">
        <v>20</v>
      </c>
      <c r="H1706" t="s">
        <v>16</v>
      </c>
      <c r="I1706">
        <v>0</v>
      </c>
      <c r="J1706">
        <v>0</v>
      </c>
      <c r="K1706">
        <v>0</v>
      </c>
    </row>
    <row r="1707" spans="1:11" x14ac:dyDescent="0.25">
      <c r="A1707" t="s">
        <v>1747</v>
      </c>
      <c r="B1707" s="1">
        <v>45878.558703703704</v>
      </c>
      <c r="C1707" s="2" t="s">
        <v>18</v>
      </c>
      <c r="D1707" t="s">
        <v>13</v>
      </c>
      <c r="E1707">
        <v>207000</v>
      </c>
      <c r="F1707" t="s">
        <v>14</v>
      </c>
      <c r="G1707" t="s">
        <v>20</v>
      </c>
      <c r="H1707" t="s">
        <v>16</v>
      </c>
      <c r="I1707">
        <v>3829.5</v>
      </c>
      <c r="J1707">
        <v>1531.8</v>
      </c>
      <c r="K1707">
        <v>2297.6999999999998</v>
      </c>
    </row>
    <row r="1708" spans="1:11" x14ac:dyDescent="0.25">
      <c r="A1708" t="s">
        <v>1748</v>
      </c>
      <c r="B1708" s="1">
        <v>45819.582442129627</v>
      </c>
      <c r="C1708" s="2" t="s">
        <v>26</v>
      </c>
      <c r="D1708" t="s">
        <v>19</v>
      </c>
      <c r="E1708">
        <v>97307</v>
      </c>
      <c r="F1708" t="s">
        <v>99</v>
      </c>
      <c r="G1708" t="s">
        <v>15</v>
      </c>
      <c r="H1708" t="s">
        <v>16</v>
      </c>
      <c r="I1708">
        <v>5</v>
      </c>
      <c r="J1708">
        <v>0</v>
      </c>
      <c r="K1708">
        <v>5</v>
      </c>
    </row>
    <row r="1709" spans="1:11" x14ac:dyDescent="0.25">
      <c r="A1709" t="s">
        <v>1749</v>
      </c>
      <c r="B1709" s="1">
        <v>46032.183333333334</v>
      </c>
      <c r="C1709" s="2" t="s">
        <v>18</v>
      </c>
      <c r="D1709" t="s">
        <v>33</v>
      </c>
      <c r="E1709">
        <v>79157</v>
      </c>
      <c r="F1709" t="s">
        <v>14</v>
      </c>
      <c r="G1709" t="s">
        <v>84</v>
      </c>
      <c r="H1709" t="s">
        <v>16</v>
      </c>
      <c r="I1709">
        <v>0</v>
      </c>
      <c r="J1709">
        <v>0</v>
      </c>
      <c r="K1709">
        <v>0</v>
      </c>
    </row>
    <row r="1710" spans="1:11" x14ac:dyDescent="0.25">
      <c r="A1710" t="s">
        <v>1750</v>
      </c>
      <c r="B1710" s="1">
        <v>46101.35769675926</v>
      </c>
      <c r="C1710" s="2" t="s">
        <v>32</v>
      </c>
      <c r="D1710" t="s">
        <v>23</v>
      </c>
      <c r="E1710">
        <v>3349</v>
      </c>
      <c r="F1710" t="s">
        <v>14</v>
      </c>
      <c r="G1710" t="s">
        <v>30</v>
      </c>
      <c r="H1710" t="s">
        <v>16</v>
      </c>
      <c r="I1710">
        <v>0</v>
      </c>
      <c r="J1710">
        <v>0</v>
      </c>
      <c r="K1710">
        <v>0</v>
      </c>
    </row>
    <row r="1711" spans="1:11" x14ac:dyDescent="0.25">
      <c r="A1711" t="s">
        <v>1751</v>
      </c>
      <c r="B1711" s="1">
        <v>46119.391296296293</v>
      </c>
      <c r="C1711" s="2" t="s">
        <v>39</v>
      </c>
      <c r="D1711" t="s">
        <v>19</v>
      </c>
      <c r="E1711">
        <v>111629</v>
      </c>
      <c r="F1711" t="s">
        <v>14</v>
      </c>
      <c r="G1711" t="s">
        <v>34</v>
      </c>
      <c r="H1711" t="s">
        <v>16</v>
      </c>
      <c r="I1711">
        <v>5</v>
      </c>
      <c r="J1711">
        <v>0</v>
      </c>
      <c r="K1711">
        <v>5</v>
      </c>
    </row>
    <row r="1712" spans="1:11" x14ac:dyDescent="0.25">
      <c r="A1712" t="s">
        <v>1752</v>
      </c>
      <c r="B1712" s="1">
        <v>45989.011631944442</v>
      </c>
      <c r="C1712" s="2" t="s">
        <v>32</v>
      </c>
      <c r="D1712" t="s">
        <v>33</v>
      </c>
      <c r="E1712">
        <v>122861</v>
      </c>
      <c r="F1712" t="s">
        <v>50</v>
      </c>
      <c r="G1712" t="s">
        <v>51</v>
      </c>
      <c r="H1712" t="s">
        <v>16</v>
      </c>
      <c r="I1712">
        <v>0</v>
      </c>
      <c r="J1712">
        <v>0</v>
      </c>
      <c r="K1712">
        <v>0</v>
      </c>
    </row>
    <row r="1713" spans="1:11" x14ac:dyDescent="0.25">
      <c r="A1713" t="s">
        <v>1753</v>
      </c>
      <c r="B1713" s="1">
        <v>45784.052256944444</v>
      </c>
      <c r="C1713" s="2" t="s">
        <v>39</v>
      </c>
      <c r="D1713" t="s">
        <v>19</v>
      </c>
      <c r="E1713">
        <v>64574</v>
      </c>
      <c r="F1713" t="s">
        <v>50</v>
      </c>
      <c r="G1713" t="s">
        <v>34</v>
      </c>
      <c r="H1713" t="s">
        <v>16</v>
      </c>
      <c r="I1713">
        <v>5</v>
      </c>
      <c r="J1713">
        <v>0</v>
      </c>
      <c r="K1713">
        <v>5</v>
      </c>
    </row>
    <row r="1714" spans="1:11" x14ac:dyDescent="0.25">
      <c r="A1714" t="s">
        <v>1754</v>
      </c>
      <c r="B1714" s="1">
        <v>45979.047500000001</v>
      </c>
      <c r="C1714" s="2" t="s">
        <v>41</v>
      </c>
      <c r="D1714" t="s">
        <v>33</v>
      </c>
      <c r="E1714">
        <v>135618</v>
      </c>
      <c r="F1714" t="s">
        <v>14</v>
      </c>
      <c r="G1714" t="s">
        <v>20</v>
      </c>
      <c r="H1714" t="s">
        <v>16</v>
      </c>
      <c r="I1714">
        <v>0</v>
      </c>
      <c r="J1714">
        <v>0</v>
      </c>
      <c r="K1714">
        <v>0</v>
      </c>
    </row>
    <row r="1715" spans="1:11" x14ac:dyDescent="0.25">
      <c r="A1715" t="s">
        <v>1755</v>
      </c>
      <c r="B1715" s="1">
        <v>45977.266087962962</v>
      </c>
      <c r="C1715" s="2" t="s">
        <v>26</v>
      </c>
      <c r="D1715" t="s">
        <v>13</v>
      </c>
      <c r="E1715">
        <v>153000</v>
      </c>
      <c r="F1715" t="s">
        <v>14</v>
      </c>
      <c r="G1715" t="s">
        <v>15</v>
      </c>
      <c r="H1715" t="s">
        <v>16</v>
      </c>
      <c r="I1715">
        <v>2830.5</v>
      </c>
      <c r="J1715">
        <v>1132.2</v>
      </c>
      <c r="K1715">
        <v>1698.3</v>
      </c>
    </row>
    <row r="1716" spans="1:11" x14ac:dyDescent="0.25">
      <c r="A1716" t="s">
        <v>1756</v>
      </c>
      <c r="B1716" s="1">
        <v>45899.666319444441</v>
      </c>
      <c r="C1716" s="2" t="s">
        <v>12</v>
      </c>
      <c r="D1716" t="s">
        <v>19</v>
      </c>
      <c r="E1716">
        <v>72040</v>
      </c>
      <c r="F1716" t="s">
        <v>50</v>
      </c>
      <c r="G1716" t="s">
        <v>84</v>
      </c>
      <c r="H1716" t="s">
        <v>16</v>
      </c>
      <c r="I1716">
        <v>5</v>
      </c>
      <c r="J1716">
        <v>0</v>
      </c>
      <c r="K1716">
        <v>5</v>
      </c>
    </row>
    <row r="1717" spans="1:11" x14ac:dyDescent="0.25">
      <c r="A1717" t="s">
        <v>1757</v>
      </c>
      <c r="B1717" s="1">
        <v>45934.44462962963</v>
      </c>
      <c r="C1717" s="2" t="s">
        <v>26</v>
      </c>
      <c r="D1717" t="s">
        <v>19</v>
      </c>
      <c r="E1717">
        <v>3420</v>
      </c>
      <c r="F1717" t="s">
        <v>14</v>
      </c>
      <c r="G1717" t="s">
        <v>34</v>
      </c>
      <c r="H1717" t="s">
        <v>16</v>
      </c>
      <c r="I1717">
        <v>5</v>
      </c>
      <c r="J1717">
        <v>0</v>
      </c>
      <c r="K1717">
        <v>5</v>
      </c>
    </row>
    <row r="1718" spans="1:11" x14ac:dyDescent="0.25">
      <c r="A1718" t="s">
        <v>1758</v>
      </c>
      <c r="B1718" s="1">
        <v>45858.146099537036</v>
      </c>
      <c r="C1718" s="2" t="s">
        <v>29</v>
      </c>
      <c r="D1718" t="s">
        <v>13</v>
      </c>
      <c r="E1718">
        <v>152500</v>
      </c>
      <c r="F1718" t="s">
        <v>50</v>
      </c>
      <c r="G1718" t="s">
        <v>84</v>
      </c>
      <c r="H1718" t="s">
        <v>16</v>
      </c>
      <c r="I1718">
        <v>2821.25</v>
      </c>
      <c r="J1718">
        <v>1128.5</v>
      </c>
      <c r="K1718">
        <v>1692.75</v>
      </c>
    </row>
    <row r="1719" spans="1:11" x14ac:dyDescent="0.25">
      <c r="A1719" t="s">
        <v>1759</v>
      </c>
      <c r="B1719" s="1">
        <v>46041.85260416667</v>
      </c>
      <c r="C1719" s="2" t="s">
        <v>41</v>
      </c>
      <c r="D1719" t="s">
        <v>33</v>
      </c>
      <c r="E1719">
        <v>57142</v>
      </c>
      <c r="F1719" t="s">
        <v>14</v>
      </c>
      <c r="G1719" t="s">
        <v>30</v>
      </c>
      <c r="H1719" t="s">
        <v>16</v>
      </c>
      <c r="I1719">
        <v>0</v>
      </c>
      <c r="J1719">
        <v>0</v>
      </c>
      <c r="K1719">
        <v>0</v>
      </c>
    </row>
    <row r="1720" spans="1:11" x14ac:dyDescent="0.25">
      <c r="A1720" t="s">
        <v>1760</v>
      </c>
      <c r="B1720" s="1">
        <v>45971.722881944443</v>
      </c>
      <c r="C1720" s="2" t="s">
        <v>32</v>
      </c>
      <c r="D1720" t="s">
        <v>33</v>
      </c>
      <c r="E1720">
        <v>25182</v>
      </c>
      <c r="F1720" t="s">
        <v>50</v>
      </c>
      <c r="G1720" t="s">
        <v>58</v>
      </c>
      <c r="H1720" t="s">
        <v>16</v>
      </c>
      <c r="I1720">
        <v>0</v>
      </c>
      <c r="J1720">
        <v>0</v>
      </c>
      <c r="K1720">
        <v>0</v>
      </c>
    </row>
    <row r="1721" spans="1:11" x14ac:dyDescent="0.25">
      <c r="A1721" t="s">
        <v>1761</v>
      </c>
      <c r="B1721" s="1">
        <v>46084.990879629629</v>
      </c>
      <c r="C1721" s="2" t="s">
        <v>26</v>
      </c>
      <c r="D1721" t="s">
        <v>45</v>
      </c>
      <c r="E1721">
        <v>56678</v>
      </c>
      <c r="F1721" t="s">
        <v>14</v>
      </c>
      <c r="G1721" t="s">
        <v>51</v>
      </c>
      <c r="H1721" t="s">
        <v>178</v>
      </c>
      <c r="I1721">
        <v>566.78</v>
      </c>
      <c r="J1721">
        <v>0</v>
      </c>
      <c r="K1721">
        <v>566.78</v>
      </c>
    </row>
    <row r="1722" spans="1:11" x14ac:dyDescent="0.25">
      <c r="A1722" t="s">
        <v>1762</v>
      </c>
      <c r="B1722" s="1">
        <v>46059.220856481479</v>
      </c>
      <c r="C1722" s="2" t="s">
        <v>41</v>
      </c>
      <c r="D1722" t="s">
        <v>13</v>
      </c>
      <c r="E1722">
        <v>105000</v>
      </c>
      <c r="F1722" t="s">
        <v>14</v>
      </c>
      <c r="G1722" t="s">
        <v>51</v>
      </c>
      <c r="H1722" t="s">
        <v>16</v>
      </c>
      <c r="I1722">
        <v>1942.5</v>
      </c>
      <c r="J1722">
        <v>777</v>
      </c>
      <c r="K1722">
        <v>1165.5</v>
      </c>
    </row>
    <row r="1723" spans="1:11" x14ac:dyDescent="0.25">
      <c r="A1723" t="s">
        <v>1763</v>
      </c>
      <c r="B1723" s="1">
        <v>45912.49318287037</v>
      </c>
      <c r="C1723" s="2" t="s">
        <v>41</v>
      </c>
      <c r="D1723" t="s">
        <v>19</v>
      </c>
      <c r="E1723">
        <v>53860</v>
      </c>
      <c r="F1723" t="s">
        <v>14</v>
      </c>
      <c r="G1723" t="s">
        <v>34</v>
      </c>
      <c r="H1723" t="s">
        <v>16</v>
      </c>
      <c r="I1723">
        <v>5</v>
      </c>
      <c r="J1723">
        <v>0</v>
      </c>
      <c r="K1723">
        <v>5</v>
      </c>
    </row>
    <row r="1724" spans="1:11" x14ac:dyDescent="0.25">
      <c r="A1724" t="s">
        <v>1764</v>
      </c>
      <c r="B1724" s="1">
        <v>46019.089189814818</v>
      </c>
      <c r="C1724" s="2" t="s">
        <v>26</v>
      </c>
      <c r="D1724" t="s">
        <v>13</v>
      </c>
      <c r="E1724">
        <v>7500</v>
      </c>
      <c r="F1724" t="s">
        <v>14</v>
      </c>
      <c r="G1724" t="s">
        <v>84</v>
      </c>
      <c r="H1724" t="s">
        <v>16</v>
      </c>
      <c r="I1724">
        <v>138.75</v>
      </c>
      <c r="J1724">
        <v>55.5</v>
      </c>
      <c r="K1724">
        <v>83.25</v>
      </c>
    </row>
    <row r="1725" spans="1:11" x14ac:dyDescent="0.25">
      <c r="A1725" t="s">
        <v>1765</v>
      </c>
      <c r="B1725" s="1">
        <v>45826.90587962963</v>
      </c>
      <c r="C1725" s="2" t="s">
        <v>32</v>
      </c>
      <c r="D1725" t="s">
        <v>45</v>
      </c>
      <c r="E1725">
        <v>115800</v>
      </c>
      <c r="F1725" t="s">
        <v>14</v>
      </c>
      <c r="G1725" t="s">
        <v>15</v>
      </c>
      <c r="H1725" t="s">
        <v>46</v>
      </c>
      <c r="I1725">
        <v>1158</v>
      </c>
      <c r="J1725">
        <v>0</v>
      </c>
      <c r="K1725">
        <v>1158</v>
      </c>
    </row>
    <row r="1726" spans="1:11" x14ac:dyDescent="0.25">
      <c r="A1726" t="s">
        <v>1766</v>
      </c>
      <c r="B1726" s="1">
        <v>45901.022650462961</v>
      </c>
      <c r="C1726" s="2" t="s">
        <v>22</v>
      </c>
      <c r="D1726" t="s">
        <v>13</v>
      </c>
      <c r="E1726">
        <v>99500</v>
      </c>
      <c r="F1726" t="s">
        <v>14</v>
      </c>
      <c r="G1726" t="s">
        <v>24</v>
      </c>
      <c r="H1726" t="s">
        <v>16</v>
      </c>
      <c r="I1726">
        <v>1840.75</v>
      </c>
      <c r="J1726">
        <v>736.3</v>
      </c>
      <c r="K1726">
        <v>1104.45</v>
      </c>
    </row>
    <row r="1727" spans="1:11" x14ac:dyDescent="0.25">
      <c r="A1727" t="s">
        <v>1767</v>
      </c>
      <c r="B1727" s="1">
        <v>45864.292002314818</v>
      </c>
      <c r="C1727" s="2" t="s">
        <v>39</v>
      </c>
      <c r="D1727" t="s">
        <v>13</v>
      </c>
      <c r="E1727">
        <v>128500</v>
      </c>
      <c r="F1727" t="s">
        <v>50</v>
      </c>
      <c r="G1727" t="s">
        <v>24</v>
      </c>
      <c r="H1727" t="s">
        <v>16</v>
      </c>
      <c r="I1727">
        <v>2377.25</v>
      </c>
      <c r="J1727">
        <v>950.9</v>
      </c>
      <c r="K1727">
        <v>1426.35</v>
      </c>
    </row>
    <row r="1728" spans="1:11" x14ac:dyDescent="0.25">
      <c r="A1728" t="s">
        <v>1768</v>
      </c>
      <c r="B1728" s="1">
        <v>45990.96837962963</v>
      </c>
      <c r="C1728" s="2" t="s">
        <v>26</v>
      </c>
      <c r="D1728" t="s">
        <v>45</v>
      </c>
      <c r="E1728">
        <v>94342</v>
      </c>
      <c r="F1728" t="s">
        <v>14</v>
      </c>
      <c r="G1728" t="s">
        <v>20</v>
      </c>
      <c r="H1728" t="s">
        <v>59</v>
      </c>
      <c r="I1728">
        <v>943.42</v>
      </c>
      <c r="J1728">
        <v>0</v>
      </c>
      <c r="K1728">
        <v>943.42</v>
      </c>
    </row>
    <row r="1729" spans="1:11" x14ac:dyDescent="0.25">
      <c r="A1729" t="s">
        <v>1769</v>
      </c>
      <c r="B1729" s="1">
        <v>45949.509212962963</v>
      </c>
      <c r="C1729" s="2" t="s">
        <v>41</v>
      </c>
      <c r="D1729" t="s">
        <v>23</v>
      </c>
      <c r="E1729">
        <v>766</v>
      </c>
      <c r="F1729" t="s">
        <v>14</v>
      </c>
      <c r="G1729" t="s">
        <v>15</v>
      </c>
      <c r="H1729" t="s">
        <v>16</v>
      </c>
      <c r="I1729">
        <v>0</v>
      </c>
      <c r="J1729">
        <v>0</v>
      </c>
      <c r="K1729">
        <v>0</v>
      </c>
    </row>
    <row r="1730" spans="1:11" x14ac:dyDescent="0.25">
      <c r="A1730" t="s">
        <v>1770</v>
      </c>
      <c r="B1730" s="1">
        <v>46138.852719907409</v>
      </c>
      <c r="C1730" s="2" t="s">
        <v>29</v>
      </c>
      <c r="D1730" t="s">
        <v>45</v>
      </c>
      <c r="E1730">
        <v>87415</v>
      </c>
      <c r="F1730" t="s">
        <v>50</v>
      </c>
      <c r="G1730" t="s">
        <v>34</v>
      </c>
      <c r="H1730" t="s">
        <v>56</v>
      </c>
      <c r="I1730">
        <v>874.15</v>
      </c>
      <c r="J1730">
        <v>0</v>
      </c>
      <c r="K1730">
        <v>874.15</v>
      </c>
    </row>
    <row r="1731" spans="1:11" x14ac:dyDescent="0.25">
      <c r="A1731" t="s">
        <v>1771</v>
      </c>
      <c r="B1731" s="1">
        <v>46081.669062499997</v>
      </c>
      <c r="C1731" s="2" t="s">
        <v>12</v>
      </c>
      <c r="D1731" t="s">
        <v>45</v>
      </c>
      <c r="E1731">
        <v>117218</v>
      </c>
      <c r="F1731" t="s">
        <v>14</v>
      </c>
      <c r="G1731" t="s">
        <v>20</v>
      </c>
      <c r="H1731" t="s">
        <v>46</v>
      </c>
      <c r="I1731">
        <v>1172.18</v>
      </c>
      <c r="J1731">
        <v>0</v>
      </c>
      <c r="K1731">
        <v>1172.18</v>
      </c>
    </row>
    <row r="1732" spans="1:11" x14ac:dyDescent="0.25">
      <c r="A1732" t="s">
        <v>1772</v>
      </c>
      <c r="B1732" s="1">
        <v>45794.569409722222</v>
      </c>
      <c r="C1732" s="2" t="s">
        <v>18</v>
      </c>
      <c r="D1732" t="s">
        <v>23</v>
      </c>
      <c r="E1732">
        <v>1799</v>
      </c>
      <c r="F1732" t="s">
        <v>14</v>
      </c>
      <c r="G1732" t="s">
        <v>20</v>
      </c>
      <c r="H1732" t="s">
        <v>16</v>
      </c>
      <c r="I1732">
        <v>0</v>
      </c>
      <c r="J1732">
        <v>0</v>
      </c>
      <c r="K1732">
        <v>0</v>
      </c>
    </row>
    <row r="1733" spans="1:11" x14ac:dyDescent="0.25">
      <c r="A1733" t="s">
        <v>1773</v>
      </c>
      <c r="B1733" s="1">
        <v>46096.613703703704</v>
      </c>
      <c r="C1733" s="2" t="s">
        <v>26</v>
      </c>
      <c r="D1733" t="s">
        <v>19</v>
      </c>
      <c r="E1733">
        <v>134950</v>
      </c>
      <c r="F1733" t="s">
        <v>14</v>
      </c>
      <c r="G1733" t="s">
        <v>20</v>
      </c>
      <c r="H1733" t="s">
        <v>16</v>
      </c>
      <c r="I1733">
        <v>5</v>
      </c>
      <c r="J1733">
        <v>0</v>
      </c>
      <c r="K1733">
        <v>5</v>
      </c>
    </row>
    <row r="1734" spans="1:11" x14ac:dyDescent="0.25">
      <c r="A1734" t="s">
        <v>1774</v>
      </c>
      <c r="B1734" s="1">
        <v>46111.94568287037</v>
      </c>
      <c r="C1734" s="2" t="s">
        <v>39</v>
      </c>
      <c r="D1734" t="s">
        <v>33</v>
      </c>
      <c r="E1734">
        <v>108257</v>
      </c>
      <c r="F1734" t="s">
        <v>14</v>
      </c>
      <c r="G1734" t="s">
        <v>34</v>
      </c>
      <c r="H1734" t="s">
        <v>16</v>
      </c>
      <c r="I1734">
        <v>0</v>
      </c>
      <c r="J1734">
        <v>0</v>
      </c>
      <c r="K1734">
        <v>0</v>
      </c>
    </row>
    <row r="1735" spans="1:11" x14ac:dyDescent="0.25">
      <c r="A1735" t="s">
        <v>1775</v>
      </c>
      <c r="B1735" s="1">
        <v>45960.231006944443</v>
      </c>
      <c r="C1735" s="2" t="s">
        <v>41</v>
      </c>
      <c r="D1735" t="s">
        <v>13</v>
      </c>
      <c r="E1735">
        <v>13500</v>
      </c>
      <c r="F1735" t="s">
        <v>14</v>
      </c>
      <c r="G1735" t="s">
        <v>58</v>
      </c>
      <c r="H1735" t="s">
        <v>16</v>
      </c>
      <c r="I1735">
        <v>249.75</v>
      </c>
      <c r="J1735">
        <v>99.9</v>
      </c>
      <c r="K1735">
        <v>149.85</v>
      </c>
    </row>
    <row r="1736" spans="1:11" x14ac:dyDescent="0.25">
      <c r="A1736" t="s">
        <v>1776</v>
      </c>
      <c r="B1736" s="1">
        <v>45859.640462962961</v>
      </c>
      <c r="C1736" s="2" t="s">
        <v>39</v>
      </c>
      <c r="D1736" t="s">
        <v>13</v>
      </c>
      <c r="E1736">
        <v>231500</v>
      </c>
      <c r="F1736" t="s">
        <v>14</v>
      </c>
      <c r="G1736" t="s">
        <v>20</v>
      </c>
      <c r="H1736" t="s">
        <v>16</v>
      </c>
      <c r="I1736">
        <v>4282.75</v>
      </c>
      <c r="J1736">
        <v>1713.1</v>
      </c>
      <c r="K1736">
        <v>2569.65</v>
      </c>
    </row>
    <row r="1737" spans="1:11" x14ac:dyDescent="0.25">
      <c r="A1737" t="s">
        <v>1777</v>
      </c>
      <c r="B1737" s="1">
        <v>46112.191238425927</v>
      </c>
      <c r="C1737" s="2" t="s">
        <v>39</v>
      </c>
      <c r="D1737" t="s">
        <v>33</v>
      </c>
      <c r="E1737">
        <v>16529</v>
      </c>
      <c r="F1737" t="s">
        <v>14</v>
      </c>
      <c r="G1737" t="s">
        <v>15</v>
      </c>
      <c r="H1737" t="s">
        <v>16</v>
      </c>
      <c r="I1737">
        <v>0</v>
      </c>
      <c r="J1737">
        <v>0</v>
      </c>
      <c r="K1737">
        <v>0</v>
      </c>
    </row>
    <row r="1738" spans="1:11" x14ac:dyDescent="0.25">
      <c r="A1738" t="s">
        <v>1778</v>
      </c>
      <c r="B1738" s="1">
        <v>45968.657233796293</v>
      </c>
      <c r="C1738" s="2" t="s">
        <v>32</v>
      </c>
      <c r="D1738" t="s">
        <v>13</v>
      </c>
      <c r="E1738">
        <v>127000</v>
      </c>
      <c r="F1738" t="s">
        <v>14</v>
      </c>
      <c r="G1738" t="s">
        <v>27</v>
      </c>
      <c r="H1738" t="s">
        <v>16</v>
      </c>
      <c r="I1738">
        <v>2349.5</v>
      </c>
      <c r="J1738">
        <v>939.8</v>
      </c>
      <c r="K1738">
        <v>1409.7</v>
      </c>
    </row>
    <row r="1739" spans="1:11" x14ac:dyDescent="0.25">
      <c r="A1739" t="s">
        <v>1779</v>
      </c>
      <c r="B1739" s="1">
        <v>46136.485775462963</v>
      </c>
      <c r="C1739" s="2" t="s">
        <v>29</v>
      </c>
      <c r="D1739" t="s">
        <v>33</v>
      </c>
      <c r="E1739">
        <v>92921</v>
      </c>
      <c r="F1739" t="s">
        <v>14</v>
      </c>
      <c r="G1739" t="s">
        <v>24</v>
      </c>
      <c r="H1739" t="s">
        <v>16</v>
      </c>
      <c r="I1739">
        <v>0</v>
      </c>
      <c r="J1739">
        <v>0</v>
      </c>
      <c r="K1739">
        <v>0</v>
      </c>
    </row>
    <row r="1740" spans="1:11" x14ac:dyDescent="0.25">
      <c r="A1740" t="s">
        <v>1780</v>
      </c>
      <c r="B1740" s="1">
        <v>45914.284733796296</v>
      </c>
      <c r="C1740" s="2" t="s">
        <v>22</v>
      </c>
      <c r="D1740" t="s">
        <v>33</v>
      </c>
      <c r="E1740">
        <v>11297</v>
      </c>
      <c r="F1740" t="s">
        <v>14</v>
      </c>
      <c r="G1740" t="s">
        <v>30</v>
      </c>
      <c r="H1740" t="s">
        <v>16</v>
      </c>
      <c r="I1740">
        <v>0</v>
      </c>
      <c r="J1740">
        <v>0</v>
      </c>
      <c r="K1740">
        <v>0</v>
      </c>
    </row>
    <row r="1741" spans="1:11" x14ac:dyDescent="0.25">
      <c r="A1741" t="s">
        <v>1781</v>
      </c>
      <c r="B1741" s="1">
        <v>45976.802395833336</v>
      </c>
      <c r="C1741" s="2" t="s">
        <v>22</v>
      </c>
      <c r="D1741" t="s">
        <v>33</v>
      </c>
      <c r="E1741">
        <v>63722</v>
      </c>
      <c r="F1741" t="s">
        <v>14</v>
      </c>
      <c r="G1741" t="s">
        <v>27</v>
      </c>
      <c r="H1741" t="s">
        <v>16</v>
      </c>
      <c r="I1741">
        <v>0</v>
      </c>
      <c r="J1741">
        <v>0</v>
      </c>
      <c r="K1741">
        <v>0</v>
      </c>
    </row>
    <row r="1742" spans="1:11" x14ac:dyDescent="0.25">
      <c r="A1742" t="s">
        <v>1782</v>
      </c>
      <c r="B1742" s="1">
        <v>46057.710798611108</v>
      </c>
      <c r="C1742" s="2" t="s">
        <v>26</v>
      </c>
      <c r="D1742" t="s">
        <v>13</v>
      </c>
      <c r="E1742">
        <v>98500</v>
      </c>
      <c r="F1742" t="s">
        <v>14</v>
      </c>
      <c r="G1742" t="s">
        <v>84</v>
      </c>
      <c r="H1742" t="s">
        <v>16</v>
      </c>
      <c r="I1742">
        <v>1822.25</v>
      </c>
      <c r="J1742">
        <v>728.9</v>
      </c>
      <c r="K1742">
        <v>1093.3499999999999</v>
      </c>
    </row>
    <row r="1743" spans="1:11" x14ac:dyDescent="0.25">
      <c r="A1743" t="s">
        <v>1783</v>
      </c>
      <c r="B1743" s="1">
        <v>45908.621898148151</v>
      </c>
      <c r="C1743" s="2" t="s">
        <v>18</v>
      </c>
      <c r="D1743" t="s">
        <v>23</v>
      </c>
      <c r="E1743">
        <v>3064</v>
      </c>
      <c r="F1743" t="s">
        <v>14</v>
      </c>
      <c r="G1743" t="s">
        <v>20</v>
      </c>
      <c r="H1743" t="s">
        <v>16</v>
      </c>
      <c r="I1743">
        <v>0</v>
      </c>
      <c r="J1743">
        <v>0</v>
      </c>
      <c r="K1743">
        <v>0</v>
      </c>
    </row>
    <row r="1744" spans="1:11" x14ac:dyDescent="0.25">
      <c r="A1744" t="s">
        <v>1784</v>
      </c>
      <c r="B1744" s="1">
        <v>46072.149016203701</v>
      </c>
      <c r="C1744" s="2" t="s">
        <v>41</v>
      </c>
      <c r="D1744" t="s">
        <v>45</v>
      </c>
      <c r="E1744">
        <v>61522</v>
      </c>
      <c r="F1744" t="s">
        <v>14</v>
      </c>
      <c r="G1744" t="s">
        <v>34</v>
      </c>
      <c r="H1744" t="s">
        <v>59</v>
      </c>
      <c r="I1744">
        <v>615.22</v>
      </c>
      <c r="J1744">
        <v>0</v>
      </c>
      <c r="K1744">
        <v>615.22</v>
      </c>
    </row>
    <row r="1745" spans="1:11" x14ac:dyDescent="0.25">
      <c r="A1745" t="s">
        <v>1785</v>
      </c>
      <c r="B1745" s="1">
        <v>46142.764687499999</v>
      </c>
      <c r="C1745" s="2" t="s">
        <v>39</v>
      </c>
      <c r="D1745" t="s">
        <v>33</v>
      </c>
      <c r="E1745">
        <v>73103</v>
      </c>
      <c r="F1745" t="s">
        <v>14</v>
      </c>
      <c r="G1745" t="s">
        <v>84</v>
      </c>
      <c r="H1745" t="s">
        <v>16</v>
      </c>
      <c r="I1745">
        <v>0</v>
      </c>
      <c r="J1745">
        <v>0</v>
      </c>
      <c r="K1745">
        <v>0</v>
      </c>
    </row>
    <row r="1746" spans="1:11" x14ac:dyDescent="0.25">
      <c r="A1746" t="s">
        <v>1786</v>
      </c>
      <c r="B1746" s="1">
        <v>45788.196388888886</v>
      </c>
      <c r="C1746" s="2" t="s">
        <v>41</v>
      </c>
      <c r="D1746" t="s">
        <v>23</v>
      </c>
      <c r="E1746">
        <v>4291</v>
      </c>
      <c r="F1746" t="s">
        <v>14</v>
      </c>
      <c r="G1746" t="s">
        <v>58</v>
      </c>
      <c r="H1746" t="s">
        <v>16</v>
      </c>
      <c r="I1746">
        <v>0</v>
      </c>
      <c r="J1746">
        <v>0</v>
      </c>
      <c r="K1746">
        <v>0</v>
      </c>
    </row>
    <row r="1747" spans="1:11" x14ac:dyDescent="0.25">
      <c r="A1747" t="s">
        <v>1787</v>
      </c>
      <c r="B1747" s="1">
        <v>46128.059236111112</v>
      </c>
      <c r="C1747" s="2" t="s">
        <v>22</v>
      </c>
      <c r="D1747" t="s">
        <v>23</v>
      </c>
      <c r="E1747">
        <v>2221</v>
      </c>
      <c r="F1747" t="s">
        <v>14</v>
      </c>
      <c r="G1747" t="s">
        <v>34</v>
      </c>
      <c r="H1747" t="s">
        <v>16</v>
      </c>
      <c r="I1747">
        <v>0</v>
      </c>
      <c r="J1747">
        <v>0</v>
      </c>
      <c r="K1747">
        <v>0</v>
      </c>
    </row>
    <row r="1748" spans="1:11" x14ac:dyDescent="0.25">
      <c r="A1748" t="s">
        <v>1788</v>
      </c>
      <c r="B1748" s="1">
        <v>46086.264178240737</v>
      </c>
      <c r="C1748" s="2" t="s">
        <v>12</v>
      </c>
      <c r="D1748" t="s">
        <v>19</v>
      </c>
      <c r="E1748">
        <v>147960</v>
      </c>
      <c r="F1748" t="s">
        <v>50</v>
      </c>
      <c r="G1748" t="s">
        <v>24</v>
      </c>
      <c r="H1748" t="s">
        <v>16</v>
      </c>
      <c r="I1748">
        <v>5</v>
      </c>
      <c r="J1748">
        <v>0</v>
      </c>
      <c r="K1748">
        <v>5</v>
      </c>
    </row>
    <row r="1749" spans="1:11" x14ac:dyDescent="0.25">
      <c r="A1749" t="s">
        <v>1789</v>
      </c>
      <c r="B1749" s="1">
        <v>46032.6559837963</v>
      </c>
      <c r="C1749" s="2" t="s">
        <v>18</v>
      </c>
      <c r="D1749" t="s">
        <v>19</v>
      </c>
      <c r="E1749">
        <v>133068</v>
      </c>
      <c r="F1749" t="s">
        <v>14</v>
      </c>
      <c r="G1749" t="s">
        <v>30</v>
      </c>
      <c r="H1749" t="s">
        <v>16</v>
      </c>
      <c r="I1749">
        <v>5</v>
      </c>
      <c r="J1749">
        <v>0</v>
      </c>
      <c r="K1749">
        <v>5</v>
      </c>
    </row>
    <row r="1750" spans="1:11" x14ac:dyDescent="0.25">
      <c r="A1750" t="s">
        <v>1790</v>
      </c>
      <c r="B1750" s="1">
        <v>45998.618587962963</v>
      </c>
      <c r="C1750" s="2" t="s">
        <v>12</v>
      </c>
      <c r="D1750" t="s">
        <v>23</v>
      </c>
      <c r="E1750">
        <v>3838</v>
      </c>
      <c r="F1750" t="s">
        <v>14</v>
      </c>
      <c r="G1750" t="s">
        <v>27</v>
      </c>
      <c r="H1750" t="s">
        <v>16</v>
      </c>
      <c r="I1750">
        <v>0</v>
      </c>
      <c r="J1750">
        <v>0</v>
      </c>
      <c r="K1750">
        <v>0</v>
      </c>
    </row>
    <row r="1751" spans="1:11" x14ac:dyDescent="0.25">
      <c r="A1751" t="s">
        <v>1791</v>
      </c>
      <c r="B1751" s="1">
        <v>45957.924467592595</v>
      </c>
      <c r="C1751" s="2" t="s">
        <v>32</v>
      </c>
      <c r="D1751" t="s">
        <v>33</v>
      </c>
      <c r="E1751">
        <v>145823</v>
      </c>
      <c r="F1751" t="s">
        <v>14</v>
      </c>
      <c r="G1751" t="s">
        <v>51</v>
      </c>
      <c r="H1751" t="s">
        <v>16</v>
      </c>
      <c r="I1751">
        <v>0</v>
      </c>
      <c r="J1751">
        <v>0</v>
      </c>
      <c r="K1751">
        <v>0</v>
      </c>
    </row>
    <row r="1752" spans="1:11" x14ac:dyDescent="0.25">
      <c r="A1752" t="s">
        <v>1792</v>
      </c>
      <c r="B1752" s="1">
        <v>46037.333032407405</v>
      </c>
      <c r="C1752" s="2" t="s">
        <v>18</v>
      </c>
      <c r="D1752" t="s">
        <v>19</v>
      </c>
      <c r="E1752">
        <v>115464</v>
      </c>
      <c r="F1752" t="s">
        <v>14</v>
      </c>
      <c r="G1752" t="s">
        <v>84</v>
      </c>
      <c r="H1752" t="s">
        <v>16</v>
      </c>
      <c r="I1752">
        <v>5</v>
      </c>
      <c r="J1752">
        <v>0</v>
      </c>
      <c r="K1752">
        <v>5</v>
      </c>
    </row>
    <row r="1753" spans="1:11" x14ac:dyDescent="0.25">
      <c r="A1753" t="s">
        <v>1793</v>
      </c>
      <c r="B1753" s="1">
        <v>45923.892766203702</v>
      </c>
      <c r="C1753" s="2" t="s">
        <v>32</v>
      </c>
      <c r="D1753" t="s">
        <v>33</v>
      </c>
      <c r="E1753">
        <v>117735</v>
      </c>
      <c r="F1753" t="s">
        <v>14</v>
      </c>
      <c r="G1753" t="s">
        <v>15</v>
      </c>
      <c r="H1753" t="s">
        <v>16</v>
      </c>
      <c r="I1753">
        <v>0</v>
      </c>
      <c r="J1753">
        <v>0</v>
      </c>
      <c r="K1753">
        <v>0</v>
      </c>
    </row>
    <row r="1754" spans="1:11" x14ac:dyDescent="0.25">
      <c r="A1754" t="s">
        <v>1794</v>
      </c>
      <c r="B1754" s="1">
        <v>45981.122384259259</v>
      </c>
      <c r="C1754" s="2" t="s">
        <v>22</v>
      </c>
      <c r="D1754" t="s">
        <v>23</v>
      </c>
      <c r="E1754">
        <v>944</v>
      </c>
      <c r="F1754" t="s">
        <v>14</v>
      </c>
      <c r="G1754" t="s">
        <v>84</v>
      </c>
      <c r="H1754" t="s">
        <v>16</v>
      </c>
      <c r="I1754">
        <v>0</v>
      </c>
      <c r="J1754">
        <v>0</v>
      </c>
      <c r="K1754">
        <v>0</v>
      </c>
    </row>
    <row r="1755" spans="1:11" x14ac:dyDescent="0.25">
      <c r="A1755" t="s">
        <v>1795</v>
      </c>
      <c r="B1755" s="1">
        <v>46138.125937500001</v>
      </c>
      <c r="C1755" s="2" t="s">
        <v>26</v>
      </c>
      <c r="D1755" t="s">
        <v>19</v>
      </c>
      <c r="E1755">
        <v>5831</v>
      </c>
      <c r="F1755" t="s">
        <v>14</v>
      </c>
      <c r="G1755" t="s">
        <v>15</v>
      </c>
      <c r="H1755" t="s">
        <v>16</v>
      </c>
      <c r="I1755">
        <v>5</v>
      </c>
      <c r="J1755">
        <v>0</v>
      </c>
      <c r="K1755">
        <v>5</v>
      </c>
    </row>
    <row r="1756" spans="1:11" x14ac:dyDescent="0.25">
      <c r="A1756" t="s">
        <v>1796</v>
      </c>
      <c r="B1756" s="1">
        <v>46092.785358796296</v>
      </c>
      <c r="C1756" s="2" t="s">
        <v>41</v>
      </c>
      <c r="D1756" t="s">
        <v>33</v>
      </c>
      <c r="E1756">
        <v>91417</v>
      </c>
      <c r="F1756" t="s">
        <v>99</v>
      </c>
      <c r="G1756" t="s">
        <v>20</v>
      </c>
      <c r="H1756" t="s">
        <v>16</v>
      </c>
      <c r="I1756">
        <v>0</v>
      </c>
      <c r="J1756">
        <v>0</v>
      </c>
      <c r="K1756">
        <v>0</v>
      </c>
    </row>
    <row r="1757" spans="1:11" x14ac:dyDescent="0.25">
      <c r="A1757" t="s">
        <v>1797</v>
      </c>
      <c r="B1757" s="1">
        <v>45832.883668981478</v>
      </c>
      <c r="C1757" s="2" t="s">
        <v>41</v>
      </c>
      <c r="D1757" t="s">
        <v>45</v>
      </c>
      <c r="E1757">
        <v>387</v>
      </c>
      <c r="F1757" t="s">
        <v>14</v>
      </c>
      <c r="G1757" t="s">
        <v>34</v>
      </c>
      <c r="H1757" t="s">
        <v>46</v>
      </c>
      <c r="I1757">
        <v>3.87</v>
      </c>
      <c r="J1757">
        <v>0</v>
      </c>
      <c r="K1757">
        <v>3.87</v>
      </c>
    </row>
    <row r="1758" spans="1:11" x14ac:dyDescent="0.25">
      <c r="A1758" t="s">
        <v>1798</v>
      </c>
      <c r="B1758" s="1">
        <v>46005.647928240738</v>
      </c>
      <c r="C1758" s="2" t="s">
        <v>26</v>
      </c>
      <c r="D1758" t="s">
        <v>23</v>
      </c>
      <c r="E1758">
        <v>1597</v>
      </c>
      <c r="F1758" t="s">
        <v>99</v>
      </c>
      <c r="G1758" t="s">
        <v>84</v>
      </c>
      <c r="H1758" t="s">
        <v>16</v>
      </c>
      <c r="I1758">
        <v>0</v>
      </c>
      <c r="J1758">
        <v>0</v>
      </c>
      <c r="K1758">
        <v>0</v>
      </c>
    </row>
    <row r="1759" spans="1:11" x14ac:dyDescent="0.25">
      <c r="A1759" t="s">
        <v>1799</v>
      </c>
      <c r="B1759" s="1">
        <v>46116.248749999999</v>
      </c>
      <c r="C1759" s="2" t="s">
        <v>41</v>
      </c>
      <c r="D1759" t="s">
        <v>13</v>
      </c>
      <c r="E1759">
        <v>242000</v>
      </c>
      <c r="F1759" t="s">
        <v>50</v>
      </c>
      <c r="G1759" t="s">
        <v>34</v>
      </c>
      <c r="H1759" t="s">
        <v>16</v>
      </c>
      <c r="I1759">
        <v>4477</v>
      </c>
      <c r="J1759">
        <v>1790.8</v>
      </c>
      <c r="K1759">
        <v>2686.2</v>
      </c>
    </row>
    <row r="1760" spans="1:11" x14ac:dyDescent="0.25">
      <c r="A1760" t="s">
        <v>1800</v>
      </c>
      <c r="B1760" s="1">
        <v>46113.166539351849</v>
      </c>
      <c r="C1760" s="2" t="s">
        <v>12</v>
      </c>
      <c r="D1760" t="s">
        <v>23</v>
      </c>
      <c r="E1760">
        <v>4377</v>
      </c>
      <c r="F1760" t="s">
        <v>14</v>
      </c>
      <c r="G1760" t="s">
        <v>34</v>
      </c>
      <c r="H1760" t="s">
        <v>16</v>
      </c>
      <c r="I1760">
        <v>0</v>
      </c>
      <c r="J1760">
        <v>0</v>
      </c>
      <c r="K1760">
        <v>0</v>
      </c>
    </row>
    <row r="1761" spans="1:11" x14ac:dyDescent="0.25">
      <c r="A1761" t="s">
        <v>1801</v>
      </c>
      <c r="B1761" s="1">
        <v>46012.903275462966</v>
      </c>
      <c r="C1761" s="2" t="s">
        <v>39</v>
      </c>
      <c r="D1761" t="s">
        <v>23</v>
      </c>
      <c r="E1761">
        <v>3741</v>
      </c>
      <c r="F1761" t="s">
        <v>14</v>
      </c>
      <c r="G1761" t="s">
        <v>30</v>
      </c>
      <c r="H1761" t="s">
        <v>16</v>
      </c>
      <c r="I1761">
        <v>0</v>
      </c>
      <c r="J1761">
        <v>0</v>
      </c>
      <c r="K1761">
        <v>0</v>
      </c>
    </row>
    <row r="1762" spans="1:11" x14ac:dyDescent="0.25">
      <c r="A1762" t="s">
        <v>1802</v>
      </c>
      <c r="B1762" s="1">
        <v>45797.575856481482</v>
      </c>
      <c r="C1762" s="2" t="s">
        <v>26</v>
      </c>
      <c r="D1762" t="s">
        <v>19</v>
      </c>
      <c r="E1762">
        <v>20187</v>
      </c>
      <c r="F1762" t="s">
        <v>14</v>
      </c>
      <c r="G1762" t="s">
        <v>58</v>
      </c>
      <c r="H1762" t="s">
        <v>16</v>
      </c>
      <c r="I1762">
        <v>5</v>
      </c>
      <c r="J1762">
        <v>0</v>
      </c>
      <c r="K1762">
        <v>5</v>
      </c>
    </row>
    <row r="1763" spans="1:11" x14ac:dyDescent="0.25">
      <c r="A1763" t="s">
        <v>1803</v>
      </c>
      <c r="B1763" s="1">
        <v>46132.21671296296</v>
      </c>
      <c r="C1763" s="2" t="s">
        <v>12</v>
      </c>
      <c r="D1763" t="s">
        <v>33</v>
      </c>
      <c r="E1763">
        <v>63126</v>
      </c>
      <c r="F1763" t="s">
        <v>50</v>
      </c>
      <c r="G1763" t="s">
        <v>20</v>
      </c>
      <c r="H1763" t="s">
        <v>16</v>
      </c>
      <c r="I1763">
        <v>0</v>
      </c>
      <c r="J1763">
        <v>0</v>
      </c>
      <c r="K1763">
        <v>0</v>
      </c>
    </row>
    <row r="1764" spans="1:11" x14ac:dyDescent="0.25">
      <c r="A1764" t="s">
        <v>1804</v>
      </c>
      <c r="B1764" s="1">
        <v>46127.408993055556</v>
      </c>
      <c r="C1764" s="2" t="s">
        <v>26</v>
      </c>
      <c r="D1764" t="s">
        <v>19</v>
      </c>
      <c r="E1764">
        <v>30394</v>
      </c>
      <c r="F1764" t="s">
        <v>14</v>
      </c>
      <c r="G1764" t="s">
        <v>34</v>
      </c>
      <c r="H1764" t="s">
        <v>16</v>
      </c>
      <c r="I1764">
        <v>5</v>
      </c>
      <c r="J1764">
        <v>0</v>
      </c>
      <c r="K1764">
        <v>5</v>
      </c>
    </row>
    <row r="1765" spans="1:11" x14ac:dyDescent="0.25">
      <c r="A1765" t="s">
        <v>1805</v>
      </c>
      <c r="B1765" s="1">
        <v>45842.215439814812</v>
      </c>
      <c r="C1765" s="2" t="s">
        <v>32</v>
      </c>
      <c r="D1765" t="s">
        <v>13</v>
      </c>
      <c r="E1765">
        <v>176500</v>
      </c>
      <c r="F1765" t="s">
        <v>14</v>
      </c>
      <c r="G1765" t="s">
        <v>34</v>
      </c>
      <c r="H1765" t="s">
        <v>16</v>
      </c>
      <c r="I1765">
        <v>3265.25</v>
      </c>
      <c r="J1765">
        <v>1306.0999999999999</v>
      </c>
      <c r="K1765">
        <v>1959.15</v>
      </c>
    </row>
    <row r="1766" spans="1:11" x14ac:dyDescent="0.25">
      <c r="A1766" t="s">
        <v>1806</v>
      </c>
      <c r="B1766" s="1">
        <v>45793.795752314814</v>
      </c>
      <c r="C1766" s="2" t="s">
        <v>32</v>
      </c>
      <c r="D1766" t="s">
        <v>19</v>
      </c>
      <c r="E1766">
        <v>122076</v>
      </c>
      <c r="F1766" t="s">
        <v>14</v>
      </c>
      <c r="G1766" t="s">
        <v>15</v>
      </c>
      <c r="H1766" t="s">
        <v>16</v>
      </c>
      <c r="I1766">
        <v>5</v>
      </c>
      <c r="J1766">
        <v>0</v>
      </c>
      <c r="K1766">
        <v>5</v>
      </c>
    </row>
    <row r="1767" spans="1:11" x14ac:dyDescent="0.25">
      <c r="A1767" t="s">
        <v>1807</v>
      </c>
      <c r="B1767" s="1">
        <v>45857.515567129631</v>
      </c>
      <c r="C1767" s="2" t="s">
        <v>41</v>
      </c>
      <c r="D1767" t="s">
        <v>45</v>
      </c>
      <c r="E1767">
        <v>125211</v>
      </c>
      <c r="F1767" t="s">
        <v>14</v>
      </c>
      <c r="G1767" t="s">
        <v>15</v>
      </c>
      <c r="H1767" t="s">
        <v>178</v>
      </c>
      <c r="I1767">
        <v>1252.1099999999999</v>
      </c>
      <c r="J1767">
        <v>0</v>
      </c>
      <c r="K1767">
        <v>1252.1099999999999</v>
      </c>
    </row>
    <row r="1768" spans="1:11" x14ac:dyDescent="0.25">
      <c r="A1768" t="s">
        <v>1808</v>
      </c>
      <c r="B1768" s="1">
        <v>46067.314236111109</v>
      </c>
      <c r="C1768" s="2" t="s">
        <v>32</v>
      </c>
      <c r="D1768" t="s">
        <v>19</v>
      </c>
      <c r="E1768">
        <v>96289</v>
      </c>
      <c r="F1768" t="s">
        <v>14</v>
      </c>
      <c r="G1768" t="s">
        <v>27</v>
      </c>
      <c r="H1768" t="s">
        <v>16</v>
      </c>
      <c r="I1768">
        <v>5</v>
      </c>
      <c r="J1768">
        <v>0</v>
      </c>
      <c r="K1768">
        <v>5</v>
      </c>
    </row>
    <row r="1769" spans="1:11" x14ac:dyDescent="0.25">
      <c r="A1769" t="s">
        <v>1809</v>
      </c>
      <c r="B1769" s="1">
        <v>45937.430011574077</v>
      </c>
      <c r="C1769" s="2" t="s">
        <v>41</v>
      </c>
      <c r="D1769" t="s">
        <v>19</v>
      </c>
      <c r="E1769">
        <v>40934</v>
      </c>
      <c r="F1769" t="s">
        <v>50</v>
      </c>
      <c r="G1769" t="s">
        <v>27</v>
      </c>
      <c r="H1769" t="s">
        <v>16</v>
      </c>
      <c r="I1769">
        <v>5</v>
      </c>
      <c r="J1769">
        <v>0</v>
      </c>
      <c r="K1769">
        <v>5</v>
      </c>
    </row>
    <row r="1770" spans="1:11" x14ac:dyDescent="0.25">
      <c r="A1770" t="s">
        <v>1810</v>
      </c>
      <c r="B1770" s="1">
        <v>45893.141099537039</v>
      </c>
      <c r="C1770" s="2" t="s">
        <v>39</v>
      </c>
      <c r="D1770" t="s">
        <v>45</v>
      </c>
      <c r="E1770">
        <v>138062</v>
      </c>
      <c r="F1770" t="s">
        <v>14</v>
      </c>
      <c r="G1770" t="s">
        <v>27</v>
      </c>
      <c r="H1770" t="s">
        <v>56</v>
      </c>
      <c r="I1770">
        <v>1380.62</v>
      </c>
      <c r="J1770">
        <v>0</v>
      </c>
      <c r="K1770">
        <v>1380.62</v>
      </c>
    </row>
    <row r="1771" spans="1:11" x14ac:dyDescent="0.25">
      <c r="A1771" t="s">
        <v>1811</v>
      </c>
      <c r="B1771" s="1">
        <v>45821.819687499999</v>
      </c>
      <c r="C1771" s="2" t="s">
        <v>41</v>
      </c>
      <c r="D1771" t="s">
        <v>33</v>
      </c>
      <c r="E1771">
        <v>81126</v>
      </c>
      <c r="F1771" t="s">
        <v>99</v>
      </c>
      <c r="G1771" t="s">
        <v>24</v>
      </c>
      <c r="H1771" t="s">
        <v>16</v>
      </c>
      <c r="I1771">
        <v>0</v>
      </c>
      <c r="J1771">
        <v>0</v>
      </c>
      <c r="K1771">
        <v>0</v>
      </c>
    </row>
    <row r="1772" spans="1:11" x14ac:dyDescent="0.25">
      <c r="A1772" t="s">
        <v>1812</v>
      </c>
      <c r="B1772" s="1">
        <v>46136.697210648148</v>
      </c>
      <c r="C1772" s="2" t="s">
        <v>39</v>
      </c>
      <c r="D1772" t="s">
        <v>19</v>
      </c>
      <c r="E1772">
        <v>79924</v>
      </c>
      <c r="F1772" t="s">
        <v>14</v>
      </c>
      <c r="G1772" t="s">
        <v>15</v>
      </c>
      <c r="H1772" t="s">
        <v>16</v>
      </c>
      <c r="I1772">
        <v>5</v>
      </c>
      <c r="J1772">
        <v>0</v>
      </c>
      <c r="K1772">
        <v>5</v>
      </c>
    </row>
    <row r="1773" spans="1:11" x14ac:dyDescent="0.25">
      <c r="A1773" t="s">
        <v>1813</v>
      </c>
      <c r="B1773" s="1">
        <v>45952.037939814814</v>
      </c>
      <c r="C1773" s="2" t="s">
        <v>22</v>
      </c>
      <c r="D1773" t="s">
        <v>45</v>
      </c>
      <c r="E1773">
        <v>41008</v>
      </c>
      <c r="F1773" t="s">
        <v>14</v>
      </c>
      <c r="G1773" t="s">
        <v>84</v>
      </c>
      <c r="H1773" t="s">
        <v>59</v>
      </c>
      <c r="I1773">
        <v>410.08</v>
      </c>
      <c r="J1773">
        <v>0</v>
      </c>
      <c r="K1773">
        <v>410.08</v>
      </c>
    </row>
    <row r="1774" spans="1:11" x14ac:dyDescent="0.25">
      <c r="A1774" t="s">
        <v>1814</v>
      </c>
      <c r="B1774" s="1">
        <v>45954.013148148151</v>
      </c>
      <c r="C1774" s="2" t="s">
        <v>29</v>
      </c>
      <c r="D1774" t="s">
        <v>19</v>
      </c>
      <c r="E1774">
        <v>136188</v>
      </c>
      <c r="F1774" t="s">
        <v>14</v>
      </c>
      <c r="G1774" t="s">
        <v>34</v>
      </c>
      <c r="H1774" t="s">
        <v>16</v>
      </c>
      <c r="I1774">
        <v>5</v>
      </c>
      <c r="J1774">
        <v>0</v>
      </c>
      <c r="K1774">
        <v>5</v>
      </c>
    </row>
    <row r="1775" spans="1:11" x14ac:dyDescent="0.25">
      <c r="A1775" t="s">
        <v>1815</v>
      </c>
      <c r="B1775" s="1">
        <v>45896.74459490741</v>
      </c>
      <c r="C1775" s="2" t="s">
        <v>22</v>
      </c>
      <c r="D1775" t="s">
        <v>33</v>
      </c>
      <c r="E1775">
        <v>49304</v>
      </c>
      <c r="F1775" t="s">
        <v>14</v>
      </c>
      <c r="G1775" t="s">
        <v>27</v>
      </c>
      <c r="H1775" t="s">
        <v>16</v>
      </c>
      <c r="I1775">
        <v>0</v>
      </c>
      <c r="J1775">
        <v>0</v>
      </c>
      <c r="K1775">
        <v>0</v>
      </c>
    </row>
    <row r="1776" spans="1:11" x14ac:dyDescent="0.25">
      <c r="A1776" t="s">
        <v>1816</v>
      </c>
      <c r="B1776" s="1">
        <v>45955.957939814813</v>
      </c>
      <c r="C1776" s="2" t="s">
        <v>18</v>
      </c>
      <c r="D1776" t="s">
        <v>23</v>
      </c>
      <c r="E1776">
        <v>1822</v>
      </c>
      <c r="F1776" t="s">
        <v>50</v>
      </c>
      <c r="G1776" t="s">
        <v>51</v>
      </c>
      <c r="H1776" t="s">
        <v>16</v>
      </c>
      <c r="I1776">
        <v>0</v>
      </c>
      <c r="J1776">
        <v>0</v>
      </c>
      <c r="K1776">
        <v>0</v>
      </c>
    </row>
    <row r="1777" spans="1:11" x14ac:dyDescent="0.25">
      <c r="A1777" t="s">
        <v>1817</v>
      </c>
      <c r="B1777" s="1">
        <v>45779.655138888891</v>
      </c>
      <c r="C1777" s="2" t="s">
        <v>22</v>
      </c>
      <c r="D1777" t="s">
        <v>23</v>
      </c>
      <c r="E1777">
        <v>2257</v>
      </c>
      <c r="F1777" t="s">
        <v>14</v>
      </c>
      <c r="G1777" t="s">
        <v>34</v>
      </c>
      <c r="H1777" t="s">
        <v>16</v>
      </c>
      <c r="I1777">
        <v>0</v>
      </c>
      <c r="J1777">
        <v>0</v>
      </c>
      <c r="K1777">
        <v>0</v>
      </c>
    </row>
    <row r="1778" spans="1:11" x14ac:dyDescent="0.25">
      <c r="A1778" t="s">
        <v>1818</v>
      </c>
      <c r="B1778" s="1">
        <v>45910.038599537038</v>
      </c>
      <c r="C1778" s="2" t="s">
        <v>26</v>
      </c>
      <c r="D1778" t="s">
        <v>33</v>
      </c>
      <c r="E1778">
        <v>27661</v>
      </c>
      <c r="F1778" t="s">
        <v>14</v>
      </c>
      <c r="G1778" t="s">
        <v>84</v>
      </c>
      <c r="H1778" t="s">
        <v>16</v>
      </c>
      <c r="I1778">
        <v>0</v>
      </c>
      <c r="J1778">
        <v>0</v>
      </c>
      <c r="K1778">
        <v>0</v>
      </c>
    </row>
    <row r="1779" spans="1:11" x14ac:dyDescent="0.25">
      <c r="A1779" t="s">
        <v>1819</v>
      </c>
      <c r="B1779" s="1">
        <v>45992.661527777775</v>
      </c>
      <c r="C1779" s="2" t="s">
        <v>32</v>
      </c>
      <c r="D1779" t="s">
        <v>45</v>
      </c>
      <c r="E1779">
        <v>5594</v>
      </c>
      <c r="F1779" t="s">
        <v>14</v>
      </c>
      <c r="G1779" t="s">
        <v>51</v>
      </c>
      <c r="H1779" t="s">
        <v>178</v>
      </c>
      <c r="I1779">
        <v>55.94</v>
      </c>
      <c r="J1779">
        <v>0</v>
      </c>
      <c r="K1779">
        <v>55.94</v>
      </c>
    </row>
    <row r="1780" spans="1:11" x14ac:dyDescent="0.25">
      <c r="A1780" t="s">
        <v>1820</v>
      </c>
      <c r="B1780" s="1">
        <v>45830.63925925926</v>
      </c>
      <c r="C1780" s="2" t="s">
        <v>26</v>
      </c>
      <c r="D1780" t="s">
        <v>19</v>
      </c>
      <c r="E1780">
        <v>4680</v>
      </c>
      <c r="F1780" t="s">
        <v>14</v>
      </c>
      <c r="G1780" t="s">
        <v>24</v>
      </c>
      <c r="H1780" t="s">
        <v>16</v>
      </c>
      <c r="I1780">
        <v>5</v>
      </c>
      <c r="J1780">
        <v>0</v>
      </c>
      <c r="K1780">
        <v>5</v>
      </c>
    </row>
    <row r="1781" spans="1:11" x14ac:dyDescent="0.25">
      <c r="A1781" t="s">
        <v>1821</v>
      </c>
      <c r="B1781" s="1">
        <v>45794.345358796294</v>
      </c>
      <c r="C1781" s="2" t="s">
        <v>32</v>
      </c>
      <c r="D1781" t="s">
        <v>45</v>
      </c>
      <c r="E1781">
        <v>15928</v>
      </c>
      <c r="F1781" t="s">
        <v>14</v>
      </c>
      <c r="G1781" t="s">
        <v>51</v>
      </c>
      <c r="H1781" t="s">
        <v>46</v>
      </c>
      <c r="I1781">
        <v>159.28</v>
      </c>
      <c r="J1781">
        <v>0</v>
      </c>
      <c r="K1781">
        <v>159.28</v>
      </c>
    </row>
    <row r="1782" spans="1:11" x14ac:dyDescent="0.25">
      <c r="A1782" t="s">
        <v>1822</v>
      </c>
      <c r="B1782" s="1">
        <v>45962.278969907406</v>
      </c>
      <c r="C1782" s="2" t="s">
        <v>41</v>
      </c>
      <c r="D1782" t="s">
        <v>45</v>
      </c>
      <c r="E1782">
        <v>24920</v>
      </c>
      <c r="F1782" t="s">
        <v>14</v>
      </c>
      <c r="G1782" t="s">
        <v>84</v>
      </c>
      <c r="H1782" t="s">
        <v>178</v>
      </c>
      <c r="I1782">
        <v>249.2</v>
      </c>
      <c r="J1782">
        <v>0</v>
      </c>
      <c r="K1782">
        <v>249.2</v>
      </c>
    </row>
    <row r="1783" spans="1:11" x14ac:dyDescent="0.25">
      <c r="A1783" t="s">
        <v>1823</v>
      </c>
      <c r="B1783" s="1">
        <v>45915.212164351855</v>
      </c>
      <c r="C1783" s="2" t="s">
        <v>39</v>
      </c>
      <c r="D1783" t="s">
        <v>19</v>
      </c>
      <c r="E1783">
        <v>88081</v>
      </c>
      <c r="F1783" t="s">
        <v>14</v>
      </c>
      <c r="G1783" t="s">
        <v>84</v>
      </c>
      <c r="H1783" t="s">
        <v>16</v>
      </c>
      <c r="I1783">
        <v>5</v>
      </c>
      <c r="J1783">
        <v>0</v>
      </c>
      <c r="K1783">
        <v>5</v>
      </c>
    </row>
    <row r="1784" spans="1:11" x14ac:dyDescent="0.25">
      <c r="A1784" t="s">
        <v>1824</v>
      </c>
      <c r="B1784" s="1">
        <v>45869.613877314812</v>
      </c>
      <c r="C1784" s="2" t="s">
        <v>22</v>
      </c>
      <c r="D1784" t="s">
        <v>45</v>
      </c>
      <c r="E1784">
        <v>119737</v>
      </c>
      <c r="F1784" t="s">
        <v>14</v>
      </c>
      <c r="G1784" t="s">
        <v>84</v>
      </c>
      <c r="H1784" t="s">
        <v>59</v>
      </c>
      <c r="I1784">
        <v>1197.3699999999999</v>
      </c>
      <c r="J1784">
        <v>0</v>
      </c>
      <c r="K1784">
        <v>1197.3699999999999</v>
      </c>
    </row>
    <row r="1785" spans="1:11" x14ac:dyDescent="0.25">
      <c r="A1785" t="s">
        <v>1825</v>
      </c>
      <c r="B1785" s="1">
        <v>46109.248055555552</v>
      </c>
      <c r="C1785" s="2" t="s">
        <v>26</v>
      </c>
      <c r="D1785" t="s">
        <v>13</v>
      </c>
      <c r="E1785">
        <v>56000</v>
      </c>
      <c r="F1785" t="s">
        <v>14</v>
      </c>
      <c r="G1785" t="s">
        <v>24</v>
      </c>
      <c r="H1785" t="s">
        <v>16</v>
      </c>
      <c r="I1785">
        <v>1036</v>
      </c>
      <c r="J1785">
        <v>414.4</v>
      </c>
      <c r="K1785">
        <v>621.6</v>
      </c>
    </row>
    <row r="1786" spans="1:11" x14ac:dyDescent="0.25">
      <c r="A1786" t="s">
        <v>1826</v>
      </c>
      <c r="B1786" s="1">
        <v>45892.483229166668</v>
      </c>
      <c r="C1786" s="2" t="s">
        <v>18</v>
      </c>
      <c r="D1786" t="s">
        <v>19</v>
      </c>
      <c r="E1786">
        <v>93114</v>
      </c>
      <c r="F1786" t="s">
        <v>14</v>
      </c>
      <c r="G1786" t="s">
        <v>20</v>
      </c>
      <c r="H1786" t="s">
        <v>16</v>
      </c>
      <c r="I1786">
        <v>5</v>
      </c>
      <c r="J1786">
        <v>0</v>
      </c>
      <c r="K1786">
        <v>5</v>
      </c>
    </row>
    <row r="1787" spans="1:11" x14ac:dyDescent="0.25">
      <c r="A1787" t="s">
        <v>1827</v>
      </c>
      <c r="B1787" s="1">
        <v>45941.151099537034</v>
      </c>
      <c r="C1787" s="2" t="s">
        <v>39</v>
      </c>
      <c r="D1787" t="s">
        <v>19</v>
      </c>
      <c r="E1787">
        <v>34459</v>
      </c>
      <c r="F1787" t="s">
        <v>14</v>
      </c>
      <c r="G1787" t="s">
        <v>84</v>
      </c>
      <c r="H1787" t="s">
        <v>16</v>
      </c>
      <c r="I1787">
        <v>5</v>
      </c>
      <c r="J1787">
        <v>0</v>
      </c>
      <c r="K1787">
        <v>5</v>
      </c>
    </row>
    <row r="1788" spans="1:11" x14ac:dyDescent="0.25">
      <c r="A1788" t="s">
        <v>1828</v>
      </c>
      <c r="B1788" s="1">
        <v>46028.348414351851</v>
      </c>
      <c r="C1788" s="2" t="s">
        <v>41</v>
      </c>
      <c r="D1788" t="s">
        <v>23</v>
      </c>
      <c r="E1788">
        <v>4321</v>
      </c>
      <c r="F1788" t="s">
        <v>14</v>
      </c>
      <c r="G1788" t="s">
        <v>34</v>
      </c>
      <c r="H1788" t="s">
        <v>16</v>
      </c>
      <c r="I1788">
        <v>0</v>
      </c>
      <c r="J1788">
        <v>0</v>
      </c>
      <c r="K1788">
        <v>0</v>
      </c>
    </row>
    <row r="1789" spans="1:11" x14ac:dyDescent="0.25">
      <c r="A1789" t="s">
        <v>1829</v>
      </c>
      <c r="B1789" s="1">
        <v>46119.06653935185</v>
      </c>
      <c r="C1789" s="2" t="s">
        <v>26</v>
      </c>
      <c r="D1789" t="s">
        <v>19</v>
      </c>
      <c r="E1789">
        <v>112518</v>
      </c>
      <c r="F1789" t="s">
        <v>14</v>
      </c>
      <c r="G1789" t="s">
        <v>24</v>
      </c>
      <c r="H1789" t="s">
        <v>16</v>
      </c>
      <c r="I1789">
        <v>5</v>
      </c>
      <c r="J1789">
        <v>0</v>
      </c>
      <c r="K1789">
        <v>5</v>
      </c>
    </row>
    <row r="1790" spans="1:11" x14ac:dyDescent="0.25">
      <c r="A1790" t="s">
        <v>1830</v>
      </c>
      <c r="B1790" s="1">
        <v>45997.832546296297</v>
      </c>
      <c r="C1790" s="2" t="s">
        <v>22</v>
      </c>
      <c r="D1790" t="s">
        <v>23</v>
      </c>
      <c r="E1790">
        <v>4236</v>
      </c>
      <c r="F1790" t="s">
        <v>14</v>
      </c>
      <c r="G1790" t="s">
        <v>24</v>
      </c>
      <c r="H1790" t="s">
        <v>16</v>
      </c>
      <c r="I1790">
        <v>0</v>
      </c>
      <c r="J1790">
        <v>0</v>
      </c>
      <c r="K1790">
        <v>0</v>
      </c>
    </row>
    <row r="1791" spans="1:11" x14ac:dyDescent="0.25">
      <c r="A1791" t="s">
        <v>1831</v>
      </c>
      <c r="B1791" s="1">
        <v>46109.860208333332</v>
      </c>
      <c r="C1791" s="2" t="s">
        <v>12</v>
      </c>
      <c r="D1791" t="s">
        <v>33</v>
      </c>
      <c r="E1791">
        <v>68818</v>
      </c>
      <c r="F1791" t="s">
        <v>99</v>
      </c>
      <c r="G1791" t="s">
        <v>34</v>
      </c>
      <c r="H1791" t="s">
        <v>16</v>
      </c>
      <c r="I1791">
        <v>0</v>
      </c>
      <c r="J1791">
        <v>0</v>
      </c>
      <c r="K1791">
        <v>0</v>
      </c>
    </row>
    <row r="1792" spans="1:11" x14ac:dyDescent="0.25">
      <c r="A1792" t="s">
        <v>1832</v>
      </c>
      <c r="B1792" s="1">
        <v>46076.619768518518</v>
      </c>
      <c r="C1792" s="2" t="s">
        <v>32</v>
      </c>
      <c r="D1792" t="s">
        <v>45</v>
      </c>
      <c r="E1792">
        <v>8283</v>
      </c>
      <c r="F1792" t="s">
        <v>14</v>
      </c>
      <c r="G1792" t="s">
        <v>20</v>
      </c>
      <c r="H1792" t="s">
        <v>178</v>
      </c>
      <c r="I1792">
        <v>82.83</v>
      </c>
      <c r="J1792">
        <v>0</v>
      </c>
      <c r="K1792">
        <v>82.83</v>
      </c>
    </row>
    <row r="1793" spans="1:11" x14ac:dyDescent="0.25">
      <c r="A1793" t="s">
        <v>1833</v>
      </c>
      <c r="B1793" s="1">
        <v>46082.538715277777</v>
      </c>
      <c r="C1793" s="2" t="s">
        <v>22</v>
      </c>
      <c r="D1793" t="s">
        <v>13</v>
      </c>
      <c r="E1793">
        <v>173500</v>
      </c>
      <c r="F1793" t="s">
        <v>50</v>
      </c>
      <c r="G1793" t="s">
        <v>24</v>
      </c>
      <c r="H1793" t="s">
        <v>16</v>
      </c>
      <c r="I1793">
        <v>3209.75</v>
      </c>
      <c r="J1793">
        <v>1283.9000000000001</v>
      </c>
      <c r="K1793">
        <v>1925.85</v>
      </c>
    </row>
    <row r="1794" spans="1:11" x14ac:dyDescent="0.25">
      <c r="A1794" t="s">
        <v>1834</v>
      </c>
      <c r="B1794" s="1">
        <v>45812.855879629627</v>
      </c>
      <c r="C1794" s="2" t="s">
        <v>18</v>
      </c>
      <c r="D1794" t="s">
        <v>33</v>
      </c>
      <c r="E1794">
        <v>17459</v>
      </c>
      <c r="F1794" t="s">
        <v>14</v>
      </c>
      <c r="G1794" t="s">
        <v>27</v>
      </c>
      <c r="H1794" t="s">
        <v>16</v>
      </c>
      <c r="I1794">
        <v>0</v>
      </c>
      <c r="J1794">
        <v>0</v>
      </c>
      <c r="K1794">
        <v>0</v>
      </c>
    </row>
    <row r="1795" spans="1:11" x14ac:dyDescent="0.25">
      <c r="A1795" t="s">
        <v>1835</v>
      </c>
      <c r="B1795" s="1">
        <v>46072.401724537034</v>
      </c>
      <c r="C1795" s="2" t="s">
        <v>39</v>
      </c>
      <c r="D1795" t="s">
        <v>33</v>
      </c>
      <c r="E1795">
        <v>96344</v>
      </c>
      <c r="F1795" t="s">
        <v>14</v>
      </c>
      <c r="G1795" t="s">
        <v>30</v>
      </c>
      <c r="H1795" t="s">
        <v>16</v>
      </c>
      <c r="I1795">
        <v>0</v>
      </c>
      <c r="J1795">
        <v>0</v>
      </c>
      <c r="K1795">
        <v>0</v>
      </c>
    </row>
    <row r="1796" spans="1:11" x14ac:dyDescent="0.25">
      <c r="A1796" t="s">
        <v>1836</v>
      </c>
      <c r="B1796" s="1">
        <v>45940.267835648148</v>
      </c>
      <c r="C1796" s="2" t="s">
        <v>39</v>
      </c>
      <c r="D1796" t="s">
        <v>33</v>
      </c>
      <c r="E1796">
        <v>81472</v>
      </c>
      <c r="F1796" t="s">
        <v>14</v>
      </c>
      <c r="G1796" t="s">
        <v>15</v>
      </c>
      <c r="H1796" t="s">
        <v>16</v>
      </c>
      <c r="I1796">
        <v>0</v>
      </c>
      <c r="J1796">
        <v>0</v>
      </c>
      <c r="K1796">
        <v>0</v>
      </c>
    </row>
    <row r="1797" spans="1:11" x14ac:dyDescent="0.25">
      <c r="A1797" t="s">
        <v>1837</v>
      </c>
      <c r="B1797" s="1">
        <v>45875.703981481478</v>
      </c>
      <c r="C1797" s="2" t="s">
        <v>12</v>
      </c>
      <c r="D1797" t="s">
        <v>23</v>
      </c>
      <c r="E1797">
        <v>1479</v>
      </c>
      <c r="F1797" t="s">
        <v>14</v>
      </c>
      <c r="G1797" t="s">
        <v>27</v>
      </c>
      <c r="H1797" t="s">
        <v>16</v>
      </c>
      <c r="I1797">
        <v>0</v>
      </c>
      <c r="J1797">
        <v>0</v>
      </c>
      <c r="K1797">
        <v>0</v>
      </c>
    </row>
    <row r="1798" spans="1:11" x14ac:dyDescent="0.25">
      <c r="A1798" t="s">
        <v>1838</v>
      </c>
      <c r="B1798" s="1">
        <v>45949.631874999999</v>
      </c>
      <c r="C1798" s="2" t="s">
        <v>26</v>
      </c>
      <c r="D1798" t="s">
        <v>45</v>
      </c>
      <c r="E1798">
        <v>124189</v>
      </c>
      <c r="F1798" t="s">
        <v>14</v>
      </c>
      <c r="G1798" t="s">
        <v>30</v>
      </c>
      <c r="H1798" t="s">
        <v>46</v>
      </c>
      <c r="I1798">
        <v>1241.8900000000001</v>
      </c>
      <c r="J1798">
        <v>0</v>
      </c>
      <c r="K1798">
        <v>1241.8900000000001</v>
      </c>
    </row>
    <row r="1799" spans="1:11" x14ac:dyDescent="0.25">
      <c r="A1799" t="s">
        <v>1839</v>
      </c>
      <c r="B1799" s="1">
        <v>45974.5315162037</v>
      </c>
      <c r="C1799" s="2" t="s">
        <v>12</v>
      </c>
      <c r="D1799" t="s">
        <v>13</v>
      </c>
      <c r="E1799">
        <v>134500</v>
      </c>
      <c r="F1799" t="s">
        <v>14</v>
      </c>
      <c r="G1799" t="s">
        <v>24</v>
      </c>
      <c r="H1799" t="s">
        <v>16</v>
      </c>
      <c r="I1799">
        <v>2488.25</v>
      </c>
      <c r="J1799">
        <v>995.3</v>
      </c>
      <c r="K1799">
        <v>1492.95</v>
      </c>
    </row>
    <row r="1800" spans="1:11" x14ac:dyDescent="0.25">
      <c r="A1800" t="s">
        <v>1840</v>
      </c>
      <c r="B1800" s="1">
        <v>46035.831180555557</v>
      </c>
      <c r="C1800" s="2" t="s">
        <v>39</v>
      </c>
      <c r="D1800" t="s">
        <v>23</v>
      </c>
      <c r="E1800">
        <v>4560</v>
      </c>
      <c r="F1800" t="s">
        <v>14</v>
      </c>
      <c r="G1800" t="s">
        <v>34</v>
      </c>
      <c r="H1800" t="s">
        <v>16</v>
      </c>
      <c r="I1800">
        <v>0</v>
      </c>
      <c r="J1800">
        <v>0</v>
      </c>
      <c r="K1800">
        <v>0</v>
      </c>
    </row>
    <row r="1801" spans="1:11" x14ac:dyDescent="0.25">
      <c r="A1801" t="s">
        <v>1841</v>
      </c>
      <c r="B1801" s="1">
        <v>46080.514317129629</v>
      </c>
      <c r="C1801" s="2" t="s">
        <v>18</v>
      </c>
      <c r="D1801" t="s">
        <v>13</v>
      </c>
      <c r="E1801">
        <v>98000</v>
      </c>
      <c r="F1801" t="s">
        <v>14</v>
      </c>
      <c r="G1801" t="s">
        <v>24</v>
      </c>
      <c r="H1801" t="s">
        <v>16</v>
      </c>
      <c r="I1801">
        <v>1813</v>
      </c>
      <c r="J1801">
        <v>725.2</v>
      </c>
      <c r="K1801">
        <v>1087.8</v>
      </c>
    </row>
    <row r="1802" spans="1:11" x14ac:dyDescent="0.25">
      <c r="A1802" t="s">
        <v>1842</v>
      </c>
      <c r="B1802" s="1">
        <v>45899.360312500001</v>
      </c>
      <c r="C1802" s="2" t="s">
        <v>18</v>
      </c>
      <c r="D1802" t="s">
        <v>23</v>
      </c>
      <c r="E1802">
        <v>2531</v>
      </c>
      <c r="F1802" t="s">
        <v>14</v>
      </c>
      <c r="G1802" t="s">
        <v>58</v>
      </c>
      <c r="H1802" t="s">
        <v>16</v>
      </c>
      <c r="I1802">
        <v>0</v>
      </c>
      <c r="J1802">
        <v>0</v>
      </c>
      <c r="K1802">
        <v>0</v>
      </c>
    </row>
    <row r="1803" spans="1:11" x14ac:dyDescent="0.25">
      <c r="A1803" t="s">
        <v>1843</v>
      </c>
      <c r="B1803" s="1">
        <v>45822.090810185182</v>
      </c>
      <c r="C1803" s="2" t="s">
        <v>26</v>
      </c>
      <c r="D1803" t="s">
        <v>33</v>
      </c>
      <c r="E1803">
        <v>71906</v>
      </c>
      <c r="F1803" t="s">
        <v>14</v>
      </c>
      <c r="G1803" t="s">
        <v>34</v>
      </c>
      <c r="H1803" t="s">
        <v>16</v>
      </c>
      <c r="I1803">
        <v>0</v>
      </c>
      <c r="J1803">
        <v>0</v>
      </c>
      <c r="K1803">
        <v>0</v>
      </c>
    </row>
    <row r="1804" spans="1:11" x14ac:dyDescent="0.25">
      <c r="A1804" t="s">
        <v>1844</v>
      </c>
      <c r="B1804" s="1">
        <v>45908.790891203702</v>
      </c>
      <c r="C1804" s="2" t="s">
        <v>18</v>
      </c>
      <c r="D1804" t="s">
        <v>33</v>
      </c>
      <c r="E1804">
        <v>70735</v>
      </c>
      <c r="F1804" t="s">
        <v>14</v>
      </c>
      <c r="G1804" t="s">
        <v>58</v>
      </c>
      <c r="H1804" t="s">
        <v>16</v>
      </c>
      <c r="I1804">
        <v>0</v>
      </c>
      <c r="J1804">
        <v>0</v>
      </c>
      <c r="K1804">
        <v>0</v>
      </c>
    </row>
    <row r="1805" spans="1:11" x14ac:dyDescent="0.25">
      <c r="A1805" t="s">
        <v>1845</v>
      </c>
      <c r="B1805" s="1">
        <v>45783.07744212963</v>
      </c>
      <c r="C1805" s="2" t="s">
        <v>41</v>
      </c>
      <c r="D1805" t="s">
        <v>13</v>
      </c>
      <c r="E1805">
        <v>123000</v>
      </c>
      <c r="F1805" t="s">
        <v>14</v>
      </c>
      <c r="G1805" t="s">
        <v>30</v>
      </c>
      <c r="H1805" t="s">
        <v>16</v>
      </c>
      <c r="I1805">
        <v>2275.5</v>
      </c>
      <c r="J1805">
        <v>910.2</v>
      </c>
      <c r="K1805">
        <v>1365.3</v>
      </c>
    </row>
    <row r="1806" spans="1:11" x14ac:dyDescent="0.25">
      <c r="A1806" t="s">
        <v>1846</v>
      </c>
      <c r="B1806" s="1">
        <v>45918.010428240741</v>
      </c>
      <c r="C1806" s="2" t="s">
        <v>22</v>
      </c>
      <c r="D1806" t="s">
        <v>23</v>
      </c>
      <c r="E1806">
        <v>409</v>
      </c>
      <c r="F1806" t="s">
        <v>14</v>
      </c>
      <c r="G1806" t="s">
        <v>51</v>
      </c>
      <c r="H1806" t="s">
        <v>16</v>
      </c>
      <c r="I1806">
        <v>0</v>
      </c>
      <c r="J1806">
        <v>0</v>
      </c>
      <c r="K1806">
        <v>0</v>
      </c>
    </row>
    <row r="1807" spans="1:11" x14ac:dyDescent="0.25">
      <c r="A1807" t="s">
        <v>1847</v>
      </c>
      <c r="B1807" s="1">
        <v>46035.796701388892</v>
      </c>
      <c r="C1807" s="2" t="s">
        <v>41</v>
      </c>
      <c r="D1807" t="s">
        <v>13</v>
      </c>
      <c r="E1807">
        <v>69000</v>
      </c>
      <c r="F1807" t="s">
        <v>99</v>
      </c>
      <c r="G1807" t="s">
        <v>84</v>
      </c>
      <c r="H1807" t="s">
        <v>16</v>
      </c>
      <c r="I1807">
        <v>1276.5</v>
      </c>
      <c r="J1807">
        <v>510.6</v>
      </c>
      <c r="K1807">
        <v>765.9</v>
      </c>
    </row>
    <row r="1808" spans="1:11" x14ac:dyDescent="0.25">
      <c r="A1808" t="s">
        <v>1848</v>
      </c>
      <c r="B1808" s="1">
        <v>45995.372557870367</v>
      </c>
      <c r="C1808" s="2" t="s">
        <v>29</v>
      </c>
      <c r="D1808" t="s">
        <v>45</v>
      </c>
      <c r="E1808">
        <v>142170</v>
      </c>
      <c r="F1808" t="s">
        <v>14</v>
      </c>
      <c r="G1808" t="s">
        <v>34</v>
      </c>
      <c r="H1808" t="s">
        <v>46</v>
      </c>
      <c r="I1808">
        <v>1421.7</v>
      </c>
      <c r="J1808">
        <v>0</v>
      </c>
      <c r="K1808">
        <v>1421.7</v>
      </c>
    </row>
    <row r="1809" spans="1:11" x14ac:dyDescent="0.25">
      <c r="A1809" t="s">
        <v>1849</v>
      </c>
      <c r="B1809" s="1">
        <v>45931.796620370369</v>
      </c>
      <c r="C1809" s="2" t="s">
        <v>41</v>
      </c>
      <c r="D1809" t="s">
        <v>19</v>
      </c>
      <c r="E1809">
        <v>87404</v>
      </c>
      <c r="F1809" t="s">
        <v>14</v>
      </c>
      <c r="G1809" t="s">
        <v>34</v>
      </c>
      <c r="H1809" t="s">
        <v>16</v>
      </c>
      <c r="I1809">
        <v>5</v>
      </c>
      <c r="J1809">
        <v>0</v>
      </c>
      <c r="K1809">
        <v>5</v>
      </c>
    </row>
    <row r="1810" spans="1:11" x14ac:dyDescent="0.25">
      <c r="A1810" t="s">
        <v>1850</v>
      </c>
      <c r="B1810" s="1">
        <v>45815.24082175926</v>
      </c>
      <c r="C1810" s="2" t="s">
        <v>18</v>
      </c>
      <c r="D1810" t="s">
        <v>45</v>
      </c>
      <c r="E1810">
        <v>113238</v>
      </c>
      <c r="F1810" t="s">
        <v>14</v>
      </c>
      <c r="G1810" t="s">
        <v>84</v>
      </c>
      <c r="H1810" t="s">
        <v>71</v>
      </c>
      <c r="I1810">
        <v>1132.3800000000001</v>
      </c>
      <c r="J1810">
        <v>0</v>
      </c>
      <c r="K1810">
        <v>1132.3800000000001</v>
      </c>
    </row>
    <row r="1811" spans="1:11" x14ac:dyDescent="0.25">
      <c r="A1811" t="s">
        <v>1851</v>
      </c>
      <c r="B1811" s="1">
        <v>45953.43378472222</v>
      </c>
      <c r="C1811" s="2" t="s">
        <v>29</v>
      </c>
      <c r="D1811" t="s">
        <v>23</v>
      </c>
      <c r="E1811">
        <v>936</v>
      </c>
      <c r="F1811" t="s">
        <v>99</v>
      </c>
      <c r="G1811" t="s">
        <v>15</v>
      </c>
      <c r="H1811" t="s">
        <v>16</v>
      </c>
      <c r="I1811">
        <v>0</v>
      </c>
      <c r="J1811">
        <v>0</v>
      </c>
      <c r="K1811">
        <v>0</v>
      </c>
    </row>
    <row r="1812" spans="1:11" x14ac:dyDescent="0.25">
      <c r="A1812" t="s">
        <v>1852</v>
      </c>
      <c r="B1812" s="1">
        <v>46093.068541666667</v>
      </c>
      <c r="C1812" s="2" t="s">
        <v>22</v>
      </c>
      <c r="D1812" t="s">
        <v>19</v>
      </c>
      <c r="E1812">
        <v>74321</v>
      </c>
      <c r="F1812" t="s">
        <v>14</v>
      </c>
      <c r="G1812" t="s">
        <v>20</v>
      </c>
      <c r="H1812" t="s">
        <v>16</v>
      </c>
      <c r="I1812">
        <v>5</v>
      </c>
      <c r="J1812">
        <v>0</v>
      </c>
      <c r="K1812">
        <v>5</v>
      </c>
    </row>
    <row r="1813" spans="1:11" x14ac:dyDescent="0.25">
      <c r="A1813" t="s">
        <v>1853</v>
      </c>
      <c r="B1813" s="1">
        <v>46056.648159722223</v>
      </c>
      <c r="C1813" s="2" t="s">
        <v>32</v>
      </c>
      <c r="D1813" t="s">
        <v>45</v>
      </c>
      <c r="E1813">
        <v>11228</v>
      </c>
      <c r="F1813" t="s">
        <v>14</v>
      </c>
      <c r="G1813" t="s">
        <v>51</v>
      </c>
      <c r="H1813" t="s">
        <v>56</v>
      </c>
      <c r="I1813">
        <v>112.28</v>
      </c>
      <c r="J1813">
        <v>0</v>
      </c>
      <c r="K1813">
        <v>112.28</v>
      </c>
    </row>
    <row r="1814" spans="1:11" x14ac:dyDescent="0.25">
      <c r="A1814" t="s">
        <v>1854</v>
      </c>
      <c r="B1814" s="1">
        <v>46020.926701388889</v>
      </c>
      <c r="C1814" s="2" t="s">
        <v>41</v>
      </c>
      <c r="D1814" t="s">
        <v>45</v>
      </c>
      <c r="E1814">
        <v>120709</v>
      </c>
      <c r="F1814" t="s">
        <v>14</v>
      </c>
      <c r="G1814" t="s">
        <v>51</v>
      </c>
      <c r="H1814" t="s">
        <v>46</v>
      </c>
      <c r="I1814">
        <v>1207.0899999999999</v>
      </c>
      <c r="J1814">
        <v>0</v>
      </c>
      <c r="K1814">
        <v>1207.0899999999999</v>
      </c>
    </row>
    <row r="1815" spans="1:11" x14ac:dyDescent="0.25">
      <c r="A1815" t="s">
        <v>1855</v>
      </c>
      <c r="B1815" s="1">
        <v>46073.912060185183</v>
      </c>
      <c r="C1815" s="2" t="s">
        <v>29</v>
      </c>
      <c r="D1815" t="s">
        <v>19</v>
      </c>
      <c r="E1815">
        <v>145584</v>
      </c>
      <c r="F1815" t="s">
        <v>50</v>
      </c>
      <c r="G1815" t="s">
        <v>84</v>
      </c>
      <c r="H1815" t="s">
        <v>16</v>
      </c>
      <c r="I1815">
        <v>5</v>
      </c>
      <c r="J1815">
        <v>0</v>
      </c>
      <c r="K1815">
        <v>5</v>
      </c>
    </row>
    <row r="1816" spans="1:11" x14ac:dyDescent="0.25">
      <c r="A1816" t="s">
        <v>1856</v>
      </c>
      <c r="B1816" s="1">
        <v>45926.023761574077</v>
      </c>
      <c r="C1816" s="2" t="s">
        <v>22</v>
      </c>
      <c r="D1816" t="s">
        <v>13</v>
      </c>
      <c r="E1816">
        <v>200000</v>
      </c>
      <c r="F1816" t="s">
        <v>14</v>
      </c>
      <c r="G1816" t="s">
        <v>58</v>
      </c>
      <c r="H1816" t="s">
        <v>16</v>
      </c>
      <c r="I1816">
        <v>3700</v>
      </c>
      <c r="J1816">
        <v>1480</v>
      </c>
      <c r="K1816">
        <v>2220</v>
      </c>
    </row>
    <row r="1817" spans="1:11" x14ac:dyDescent="0.25">
      <c r="A1817" t="s">
        <v>1857</v>
      </c>
      <c r="B1817" s="1">
        <v>45852.442731481482</v>
      </c>
      <c r="C1817" s="2" t="s">
        <v>39</v>
      </c>
      <c r="D1817" t="s">
        <v>23</v>
      </c>
      <c r="E1817">
        <v>4306</v>
      </c>
      <c r="F1817" t="s">
        <v>14</v>
      </c>
      <c r="G1817" t="s">
        <v>51</v>
      </c>
      <c r="H1817" t="s">
        <v>16</v>
      </c>
      <c r="I1817">
        <v>0</v>
      </c>
      <c r="J1817">
        <v>0</v>
      </c>
      <c r="K1817">
        <v>0</v>
      </c>
    </row>
    <row r="1818" spans="1:11" x14ac:dyDescent="0.25">
      <c r="A1818" t="s">
        <v>1858</v>
      </c>
      <c r="B1818" s="1">
        <v>45808.539363425924</v>
      </c>
      <c r="C1818" s="2" t="s">
        <v>12</v>
      </c>
      <c r="D1818" t="s">
        <v>19</v>
      </c>
      <c r="E1818">
        <v>9028</v>
      </c>
      <c r="F1818" t="s">
        <v>14</v>
      </c>
      <c r="G1818" t="s">
        <v>34</v>
      </c>
      <c r="H1818" t="s">
        <v>16</v>
      </c>
      <c r="I1818">
        <v>5</v>
      </c>
      <c r="J1818">
        <v>0</v>
      </c>
      <c r="K1818">
        <v>5</v>
      </c>
    </row>
    <row r="1819" spans="1:11" x14ac:dyDescent="0.25">
      <c r="A1819" t="s">
        <v>1859</v>
      </c>
      <c r="B1819" s="1">
        <v>46020.215497685182</v>
      </c>
      <c r="C1819" s="2" t="s">
        <v>29</v>
      </c>
      <c r="D1819" t="s">
        <v>33</v>
      </c>
      <c r="E1819">
        <v>69464</v>
      </c>
      <c r="F1819" t="s">
        <v>14</v>
      </c>
      <c r="G1819" t="s">
        <v>34</v>
      </c>
      <c r="H1819" t="s">
        <v>16</v>
      </c>
      <c r="I1819">
        <v>0</v>
      </c>
      <c r="J1819">
        <v>0</v>
      </c>
      <c r="K1819">
        <v>0</v>
      </c>
    </row>
    <row r="1820" spans="1:11" x14ac:dyDescent="0.25">
      <c r="A1820" t="s">
        <v>1860</v>
      </c>
      <c r="B1820" s="1">
        <v>46021.316053240742</v>
      </c>
      <c r="C1820" s="2" t="s">
        <v>18</v>
      </c>
      <c r="D1820" t="s">
        <v>13</v>
      </c>
      <c r="E1820">
        <v>248500</v>
      </c>
      <c r="F1820" t="s">
        <v>50</v>
      </c>
      <c r="G1820" t="s">
        <v>58</v>
      </c>
      <c r="H1820" t="s">
        <v>16</v>
      </c>
      <c r="I1820">
        <v>4597.25</v>
      </c>
      <c r="J1820">
        <v>1838.9</v>
      </c>
      <c r="K1820">
        <v>2758.35</v>
      </c>
    </row>
    <row r="1821" spans="1:11" x14ac:dyDescent="0.25">
      <c r="A1821" t="s">
        <v>1861</v>
      </c>
      <c r="B1821" s="1">
        <v>45964.587280092594</v>
      </c>
      <c r="C1821" s="2" t="s">
        <v>39</v>
      </c>
      <c r="D1821" t="s">
        <v>19</v>
      </c>
      <c r="E1821">
        <v>114735</v>
      </c>
      <c r="F1821" t="s">
        <v>50</v>
      </c>
      <c r="G1821" t="s">
        <v>58</v>
      </c>
      <c r="H1821" t="s">
        <v>16</v>
      </c>
      <c r="I1821">
        <v>5</v>
      </c>
      <c r="J1821">
        <v>0</v>
      </c>
      <c r="K1821">
        <v>5</v>
      </c>
    </row>
    <row r="1822" spans="1:11" x14ac:dyDescent="0.25">
      <c r="A1822" t="s">
        <v>1862</v>
      </c>
      <c r="B1822" s="1">
        <v>45812.602013888885</v>
      </c>
      <c r="C1822" s="2" t="s">
        <v>29</v>
      </c>
      <c r="D1822" t="s">
        <v>33</v>
      </c>
      <c r="E1822">
        <v>90857</v>
      </c>
      <c r="F1822" t="s">
        <v>14</v>
      </c>
      <c r="G1822" t="s">
        <v>34</v>
      </c>
      <c r="H1822" t="s">
        <v>16</v>
      </c>
      <c r="I1822">
        <v>0</v>
      </c>
      <c r="J1822">
        <v>0</v>
      </c>
      <c r="K1822">
        <v>0</v>
      </c>
    </row>
    <row r="1823" spans="1:11" x14ac:dyDescent="0.25">
      <c r="A1823" t="s">
        <v>1863</v>
      </c>
      <c r="B1823" s="1">
        <v>45825.361840277779</v>
      </c>
      <c r="C1823" s="2" t="s">
        <v>18</v>
      </c>
      <c r="D1823" t="s">
        <v>19</v>
      </c>
      <c r="E1823">
        <v>140628</v>
      </c>
      <c r="F1823" t="s">
        <v>14</v>
      </c>
      <c r="G1823" t="s">
        <v>30</v>
      </c>
      <c r="H1823" t="s">
        <v>16</v>
      </c>
      <c r="I1823">
        <v>5</v>
      </c>
      <c r="J1823">
        <v>0</v>
      </c>
      <c r="K1823">
        <v>5</v>
      </c>
    </row>
    <row r="1824" spans="1:11" x14ac:dyDescent="0.25">
      <c r="A1824" t="s">
        <v>1864</v>
      </c>
      <c r="B1824" s="1">
        <v>45802.793576388889</v>
      </c>
      <c r="C1824" s="2" t="s">
        <v>18</v>
      </c>
      <c r="D1824" t="s">
        <v>45</v>
      </c>
      <c r="E1824">
        <v>146496</v>
      </c>
      <c r="F1824" t="s">
        <v>14</v>
      </c>
      <c r="G1824" t="s">
        <v>30</v>
      </c>
      <c r="H1824" t="s">
        <v>56</v>
      </c>
      <c r="I1824">
        <v>1464.96</v>
      </c>
      <c r="J1824">
        <v>0</v>
      </c>
      <c r="K1824">
        <v>1464.96</v>
      </c>
    </row>
    <row r="1825" spans="1:11" x14ac:dyDescent="0.25">
      <c r="A1825" t="s">
        <v>1865</v>
      </c>
      <c r="B1825" s="1">
        <v>45932.371481481481</v>
      </c>
      <c r="C1825" s="2" t="s">
        <v>12</v>
      </c>
      <c r="D1825" t="s">
        <v>45</v>
      </c>
      <c r="E1825">
        <v>13785</v>
      </c>
      <c r="F1825" t="s">
        <v>99</v>
      </c>
      <c r="G1825" t="s">
        <v>34</v>
      </c>
      <c r="H1825" t="s">
        <v>56</v>
      </c>
      <c r="I1825">
        <v>137.85</v>
      </c>
      <c r="J1825">
        <v>0</v>
      </c>
      <c r="K1825">
        <v>137.85</v>
      </c>
    </row>
    <row r="1826" spans="1:11" x14ac:dyDescent="0.25">
      <c r="A1826" t="s">
        <v>1866</v>
      </c>
      <c r="B1826" s="1">
        <v>46026.864189814813</v>
      </c>
      <c r="C1826" s="2" t="s">
        <v>41</v>
      </c>
      <c r="D1826" t="s">
        <v>33</v>
      </c>
      <c r="E1826">
        <v>113398</v>
      </c>
      <c r="F1826" t="s">
        <v>14</v>
      </c>
      <c r="G1826" t="s">
        <v>84</v>
      </c>
      <c r="H1826" t="s">
        <v>16</v>
      </c>
      <c r="I1826">
        <v>0</v>
      </c>
      <c r="J1826">
        <v>0</v>
      </c>
      <c r="K1826">
        <v>0</v>
      </c>
    </row>
    <row r="1827" spans="1:11" x14ac:dyDescent="0.25">
      <c r="A1827" t="s">
        <v>1867</v>
      </c>
      <c r="B1827" s="1">
        <v>45949.37736111111</v>
      </c>
      <c r="C1827" s="2" t="s">
        <v>22</v>
      </c>
      <c r="D1827" t="s">
        <v>19</v>
      </c>
      <c r="E1827">
        <v>6151</v>
      </c>
      <c r="F1827" t="s">
        <v>14</v>
      </c>
      <c r="G1827" t="s">
        <v>34</v>
      </c>
      <c r="H1827" t="s">
        <v>16</v>
      </c>
      <c r="I1827">
        <v>5</v>
      </c>
      <c r="J1827">
        <v>0</v>
      </c>
      <c r="K1827">
        <v>5</v>
      </c>
    </row>
    <row r="1828" spans="1:11" x14ac:dyDescent="0.25">
      <c r="A1828" t="s">
        <v>1868</v>
      </c>
      <c r="B1828" s="1">
        <v>45973.944212962961</v>
      </c>
      <c r="C1828" s="2" t="s">
        <v>32</v>
      </c>
      <c r="D1828" t="s">
        <v>13</v>
      </c>
      <c r="E1828">
        <v>143000</v>
      </c>
      <c r="F1828" t="s">
        <v>14</v>
      </c>
      <c r="G1828" t="s">
        <v>30</v>
      </c>
      <c r="H1828" t="s">
        <v>16</v>
      </c>
      <c r="I1828">
        <v>2645.5</v>
      </c>
      <c r="J1828">
        <v>1058.2</v>
      </c>
      <c r="K1828">
        <v>1587.3</v>
      </c>
    </row>
    <row r="1829" spans="1:11" x14ac:dyDescent="0.25">
      <c r="A1829" t="s">
        <v>1869</v>
      </c>
      <c r="B1829" s="1">
        <v>46070.053391203706</v>
      </c>
      <c r="C1829" s="2" t="s">
        <v>22</v>
      </c>
      <c r="D1829" t="s">
        <v>23</v>
      </c>
      <c r="E1829">
        <v>1451</v>
      </c>
      <c r="F1829" t="s">
        <v>14</v>
      </c>
      <c r="G1829" t="s">
        <v>58</v>
      </c>
      <c r="H1829" t="s">
        <v>16</v>
      </c>
      <c r="I1829">
        <v>0</v>
      </c>
      <c r="J1829">
        <v>0</v>
      </c>
      <c r="K1829">
        <v>0</v>
      </c>
    </row>
    <row r="1830" spans="1:11" x14ac:dyDescent="0.25">
      <c r="A1830" t="s">
        <v>1870</v>
      </c>
      <c r="B1830" s="1">
        <v>45869.282523148147</v>
      </c>
      <c r="C1830" s="2" t="s">
        <v>22</v>
      </c>
      <c r="D1830" t="s">
        <v>45</v>
      </c>
      <c r="E1830">
        <v>114491</v>
      </c>
      <c r="F1830" t="s">
        <v>14</v>
      </c>
      <c r="G1830" t="s">
        <v>15</v>
      </c>
      <c r="H1830" t="s">
        <v>46</v>
      </c>
      <c r="I1830">
        <v>1144.9100000000001</v>
      </c>
      <c r="J1830">
        <v>0</v>
      </c>
      <c r="K1830">
        <v>1144.9100000000001</v>
      </c>
    </row>
    <row r="1831" spans="1:11" x14ac:dyDescent="0.25">
      <c r="A1831" t="s">
        <v>1871</v>
      </c>
      <c r="B1831" s="1">
        <v>45864.452013888891</v>
      </c>
      <c r="C1831" s="2" t="s">
        <v>18</v>
      </c>
      <c r="D1831" t="s">
        <v>33</v>
      </c>
      <c r="E1831">
        <v>111231</v>
      </c>
      <c r="F1831" t="s">
        <v>99</v>
      </c>
      <c r="G1831" t="s">
        <v>24</v>
      </c>
      <c r="H1831" t="s">
        <v>16</v>
      </c>
      <c r="I1831">
        <v>0</v>
      </c>
      <c r="J1831">
        <v>0</v>
      </c>
      <c r="K1831">
        <v>0</v>
      </c>
    </row>
    <row r="1832" spans="1:11" x14ac:dyDescent="0.25">
      <c r="A1832" t="s">
        <v>1872</v>
      </c>
      <c r="B1832" s="1">
        <v>45928.952523148146</v>
      </c>
      <c r="C1832" s="2" t="s">
        <v>32</v>
      </c>
      <c r="D1832" t="s">
        <v>45</v>
      </c>
      <c r="E1832">
        <v>22558</v>
      </c>
      <c r="F1832" t="s">
        <v>14</v>
      </c>
      <c r="G1832" t="s">
        <v>15</v>
      </c>
      <c r="H1832" t="s">
        <v>59</v>
      </c>
      <c r="I1832">
        <v>225.58</v>
      </c>
      <c r="J1832">
        <v>0</v>
      </c>
      <c r="K1832">
        <v>225.58</v>
      </c>
    </row>
    <row r="1833" spans="1:11" x14ac:dyDescent="0.25">
      <c r="A1833" t="s">
        <v>1873</v>
      </c>
      <c r="B1833" s="1">
        <v>45794.579687500001</v>
      </c>
      <c r="C1833" s="2" t="s">
        <v>26</v>
      </c>
      <c r="D1833" t="s">
        <v>19</v>
      </c>
      <c r="E1833">
        <v>29626</v>
      </c>
      <c r="F1833" t="s">
        <v>50</v>
      </c>
      <c r="G1833" t="s">
        <v>34</v>
      </c>
      <c r="H1833" t="s">
        <v>16</v>
      </c>
      <c r="I1833">
        <v>5</v>
      </c>
      <c r="J1833">
        <v>0</v>
      </c>
      <c r="K1833">
        <v>5</v>
      </c>
    </row>
    <row r="1834" spans="1:11" x14ac:dyDescent="0.25">
      <c r="A1834" t="s">
        <v>1874</v>
      </c>
      <c r="B1834" s="1">
        <v>45870.297280092593</v>
      </c>
      <c r="C1834" s="2" t="s">
        <v>22</v>
      </c>
      <c r="D1834" t="s">
        <v>13</v>
      </c>
      <c r="E1834">
        <v>106000</v>
      </c>
      <c r="F1834" t="s">
        <v>14</v>
      </c>
      <c r="G1834" t="s">
        <v>34</v>
      </c>
      <c r="H1834" t="s">
        <v>16</v>
      </c>
      <c r="I1834">
        <v>1961</v>
      </c>
      <c r="J1834">
        <v>784.4</v>
      </c>
      <c r="K1834">
        <v>1176.5999999999999</v>
      </c>
    </row>
    <row r="1835" spans="1:11" x14ac:dyDescent="0.25">
      <c r="A1835" t="s">
        <v>1875</v>
      </c>
      <c r="B1835" s="1">
        <v>45918.083182870374</v>
      </c>
      <c r="C1835" s="2" t="s">
        <v>22</v>
      </c>
      <c r="D1835" t="s">
        <v>45</v>
      </c>
      <c r="E1835">
        <v>87459</v>
      </c>
      <c r="F1835" t="s">
        <v>14</v>
      </c>
      <c r="G1835" t="s">
        <v>27</v>
      </c>
      <c r="H1835" t="s">
        <v>46</v>
      </c>
      <c r="I1835">
        <v>874.59</v>
      </c>
      <c r="J1835">
        <v>0</v>
      </c>
      <c r="K1835">
        <v>874.59</v>
      </c>
    </row>
    <row r="1836" spans="1:11" x14ac:dyDescent="0.25">
      <c r="A1836" t="s">
        <v>1876</v>
      </c>
      <c r="B1836" s="1">
        <v>45945.910115740742</v>
      </c>
      <c r="C1836" s="2" t="s">
        <v>18</v>
      </c>
      <c r="D1836" t="s">
        <v>23</v>
      </c>
      <c r="E1836">
        <v>3475</v>
      </c>
      <c r="F1836" t="s">
        <v>50</v>
      </c>
      <c r="G1836" t="s">
        <v>58</v>
      </c>
      <c r="H1836" t="s">
        <v>16</v>
      </c>
      <c r="I1836">
        <v>0</v>
      </c>
      <c r="J1836">
        <v>0</v>
      </c>
      <c r="K1836">
        <v>0</v>
      </c>
    </row>
    <row r="1837" spans="1:11" x14ac:dyDescent="0.25">
      <c r="A1837" t="s">
        <v>1877</v>
      </c>
      <c r="B1837" s="1">
        <v>46081.836597222224</v>
      </c>
      <c r="C1837" s="2" t="s">
        <v>41</v>
      </c>
      <c r="D1837" t="s">
        <v>23</v>
      </c>
      <c r="E1837">
        <v>2358</v>
      </c>
      <c r="F1837" t="s">
        <v>14</v>
      </c>
      <c r="G1837" t="s">
        <v>27</v>
      </c>
      <c r="H1837" t="s">
        <v>16</v>
      </c>
      <c r="I1837">
        <v>0</v>
      </c>
      <c r="J1837">
        <v>0</v>
      </c>
      <c r="K1837">
        <v>0</v>
      </c>
    </row>
    <row r="1838" spans="1:11" x14ac:dyDescent="0.25">
      <c r="A1838" t="s">
        <v>1878</v>
      </c>
      <c r="B1838" s="1">
        <v>45905.79078703704</v>
      </c>
      <c r="C1838" s="2" t="s">
        <v>26</v>
      </c>
      <c r="D1838" t="s">
        <v>23</v>
      </c>
      <c r="E1838">
        <v>2797</v>
      </c>
      <c r="F1838" t="s">
        <v>14</v>
      </c>
      <c r="G1838" t="s">
        <v>34</v>
      </c>
      <c r="H1838" t="s">
        <v>16</v>
      </c>
      <c r="I1838">
        <v>0</v>
      </c>
      <c r="J1838">
        <v>0</v>
      </c>
      <c r="K1838">
        <v>0</v>
      </c>
    </row>
    <row r="1839" spans="1:11" x14ac:dyDescent="0.25">
      <c r="A1839" t="s">
        <v>1879</v>
      </c>
      <c r="B1839" s="1">
        <v>45891.855173611111</v>
      </c>
      <c r="C1839" s="2" t="s">
        <v>22</v>
      </c>
      <c r="D1839" t="s">
        <v>13</v>
      </c>
      <c r="E1839">
        <v>6500</v>
      </c>
      <c r="F1839" t="s">
        <v>14</v>
      </c>
      <c r="G1839" t="s">
        <v>58</v>
      </c>
      <c r="H1839" t="s">
        <v>16</v>
      </c>
      <c r="I1839">
        <v>120.25</v>
      </c>
      <c r="J1839">
        <v>48.1</v>
      </c>
      <c r="K1839">
        <v>72.150000000000006</v>
      </c>
    </row>
    <row r="1840" spans="1:11" x14ac:dyDescent="0.25">
      <c r="A1840" t="s">
        <v>1880</v>
      </c>
      <c r="B1840" s="1">
        <v>45987.8671875</v>
      </c>
      <c r="C1840" s="2" t="s">
        <v>18</v>
      </c>
      <c r="D1840" t="s">
        <v>33</v>
      </c>
      <c r="E1840">
        <v>54320</v>
      </c>
      <c r="F1840" t="s">
        <v>14</v>
      </c>
      <c r="G1840" t="s">
        <v>27</v>
      </c>
      <c r="H1840" t="s">
        <v>16</v>
      </c>
      <c r="I1840">
        <v>0</v>
      </c>
      <c r="J1840">
        <v>0</v>
      </c>
      <c r="K1840">
        <v>0</v>
      </c>
    </row>
    <row r="1841" spans="1:11" x14ac:dyDescent="0.25">
      <c r="A1841" t="s">
        <v>1881</v>
      </c>
      <c r="B1841" s="1">
        <v>45882.619687500002</v>
      </c>
      <c r="C1841" s="2" t="s">
        <v>29</v>
      </c>
      <c r="D1841" t="s">
        <v>23</v>
      </c>
      <c r="E1841">
        <v>2489</v>
      </c>
      <c r="F1841" t="s">
        <v>14</v>
      </c>
      <c r="G1841" t="s">
        <v>30</v>
      </c>
      <c r="H1841" t="s">
        <v>16</v>
      </c>
      <c r="I1841">
        <v>0</v>
      </c>
      <c r="J1841">
        <v>0</v>
      </c>
      <c r="K1841">
        <v>0</v>
      </c>
    </row>
    <row r="1842" spans="1:11" x14ac:dyDescent="0.25">
      <c r="A1842" t="s">
        <v>1882</v>
      </c>
      <c r="B1842" s="1">
        <v>46090.90960648148</v>
      </c>
      <c r="C1842" s="2" t="s">
        <v>39</v>
      </c>
      <c r="D1842" t="s">
        <v>13</v>
      </c>
      <c r="E1842">
        <v>131000</v>
      </c>
      <c r="F1842" t="s">
        <v>14</v>
      </c>
      <c r="G1842" t="s">
        <v>34</v>
      </c>
      <c r="H1842" t="s">
        <v>16</v>
      </c>
      <c r="I1842">
        <v>2423.5</v>
      </c>
      <c r="J1842">
        <v>969.4</v>
      </c>
      <c r="K1842">
        <v>1454.1</v>
      </c>
    </row>
    <row r="1843" spans="1:11" x14ac:dyDescent="0.25">
      <c r="A1843" t="s">
        <v>1883</v>
      </c>
      <c r="B1843" s="1">
        <v>45864.391840277778</v>
      </c>
      <c r="C1843" s="2" t="s">
        <v>12</v>
      </c>
      <c r="D1843" t="s">
        <v>19</v>
      </c>
      <c r="E1843">
        <v>27857</v>
      </c>
      <c r="F1843" t="s">
        <v>14</v>
      </c>
      <c r="G1843" t="s">
        <v>34</v>
      </c>
      <c r="H1843" t="s">
        <v>16</v>
      </c>
      <c r="I1843">
        <v>5</v>
      </c>
      <c r="J1843">
        <v>0</v>
      </c>
      <c r="K1843">
        <v>5</v>
      </c>
    </row>
    <row r="1844" spans="1:11" x14ac:dyDescent="0.25">
      <c r="A1844" t="s">
        <v>1884</v>
      </c>
      <c r="B1844" s="1">
        <v>45974.838993055557</v>
      </c>
      <c r="C1844" s="2" t="s">
        <v>32</v>
      </c>
      <c r="D1844" t="s">
        <v>45</v>
      </c>
      <c r="E1844">
        <v>69475</v>
      </c>
      <c r="F1844" t="s">
        <v>14</v>
      </c>
      <c r="G1844" t="s">
        <v>34</v>
      </c>
      <c r="H1844" t="s">
        <v>56</v>
      </c>
      <c r="I1844">
        <v>694.75</v>
      </c>
      <c r="J1844">
        <v>0</v>
      </c>
      <c r="K1844">
        <v>694.75</v>
      </c>
    </row>
    <row r="1845" spans="1:11" x14ac:dyDescent="0.25">
      <c r="A1845" t="s">
        <v>1885</v>
      </c>
      <c r="B1845" s="1">
        <v>45959.108182870368</v>
      </c>
      <c r="C1845" s="2" t="s">
        <v>26</v>
      </c>
      <c r="D1845" t="s">
        <v>13</v>
      </c>
      <c r="E1845">
        <v>119500</v>
      </c>
      <c r="F1845" t="s">
        <v>14</v>
      </c>
      <c r="G1845" t="s">
        <v>30</v>
      </c>
      <c r="H1845" t="s">
        <v>16</v>
      </c>
      <c r="I1845">
        <v>2210.75</v>
      </c>
      <c r="J1845">
        <v>884.3</v>
      </c>
      <c r="K1845">
        <v>1326.45</v>
      </c>
    </row>
    <row r="1846" spans="1:11" x14ac:dyDescent="0.25">
      <c r="A1846" t="s">
        <v>1886</v>
      </c>
      <c r="B1846" s="1">
        <v>45988.435312499998</v>
      </c>
      <c r="C1846" s="2" t="s">
        <v>22</v>
      </c>
      <c r="D1846" t="s">
        <v>45</v>
      </c>
      <c r="E1846">
        <v>12548</v>
      </c>
      <c r="F1846" t="s">
        <v>50</v>
      </c>
      <c r="G1846" t="s">
        <v>58</v>
      </c>
      <c r="H1846" t="s">
        <v>46</v>
      </c>
      <c r="I1846">
        <v>125.48</v>
      </c>
      <c r="J1846">
        <v>0</v>
      </c>
      <c r="K1846">
        <v>125.48</v>
      </c>
    </row>
    <row r="1847" spans="1:11" x14ac:dyDescent="0.25">
      <c r="A1847" t="s">
        <v>1887</v>
      </c>
      <c r="B1847" s="1">
        <v>45797.518553240741</v>
      </c>
      <c r="C1847" s="2" t="s">
        <v>39</v>
      </c>
      <c r="D1847" t="s">
        <v>13</v>
      </c>
      <c r="E1847">
        <v>174500</v>
      </c>
      <c r="F1847" t="s">
        <v>14</v>
      </c>
      <c r="G1847" t="s">
        <v>51</v>
      </c>
      <c r="H1847" t="s">
        <v>16</v>
      </c>
      <c r="I1847">
        <v>3228.25</v>
      </c>
      <c r="J1847">
        <v>1291.3</v>
      </c>
      <c r="K1847">
        <v>1936.95</v>
      </c>
    </row>
    <row r="1848" spans="1:11" x14ac:dyDescent="0.25">
      <c r="A1848" t="s">
        <v>1888</v>
      </c>
      <c r="B1848" s="1">
        <v>46027.981446759259</v>
      </c>
      <c r="C1848" s="2" t="s">
        <v>22</v>
      </c>
      <c r="D1848" t="s">
        <v>33</v>
      </c>
      <c r="E1848">
        <v>21579</v>
      </c>
      <c r="F1848" t="s">
        <v>14</v>
      </c>
      <c r="G1848" t="s">
        <v>34</v>
      </c>
      <c r="H1848" t="s">
        <v>16</v>
      </c>
      <c r="I1848">
        <v>0</v>
      </c>
      <c r="J1848">
        <v>0</v>
      </c>
      <c r="K1848">
        <v>0</v>
      </c>
    </row>
    <row r="1849" spans="1:11" x14ac:dyDescent="0.25">
      <c r="A1849" t="s">
        <v>1889</v>
      </c>
      <c r="B1849" s="1">
        <v>46126.817326388889</v>
      </c>
      <c r="C1849" s="2" t="s">
        <v>18</v>
      </c>
      <c r="D1849" t="s">
        <v>23</v>
      </c>
      <c r="E1849">
        <v>4815</v>
      </c>
      <c r="F1849" t="s">
        <v>50</v>
      </c>
      <c r="G1849" t="s">
        <v>27</v>
      </c>
      <c r="H1849" t="s">
        <v>16</v>
      </c>
      <c r="I1849">
        <v>0</v>
      </c>
      <c r="J1849">
        <v>0</v>
      </c>
      <c r="K1849">
        <v>0</v>
      </c>
    </row>
    <row r="1850" spans="1:11" x14ac:dyDescent="0.25">
      <c r="A1850" t="s">
        <v>1890</v>
      </c>
      <c r="B1850" s="1">
        <v>45887.172662037039</v>
      </c>
      <c r="C1850" s="2" t="s">
        <v>26</v>
      </c>
      <c r="D1850" t="s">
        <v>45</v>
      </c>
      <c r="E1850">
        <v>118942</v>
      </c>
      <c r="F1850" t="s">
        <v>14</v>
      </c>
      <c r="G1850" t="s">
        <v>34</v>
      </c>
      <c r="H1850" t="s">
        <v>56</v>
      </c>
      <c r="I1850">
        <v>1189.42</v>
      </c>
      <c r="J1850">
        <v>0</v>
      </c>
      <c r="K1850">
        <v>1189.42</v>
      </c>
    </row>
    <row r="1851" spans="1:11" x14ac:dyDescent="0.25">
      <c r="A1851" t="s">
        <v>1891</v>
      </c>
      <c r="B1851" s="1">
        <v>45782.290729166663</v>
      </c>
      <c r="C1851" s="2" t="s">
        <v>26</v>
      </c>
      <c r="D1851" t="s">
        <v>23</v>
      </c>
      <c r="E1851">
        <v>3842</v>
      </c>
      <c r="F1851" t="s">
        <v>14</v>
      </c>
      <c r="G1851" t="s">
        <v>20</v>
      </c>
      <c r="H1851" t="s">
        <v>16</v>
      </c>
      <c r="I1851">
        <v>0</v>
      </c>
      <c r="J1851">
        <v>0</v>
      </c>
      <c r="K1851">
        <v>0</v>
      </c>
    </row>
    <row r="1852" spans="1:11" x14ac:dyDescent="0.25">
      <c r="A1852" t="s">
        <v>1892</v>
      </c>
      <c r="B1852" s="1">
        <v>45893.323935185188</v>
      </c>
      <c r="C1852" s="2" t="s">
        <v>39</v>
      </c>
      <c r="D1852" t="s">
        <v>33</v>
      </c>
      <c r="E1852">
        <v>47620</v>
      </c>
      <c r="F1852" t="s">
        <v>14</v>
      </c>
      <c r="G1852" t="s">
        <v>20</v>
      </c>
      <c r="H1852" t="s">
        <v>16</v>
      </c>
      <c r="I1852">
        <v>0</v>
      </c>
      <c r="J1852">
        <v>0</v>
      </c>
      <c r="K1852">
        <v>0</v>
      </c>
    </row>
    <row r="1853" spans="1:11" x14ac:dyDescent="0.25">
      <c r="A1853" t="s">
        <v>1893</v>
      </c>
      <c r="B1853" s="1">
        <v>45871.577662037038</v>
      </c>
      <c r="C1853" s="2" t="s">
        <v>12</v>
      </c>
      <c r="D1853" t="s">
        <v>45</v>
      </c>
      <c r="E1853">
        <v>136996</v>
      </c>
      <c r="F1853" t="s">
        <v>14</v>
      </c>
      <c r="G1853" t="s">
        <v>24</v>
      </c>
      <c r="H1853" t="s">
        <v>59</v>
      </c>
      <c r="I1853">
        <v>1369.96</v>
      </c>
      <c r="J1853">
        <v>0</v>
      </c>
      <c r="K1853">
        <v>1369.96</v>
      </c>
    </row>
    <row r="1854" spans="1:11" x14ac:dyDescent="0.25">
      <c r="A1854" t="s">
        <v>1894</v>
      </c>
      <c r="B1854" s="1">
        <v>45941.346134259256</v>
      </c>
      <c r="C1854" s="2" t="s">
        <v>39</v>
      </c>
      <c r="D1854" t="s">
        <v>45</v>
      </c>
      <c r="E1854">
        <v>25713</v>
      </c>
      <c r="F1854" t="s">
        <v>99</v>
      </c>
      <c r="G1854" t="s">
        <v>30</v>
      </c>
      <c r="H1854" t="s">
        <v>56</v>
      </c>
      <c r="I1854">
        <v>257.13</v>
      </c>
      <c r="J1854">
        <v>0</v>
      </c>
      <c r="K1854">
        <v>257.13</v>
      </c>
    </row>
    <row r="1855" spans="1:11" x14ac:dyDescent="0.25">
      <c r="A1855" t="s">
        <v>1895</v>
      </c>
      <c r="B1855" s="1">
        <v>46098.13858796296</v>
      </c>
      <c r="C1855" s="2" t="s">
        <v>12</v>
      </c>
      <c r="D1855" t="s">
        <v>23</v>
      </c>
      <c r="E1855">
        <v>930</v>
      </c>
      <c r="F1855" t="s">
        <v>14</v>
      </c>
      <c r="G1855" t="s">
        <v>51</v>
      </c>
      <c r="H1855" t="s">
        <v>16</v>
      </c>
      <c r="I1855">
        <v>0</v>
      </c>
      <c r="J1855">
        <v>0</v>
      </c>
      <c r="K1855">
        <v>0</v>
      </c>
    </row>
    <row r="1856" spans="1:11" x14ac:dyDescent="0.25">
      <c r="A1856" t="s">
        <v>1896</v>
      </c>
      <c r="B1856" s="1">
        <v>46130.737430555557</v>
      </c>
      <c r="C1856" s="2" t="s">
        <v>29</v>
      </c>
      <c r="D1856" t="s">
        <v>23</v>
      </c>
      <c r="E1856">
        <v>3922</v>
      </c>
      <c r="F1856" t="s">
        <v>14</v>
      </c>
      <c r="G1856" t="s">
        <v>58</v>
      </c>
      <c r="H1856" t="s">
        <v>16</v>
      </c>
      <c r="I1856">
        <v>0</v>
      </c>
      <c r="J1856">
        <v>0</v>
      </c>
      <c r="K1856">
        <v>0</v>
      </c>
    </row>
    <row r="1857" spans="1:11" x14ac:dyDescent="0.25">
      <c r="A1857" t="s">
        <v>1897</v>
      </c>
      <c r="B1857" s="1">
        <v>45840.575601851851</v>
      </c>
      <c r="C1857" s="2" t="s">
        <v>12</v>
      </c>
      <c r="D1857" t="s">
        <v>33</v>
      </c>
      <c r="E1857">
        <v>58871</v>
      </c>
      <c r="F1857" t="s">
        <v>14</v>
      </c>
      <c r="G1857" t="s">
        <v>34</v>
      </c>
      <c r="H1857" t="s">
        <v>16</v>
      </c>
      <c r="I1857">
        <v>0</v>
      </c>
      <c r="J1857">
        <v>0</v>
      </c>
      <c r="K1857">
        <v>0</v>
      </c>
    </row>
    <row r="1858" spans="1:11" x14ac:dyDescent="0.25">
      <c r="A1858" t="s">
        <v>1898</v>
      </c>
      <c r="B1858" s="1">
        <v>45963.221076388887</v>
      </c>
      <c r="C1858" s="2" t="s">
        <v>26</v>
      </c>
      <c r="D1858" t="s">
        <v>33</v>
      </c>
      <c r="E1858">
        <v>26781</v>
      </c>
      <c r="F1858" t="s">
        <v>14</v>
      </c>
      <c r="G1858" t="s">
        <v>30</v>
      </c>
      <c r="H1858" t="s">
        <v>16</v>
      </c>
      <c r="I1858">
        <v>0</v>
      </c>
      <c r="J1858">
        <v>0</v>
      </c>
      <c r="K1858">
        <v>0</v>
      </c>
    </row>
    <row r="1859" spans="1:11" x14ac:dyDescent="0.25">
      <c r="A1859" t="s">
        <v>1899</v>
      </c>
      <c r="B1859" s="1">
        <v>45965.386608796296</v>
      </c>
      <c r="C1859" s="2" t="s">
        <v>29</v>
      </c>
      <c r="D1859" t="s">
        <v>33</v>
      </c>
      <c r="E1859">
        <v>47893</v>
      </c>
      <c r="F1859" t="s">
        <v>14</v>
      </c>
      <c r="G1859" t="s">
        <v>34</v>
      </c>
      <c r="H1859" t="s">
        <v>16</v>
      </c>
      <c r="I1859">
        <v>0</v>
      </c>
      <c r="J1859">
        <v>0</v>
      </c>
      <c r="K1859">
        <v>0</v>
      </c>
    </row>
    <row r="1860" spans="1:11" x14ac:dyDescent="0.25">
      <c r="A1860" t="s">
        <v>1900</v>
      </c>
      <c r="B1860" s="1">
        <v>45916.58866898148</v>
      </c>
      <c r="C1860" s="2" t="s">
        <v>29</v>
      </c>
      <c r="D1860" t="s">
        <v>23</v>
      </c>
      <c r="E1860">
        <v>295</v>
      </c>
      <c r="F1860" t="s">
        <v>14</v>
      </c>
      <c r="G1860" t="s">
        <v>24</v>
      </c>
      <c r="H1860" t="s">
        <v>16</v>
      </c>
      <c r="I1860">
        <v>0</v>
      </c>
      <c r="J1860">
        <v>0</v>
      </c>
      <c r="K1860">
        <v>0</v>
      </c>
    </row>
    <row r="1861" spans="1:11" x14ac:dyDescent="0.25">
      <c r="A1861" t="s">
        <v>1901</v>
      </c>
      <c r="B1861" s="1">
        <v>46052.962800925925</v>
      </c>
      <c r="C1861" s="2" t="s">
        <v>32</v>
      </c>
      <c r="D1861" t="s">
        <v>19</v>
      </c>
      <c r="E1861">
        <v>125235</v>
      </c>
      <c r="F1861" t="s">
        <v>50</v>
      </c>
      <c r="G1861" t="s">
        <v>30</v>
      </c>
      <c r="H1861" t="s">
        <v>16</v>
      </c>
      <c r="I1861">
        <v>5</v>
      </c>
      <c r="J1861">
        <v>0</v>
      </c>
      <c r="K1861">
        <v>5</v>
      </c>
    </row>
    <row r="1862" spans="1:11" x14ac:dyDescent="0.25">
      <c r="A1862" t="s">
        <v>1902</v>
      </c>
      <c r="B1862" s="1">
        <v>45833.851504629631</v>
      </c>
      <c r="C1862" s="2" t="s">
        <v>32</v>
      </c>
      <c r="D1862" t="s">
        <v>13</v>
      </c>
      <c r="E1862">
        <v>234000</v>
      </c>
      <c r="F1862" t="s">
        <v>14</v>
      </c>
      <c r="G1862" t="s">
        <v>30</v>
      </c>
      <c r="H1862" t="s">
        <v>16</v>
      </c>
      <c r="I1862">
        <v>4329</v>
      </c>
      <c r="J1862">
        <v>1731.6</v>
      </c>
      <c r="K1862">
        <v>2597.4</v>
      </c>
    </row>
    <row r="1863" spans="1:11" x14ac:dyDescent="0.25">
      <c r="A1863" t="s">
        <v>1903</v>
      </c>
      <c r="B1863" s="1">
        <v>45930.778923611113</v>
      </c>
      <c r="C1863" s="2" t="s">
        <v>41</v>
      </c>
      <c r="D1863" t="s">
        <v>23</v>
      </c>
      <c r="E1863">
        <v>3358</v>
      </c>
      <c r="F1863" t="s">
        <v>50</v>
      </c>
      <c r="G1863" t="s">
        <v>27</v>
      </c>
      <c r="H1863" t="s">
        <v>16</v>
      </c>
      <c r="I1863">
        <v>0</v>
      </c>
      <c r="J1863">
        <v>0</v>
      </c>
      <c r="K1863">
        <v>0</v>
      </c>
    </row>
    <row r="1864" spans="1:11" x14ac:dyDescent="0.25">
      <c r="A1864" t="s">
        <v>1904</v>
      </c>
      <c r="B1864" s="1">
        <v>45788.764745370368</v>
      </c>
      <c r="C1864" s="2" t="s">
        <v>12</v>
      </c>
      <c r="D1864" t="s">
        <v>33</v>
      </c>
      <c r="E1864">
        <v>61954</v>
      </c>
      <c r="F1864" t="s">
        <v>99</v>
      </c>
      <c r="G1864" t="s">
        <v>58</v>
      </c>
      <c r="H1864" t="s">
        <v>16</v>
      </c>
      <c r="I1864">
        <v>0</v>
      </c>
      <c r="J1864">
        <v>0</v>
      </c>
      <c r="K1864">
        <v>0</v>
      </c>
    </row>
    <row r="1865" spans="1:11" x14ac:dyDescent="0.25">
      <c r="A1865" t="s">
        <v>1905</v>
      </c>
      <c r="B1865" s="1">
        <v>45825.706956018519</v>
      </c>
      <c r="C1865" s="2" t="s">
        <v>41</v>
      </c>
      <c r="D1865" t="s">
        <v>13</v>
      </c>
      <c r="E1865">
        <v>61500</v>
      </c>
      <c r="F1865" t="s">
        <v>14</v>
      </c>
      <c r="G1865" t="s">
        <v>24</v>
      </c>
      <c r="H1865" t="s">
        <v>16</v>
      </c>
      <c r="I1865">
        <v>1137.75</v>
      </c>
      <c r="J1865">
        <v>455.1</v>
      </c>
      <c r="K1865">
        <v>682.65</v>
      </c>
    </row>
    <row r="1866" spans="1:11" x14ac:dyDescent="0.25">
      <c r="A1866" t="s">
        <v>1906</v>
      </c>
      <c r="B1866" s="1">
        <v>45808.749895833331</v>
      </c>
      <c r="C1866" s="2" t="s">
        <v>39</v>
      </c>
      <c r="D1866" t="s">
        <v>13</v>
      </c>
      <c r="E1866">
        <v>176000</v>
      </c>
      <c r="F1866" t="s">
        <v>50</v>
      </c>
      <c r="G1866" t="s">
        <v>84</v>
      </c>
      <c r="H1866" t="s">
        <v>16</v>
      </c>
      <c r="I1866">
        <v>3256</v>
      </c>
      <c r="J1866">
        <v>1302.4000000000001</v>
      </c>
      <c r="K1866">
        <v>1953.6</v>
      </c>
    </row>
    <row r="1867" spans="1:11" x14ac:dyDescent="0.25">
      <c r="A1867" t="s">
        <v>1907</v>
      </c>
      <c r="B1867" s="1">
        <v>46089.55232638889</v>
      </c>
      <c r="C1867" s="2" t="s">
        <v>32</v>
      </c>
      <c r="D1867" t="s">
        <v>13</v>
      </c>
      <c r="E1867">
        <v>5000</v>
      </c>
      <c r="F1867" t="s">
        <v>14</v>
      </c>
      <c r="G1867" t="s">
        <v>34</v>
      </c>
      <c r="H1867" t="s">
        <v>16</v>
      </c>
      <c r="I1867">
        <v>92.5</v>
      </c>
      <c r="J1867">
        <v>37</v>
      </c>
      <c r="K1867">
        <v>55.5</v>
      </c>
    </row>
    <row r="1868" spans="1:11" x14ac:dyDescent="0.25">
      <c r="A1868" t="s">
        <v>1908</v>
      </c>
      <c r="B1868" s="1">
        <v>45800.543287037035</v>
      </c>
      <c r="C1868" s="2" t="s">
        <v>29</v>
      </c>
      <c r="D1868" t="s">
        <v>23</v>
      </c>
      <c r="E1868">
        <v>915</v>
      </c>
      <c r="F1868" t="s">
        <v>14</v>
      </c>
      <c r="G1868" t="s">
        <v>34</v>
      </c>
      <c r="H1868" t="s">
        <v>16</v>
      </c>
      <c r="I1868">
        <v>0</v>
      </c>
      <c r="J1868">
        <v>0</v>
      </c>
      <c r="K1868">
        <v>0</v>
      </c>
    </row>
    <row r="1869" spans="1:11" x14ac:dyDescent="0.25">
      <c r="A1869" t="s">
        <v>1909</v>
      </c>
      <c r="B1869" s="1">
        <v>45981.092939814815</v>
      </c>
      <c r="C1869" s="2" t="s">
        <v>29</v>
      </c>
      <c r="D1869" t="s">
        <v>19</v>
      </c>
      <c r="E1869">
        <v>83436</v>
      </c>
      <c r="F1869" t="s">
        <v>99</v>
      </c>
      <c r="G1869" t="s">
        <v>58</v>
      </c>
      <c r="H1869" t="s">
        <v>16</v>
      </c>
      <c r="I1869">
        <v>5</v>
      </c>
      <c r="J1869">
        <v>0</v>
      </c>
      <c r="K1869">
        <v>5</v>
      </c>
    </row>
    <row r="1870" spans="1:11" x14ac:dyDescent="0.25">
      <c r="A1870" t="s">
        <v>1910</v>
      </c>
      <c r="B1870" s="1">
        <v>45834.810243055559</v>
      </c>
      <c r="C1870" s="2" t="s">
        <v>18</v>
      </c>
      <c r="D1870" t="s">
        <v>19</v>
      </c>
      <c r="E1870">
        <v>92093</v>
      </c>
      <c r="F1870" t="s">
        <v>14</v>
      </c>
      <c r="G1870" t="s">
        <v>34</v>
      </c>
      <c r="H1870" t="s">
        <v>16</v>
      </c>
      <c r="I1870">
        <v>5</v>
      </c>
      <c r="J1870">
        <v>0</v>
      </c>
      <c r="K1870">
        <v>5</v>
      </c>
    </row>
    <row r="1871" spans="1:11" x14ac:dyDescent="0.25">
      <c r="A1871" t="s">
        <v>1911</v>
      </c>
      <c r="B1871" s="1">
        <v>46022.06417824074</v>
      </c>
      <c r="C1871" s="2" t="s">
        <v>39</v>
      </c>
      <c r="D1871" t="s">
        <v>19</v>
      </c>
      <c r="E1871">
        <v>137193</v>
      </c>
      <c r="F1871" t="s">
        <v>50</v>
      </c>
      <c r="G1871" t="s">
        <v>34</v>
      </c>
      <c r="H1871" t="s">
        <v>16</v>
      </c>
      <c r="I1871">
        <v>5</v>
      </c>
      <c r="J1871">
        <v>0</v>
      </c>
      <c r="K1871">
        <v>5</v>
      </c>
    </row>
    <row r="1872" spans="1:11" x14ac:dyDescent="0.25">
      <c r="A1872" t="s">
        <v>1912</v>
      </c>
      <c r="B1872" s="1">
        <v>46089.972650462965</v>
      </c>
      <c r="C1872" s="2" t="s">
        <v>26</v>
      </c>
      <c r="D1872" t="s">
        <v>13</v>
      </c>
      <c r="E1872">
        <v>231000</v>
      </c>
      <c r="F1872" t="s">
        <v>14</v>
      </c>
      <c r="G1872" t="s">
        <v>34</v>
      </c>
      <c r="H1872" t="s">
        <v>16</v>
      </c>
      <c r="I1872">
        <v>4273.5</v>
      </c>
      <c r="J1872">
        <v>1709.4</v>
      </c>
      <c r="K1872">
        <v>2564.1</v>
      </c>
    </row>
    <row r="1873" spans="1:11" x14ac:dyDescent="0.25">
      <c r="A1873" t="s">
        <v>1913</v>
      </c>
      <c r="B1873" s="1">
        <v>46009.524050925924</v>
      </c>
      <c r="C1873" s="2" t="s">
        <v>18</v>
      </c>
      <c r="D1873" t="s">
        <v>19</v>
      </c>
      <c r="E1873">
        <v>67096</v>
      </c>
      <c r="F1873" t="s">
        <v>14</v>
      </c>
      <c r="G1873" t="s">
        <v>34</v>
      </c>
      <c r="H1873" t="s">
        <v>16</v>
      </c>
      <c r="I1873">
        <v>5</v>
      </c>
      <c r="J1873">
        <v>0</v>
      </c>
      <c r="K1873">
        <v>5</v>
      </c>
    </row>
    <row r="1874" spans="1:11" x14ac:dyDescent="0.25">
      <c r="A1874" t="s">
        <v>1914</v>
      </c>
      <c r="B1874" s="1">
        <v>46092.894988425927</v>
      </c>
      <c r="C1874" s="2" t="s">
        <v>22</v>
      </c>
      <c r="D1874" t="s">
        <v>19</v>
      </c>
      <c r="E1874">
        <v>6065</v>
      </c>
      <c r="F1874" t="s">
        <v>14</v>
      </c>
      <c r="G1874" t="s">
        <v>51</v>
      </c>
      <c r="H1874" t="s">
        <v>16</v>
      </c>
      <c r="I1874">
        <v>5</v>
      </c>
      <c r="J1874">
        <v>0</v>
      </c>
      <c r="K1874">
        <v>5</v>
      </c>
    </row>
    <row r="1875" spans="1:11" x14ac:dyDescent="0.25">
      <c r="A1875" t="s">
        <v>1915</v>
      </c>
      <c r="B1875" s="1">
        <v>45882.391932870371</v>
      </c>
      <c r="C1875" s="2" t="s">
        <v>41</v>
      </c>
      <c r="D1875" t="s">
        <v>23</v>
      </c>
      <c r="E1875">
        <v>536</v>
      </c>
      <c r="F1875" t="s">
        <v>14</v>
      </c>
      <c r="G1875" t="s">
        <v>34</v>
      </c>
      <c r="H1875" t="s">
        <v>16</v>
      </c>
      <c r="I1875">
        <v>0</v>
      </c>
      <c r="J1875">
        <v>0</v>
      </c>
      <c r="K1875">
        <v>0</v>
      </c>
    </row>
    <row r="1876" spans="1:11" x14ac:dyDescent="0.25">
      <c r="A1876" t="s">
        <v>1916</v>
      </c>
      <c r="B1876" s="1">
        <v>45829.567129629628</v>
      </c>
      <c r="C1876" s="2" t="s">
        <v>29</v>
      </c>
      <c r="D1876" t="s">
        <v>33</v>
      </c>
      <c r="E1876">
        <v>82580</v>
      </c>
      <c r="F1876" t="s">
        <v>14</v>
      </c>
      <c r="G1876" t="s">
        <v>51</v>
      </c>
      <c r="H1876" t="s">
        <v>16</v>
      </c>
      <c r="I1876">
        <v>0</v>
      </c>
      <c r="J1876">
        <v>0</v>
      </c>
      <c r="K1876">
        <v>0</v>
      </c>
    </row>
    <row r="1877" spans="1:11" x14ac:dyDescent="0.25">
      <c r="A1877" t="s">
        <v>1917</v>
      </c>
      <c r="B1877" s="1">
        <v>45918.004328703704</v>
      </c>
      <c r="C1877" s="2" t="s">
        <v>26</v>
      </c>
      <c r="D1877" t="s">
        <v>23</v>
      </c>
      <c r="E1877">
        <v>2390</v>
      </c>
      <c r="F1877" t="s">
        <v>50</v>
      </c>
      <c r="G1877" t="s">
        <v>58</v>
      </c>
      <c r="H1877" t="s">
        <v>16</v>
      </c>
      <c r="I1877">
        <v>0</v>
      </c>
      <c r="J1877">
        <v>0</v>
      </c>
      <c r="K1877">
        <v>0</v>
      </c>
    </row>
    <row r="1878" spans="1:11" x14ac:dyDescent="0.25">
      <c r="A1878" t="s">
        <v>1918</v>
      </c>
      <c r="B1878" s="1">
        <v>46060.318495370368</v>
      </c>
      <c r="C1878" s="2" t="s">
        <v>41</v>
      </c>
      <c r="D1878" t="s">
        <v>13</v>
      </c>
      <c r="E1878">
        <v>162500</v>
      </c>
      <c r="F1878" t="s">
        <v>14</v>
      </c>
      <c r="G1878" t="s">
        <v>27</v>
      </c>
      <c r="H1878" t="s">
        <v>16</v>
      </c>
      <c r="I1878">
        <v>3006.25</v>
      </c>
      <c r="J1878">
        <v>1202.5</v>
      </c>
      <c r="K1878">
        <v>1803.75</v>
      </c>
    </row>
    <row r="1879" spans="1:11" x14ac:dyDescent="0.25">
      <c r="A1879" t="s">
        <v>1919</v>
      </c>
      <c r="B1879" s="1">
        <v>45977.249641203707</v>
      </c>
      <c r="C1879" s="2" t="s">
        <v>41</v>
      </c>
      <c r="D1879" t="s">
        <v>45</v>
      </c>
      <c r="E1879">
        <v>88656</v>
      </c>
      <c r="F1879" t="s">
        <v>50</v>
      </c>
      <c r="G1879" t="s">
        <v>30</v>
      </c>
      <c r="H1879" t="s">
        <v>178</v>
      </c>
      <c r="I1879">
        <v>886.56</v>
      </c>
      <c r="J1879">
        <v>0</v>
      </c>
      <c r="K1879">
        <v>886.56</v>
      </c>
    </row>
    <row r="1880" spans="1:11" x14ac:dyDescent="0.25">
      <c r="A1880" t="s">
        <v>1920</v>
      </c>
      <c r="B1880" s="1">
        <v>45786.125601851854</v>
      </c>
      <c r="C1880" s="2" t="s">
        <v>12</v>
      </c>
      <c r="D1880" t="s">
        <v>23</v>
      </c>
      <c r="E1880">
        <v>3339</v>
      </c>
      <c r="F1880" t="s">
        <v>14</v>
      </c>
      <c r="G1880" t="s">
        <v>27</v>
      </c>
      <c r="H1880" t="s">
        <v>16</v>
      </c>
      <c r="I1880">
        <v>0</v>
      </c>
      <c r="J1880">
        <v>0</v>
      </c>
      <c r="K1880">
        <v>0</v>
      </c>
    </row>
    <row r="1881" spans="1:11" x14ac:dyDescent="0.25">
      <c r="A1881" t="s">
        <v>1921</v>
      </c>
      <c r="B1881" s="1">
        <v>45820.875104166669</v>
      </c>
      <c r="C1881" s="2" t="s">
        <v>29</v>
      </c>
      <c r="D1881" t="s">
        <v>33</v>
      </c>
      <c r="E1881">
        <v>91464</v>
      </c>
      <c r="F1881" t="s">
        <v>50</v>
      </c>
      <c r="G1881" t="s">
        <v>34</v>
      </c>
      <c r="H1881" t="s">
        <v>16</v>
      </c>
      <c r="I1881">
        <v>0</v>
      </c>
      <c r="J1881">
        <v>0</v>
      </c>
      <c r="K1881">
        <v>0</v>
      </c>
    </row>
    <row r="1882" spans="1:11" x14ac:dyDescent="0.25">
      <c r="A1882" t="s">
        <v>1922</v>
      </c>
      <c r="B1882" s="1">
        <v>46084.392442129632</v>
      </c>
      <c r="C1882" s="2" t="s">
        <v>29</v>
      </c>
      <c r="D1882" t="s">
        <v>13</v>
      </c>
      <c r="E1882">
        <v>18500</v>
      </c>
      <c r="F1882" t="s">
        <v>14</v>
      </c>
      <c r="G1882" t="s">
        <v>24</v>
      </c>
      <c r="H1882" t="s">
        <v>16</v>
      </c>
      <c r="I1882">
        <v>342.25</v>
      </c>
      <c r="J1882">
        <v>136.9</v>
      </c>
      <c r="K1882">
        <v>205.35</v>
      </c>
    </row>
    <row r="1883" spans="1:11" x14ac:dyDescent="0.25">
      <c r="A1883" t="s">
        <v>1923</v>
      </c>
      <c r="B1883" s="1">
        <v>45816.607187499998</v>
      </c>
      <c r="C1883" s="2" t="s">
        <v>32</v>
      </c>
      <c r="D1883" t="s">
        <v>23</v>
      </c>
      <c r="E1883">
        <v>3280</v>
      </c>
      <c r="F1883" t="s">
        <v>14</v>
      </c>
      <c r="G1883" t="s">
        <v>84</v>
      </c>
      <c r="H1883" t="s">
        <v>16</v>
      </c>
      <c r="I1883">
        <v>0</v>
      </c>
      <c r="J1883">
        <v>0</v>
      </c>
      <c r="K1883">
        <v>0</v>
      </c>
    </row>
    <row r="1884" spans="1:11" x14ac:dyDescent="0.25">
      <c r="A1884" t="s">
        <v>1924</v>
      </c>
      <c r="B1884" s="1">
        <v>46094.15053240741</v>
      </c>
      <c r="C1884" s="2" t="s">
        <v>26</v>
      </c>
      <c r="D1884" t="s">
        <v>45</v>
      </c>
      <c r="E1884">
        <v>66236</v>
      </c>
      <c r="F1884" t="s">
        <v>14</v>
      </c>
      <c r="G1884" t="s">
        <v>30</v>
      </c>
      <c r="H1884" t="s">
        <v>71</v>
      </c>
      <c r="I1884">
        <v>662.36</v>
      </c>
      <c r="J1884">
        <v>0</v>
      </c>
      <c r="K1884">
        <v>662.36</v>
      </c>
    </row>
    <row r="1885" spans="1:11" x14ac:dyDescent="0.25">
      <c r="A1885" t="s">
        <v>1925</v>
      </c>
      <c r="B1885" s="1">
        <v>45886.119618055556</v>
      </c>
      <c r="C1885" s="2" t="s">
        <v>39</v>
      </c>
      <c r="D1885" t="s">
        <v>45</v>
      </c>
      <c r="E1885">
        <v>67198</v>
      </c>
      <c r="F1885" t="s">
        <v>14</v>
      </c>
      <c r="G1885" t="s">
        <v>34</v>
      </c>
      <c r="H1885" t="s">
        <v>59</v>
      </c>
      <c r="I1885">
        <v>671.98</v>
      </c>
      <c r="J1885">
        <v>0</v>
      </c>
      <c r="K1885">
        <v>671.98</v>
      </c>
    </row>
    <row r="1886" spans="1:11" x14ac:dyDescent="0.25">
      <c r="A1886" t="s">
        <v>1926</v>
      </c>
      <c r="B1886" s="1">
        <v>45909.064606481479</v>
      </c>
      <c r="C1886" s="2" t="s">
        <v>41</v>
      </c>
      <c r="D1886" t="s">
        <v>13</v>
      </c>
      <c r="E1886">
        <v>222000</v>
      </c>
      <c r="F1886" t="s">
        <v>14</v>
      </c>
      <c r="G1886" t="s">
        <v>34</v>
      </c>
      <c r="H1886" t="s">
        <v>16</v>
      </c>
      <c r="I1886">
        <v>4107</v>
      </c>
      <c r="J1886">
        <v>1642.8</v>
      </c>
      <c r="K1886">
        <v>2464.1999999999998</v>
      </c>
    </row>
    <row r="1887" spans="1:11" x14ac:dyDescent="0.25">
      <c r="A1887" t="s">
        <v>1927</v>
      </c>
      <c r="B1887" s="1">
        <v>46005.631296296298</v>
      </c>
      <c r="C1887" s="2" t="s">
        <v>12</v>
      </c>
      <c r="D1887" t="s">
        <v>33</v>
      </c>
      <c r="E1887">
        <v>130166</v>
      </c>
      <c r="F1887" t="s">
        <v>14</v>
      </c>
      <c r="G1887" t="s">
        <v>58</v>
      </c>
      <c r="H1887" t="s">
        <v>16</v>
      </c>
      <c r="I1887">
        <v>0</v>
      </c>
      <c r="J1887">
        <v>0</v>
      </c>
      <c r="K1887">
        <v>0</v>
      </c>
    </row>
    <row r="1888" spans="1:11" x14ac:dyDescent="0.25">
      <c r="A1888" t="s">
        <v>1928</v>
      </c>
      <c r="B1888" s="1">
        <v>45845.120266203703</v>
      </c>
      <c r="C1888" s="2" t="s">
        <v>22</v>
      </c>
      <c r="D1888" t="s">
        <v>13</v>
      </c>
      <c r="E1888">
        <v>187500</v>
      </c>
      <c r="F1888" t="s">
        <v>14</v>
      </c>
      <c r="G1888" t="s">
        <v>84</v>
      </c>
      <c r="H1888" t="s">
        <v>16</v>
      </c>
      <c r="I1888">
        <v>3468.75</v>
      </c>
      <c r="J1888">
        <v>1387.5</v>
      </c>
      <c r="K1888">
        <v>2081.25</v>
      </c>
    </row>
    <row r="1889" spans="1:11" x14ac:dyDescent="0.25">
      <c r="A1889" t="s">
        <v>1929</v>
      </c>
      <c r="B1889" s="1">
        <v>45933.368715277778</v>
      </c>
      <c r="C1889" s="2" t="s">
        <v>29</v>
      </c>
      <c r="D1889" t="s">
        <v>45</v>
      </c>
      <c r="E1889">
        <v>78710</v>
      </c>
      <c r="F1889" t="s">
        <v>14</v>
      </c>
      <c r="G1889" t="s">
        <v>27</v>
      </c>
      <c r="H1889" t="s">
        <v>178</v>
      </c>
      <c r="I1889">
        <v>787.1</v>
      </c>
      <c r="J1889">
        <v>0</v>
      </c>
      <c r="K1889">
        <v>787.1</v>
      </c>
    </row>
    <row r="1890" spans="1:11" x14ac:dyDescent="0.25">
      <c r="A1890" t="s">
        <v>1930</v>
      </c>
      <c r="B1890" s="1">
        <v>45859.756585648145</v>
      </c>
      <c r="C1890" s="2" t="s">
        <v>22</v>
      </c>
      <c r="D1890" t="s">
        <v>13</v>
      </c>
      <c r="E1890">
        <v>165500</v>
      </c>
      <c r="F1890" t="s">
        <v>14</v>
      </c>
      <c r="G1890" t="s">
        <v>15</v>
      </c>
      <c r="H1890" t="s">
        <v>16</v>
      </c>
      <c r="I1890">
        <v>3061.75</v>
      </c>
      <c r="J1890">
        <v>1224.7</v>
      </c>
      <c r="K1890">
        <v>1837.05</v>
      </c>
    </row>
    <row r="1891" spans="1:11" x14ac:dyDescent="0.25">
      <c r="A1891" t="s">
        <v>1931</v>
      </c>
      <c r="B1891" s="1">
        <v>45912.264270833337</v>
      </c>
      <c r="C1891" s="2" t="s">
        <v>32</v>
      </c>
      <c r="D1891" t="s">
        <v>45</v>
      </c>
      <c r="E1891">
        <v>32971</v>
      </c>
      <c r="F1891" t="s">
        <v>14</v>
      </c>
      <c r="G1891" t="s">
        <v>24</v>
      </c>
      <c r="H1891" t="s">
        <v>71</v>
      </c>
      <c r="I1891">
        <v>329.71</v>
      </c>
      <c r="J1891">
        <v>0</v>
      </c>
      <c r="K1891">
        <v>329.71</v>
      </c>
    </row>
    <row r="1892" spans="1:11" x14ac:dyDescent="0.25">
      <c r="A1892" t="s">
        <v>1932</v>
      </c>
      <c r="B1892" s="1">
        <v>45936.584953703707</v>
      </c>
      <c r="C1892" s="2" t="s">
        <v>26</v>
      </c>
      <c r="D1892" t="s">
        <v>45</v>
      </c>
      <c r="E1892">
        <v>133119</v>
      </c>
      <c r="F1892" t="s">
        <v>14</v>
      </c>
      <c r="G1892" t="s">
        <v>51</v>
      </c>
      <c r="H1892" t="s">
        <v>59</v>
      </c>
      <c r="I1892">
        <v>1331.19</v>
      </c>
      <c r="J1892">
        <v>0</v>
      </c>
      <c r="K1892">
        <v>1331.19</v>
      </c>
    </row>
    <row r="1893" spans="1:11" x14ac:dyDescent="0.25">
      <c r="A1893" t="s">
        <v>1933</v>
      </c>
      <c r="B1893" s="1">
        <v>45880.049143518518</v>
      </c>
      <c r="C1893" s="2" t="s">
        <v>39</v>
      </c>
      <c r="D1893" t="s">
        <v>45</v>
      </c>
      <c r="E1893">
        <v>61928</v>
      </c>
      <c r="F1893" t="s">
        <v>14</v>
      </c>
      <c r="G1893" t="s">
        <v>30</v>
      </c>
      <c r="H1893" t="s">
        <v>56</v>
      </c>
      <c r="I1893">
        <v>619.28</v>
      </c>
      <c r="J1893">
        <v>0</v>
      </c>
      <c r="K1893">
        <v>619.28</v>
      </c>
    </row>
    <row r="1894" spans="1:11" x14ac:dyDescent="0.25">
      <c r="A1894" t="s">
        <v>1934</v>
      </c>
      <c r="B1894" s="1">
        <v>46013.957951388889</v>
      </c>
      <c r="C1894" s="2" t="s">
        <v>41</v>
      </c>
      <c r="D1894" t="s">
        <v>45</v>
      </c>
      <c r="E1894">
        <v>103532</v>
      </c>
      <c r="F1894" t="s">
        <v>50</v>
      </c>
      <c r="G1894" t="s">
        <v>51</v>
      </c>
      <c r="H1894" t="s">
        <v>71</v>
      </c>
      <c r="I1894">
        <v>1035.32</v>
      </c>
      <c r="J1894">
        <v>0</v>
      </c>
      <c r="K1894">
        <v>1035.32</v>
      </c>
    </row>
    <row r="1895" spans="1:11" x14ac:dyDescent="0.25">
      <c r="A1895" t="s">
        <v>1935</v>
      </c>
      <c r="B1895" s="1">
        <v>45970.039710648147</v>
      </c>
      <c r="C1895" s="2" t="s">
        <v>26</v>
      </c>
      <c r="D1895" t="s">
        <v>23</v>
      </c>
      <c r="E1895">
        <v>1924</v>
      </c>
      <c r="F1895" t="s">
        <v>14</v>
      </c>
      <c r="G1895" t="s">
        <v>27</v>
      </c>
      <c r="H1895" t="s">
        <v>16</v>
      </c>
      <c r="I1895">
        <v>0</v>
      </c>
      <c r="J1895">
        <v>0</v>
      </c>
      <c r="K1895">
        <v>0</v>
      </c>
    </row>
    <row r="1896" spans="1:11" x14ac:dyDescent="0.25">
      <c r="A1896" t="s">
        <v>1936</v>
      </c>
      <c r="B1896" s="1">
        <v>45820.71402777778</v>
      </c>
      <c r="C1896" s="2" t="s">
        <v>29</v>
      </c>
      <c r="D1896" t="s">
        <v>13</v>
      </c>
      <c r="E1896">
        <v>64000</v>
      </c>
      <c r="F1896" t="s">
        <v>14</v>
      </c>
      <c r="G1896" t="s">
        <v>24</v>
      </c>
      <c r="H1896" t="s">
        <v>16</v>
      </c>
      <c r="I1896">
        <v>1184</v>
      </c>
      <c r="J1896">
        <v>473.6</v>
      </c>
      <c r="K1896">
        <v>710.4</v>
      </c>
    </row>
    <row r="1897" spans="1:11" x14ac:dyDescent="0.25">
      <c r="A1897" t="s">
        <v>1937</v>
      </c>
      <c r="B1897" s="1">
        <v>46087.334328703706</v>
      </c>
      <c r="C1897" s="2" t="s">
        <v>32</v>
      </c>
      <c r="D1897" t="s">
        <v>33</v>
      </c>
      <c r="E1897">
        <v>136725</v>
      </c>
      <c r="F1897" t="s">
        <v>14</v>
      </c>
      <c r="G1897" t="s">
        <v>24</v>
      </c>
      <c r="H1897" t="s">
        <v>16</v>
      </c>
      <c r="I1897">
        <v>0</v>
      </c>
      <c r="J1897">
        <v>0</v>
      </c>
      <c r="K1897">
        <v>0</v>
      </c>
    </row>
    <row r="1898" spans="1:11" x14ac:dyDescent="0.25">
      <c r="A1898" t="s">
        <v>1938</v>
      </c>
      <c r="B1898" s="1">
        <v>45950.473263888889</v>
      </c>
      <c r="C1898" s="2" t="s">
        <v>26</v>
      </c>
      <c r="D1898" t="s">
        <v>19</v>
      </c>
      <c r="E1898">
        <v>21246</v>
      </c>
      <c r="F1898" t="s">
        <v>14</v>
      </c>
      <c r="G1898" t="s">
        <v>20</v>
      </c>
      <c r="H1898" t="s">
        <v>16</v>
      </c>
      <c r="I1898">
        <v>5</v>
      </c>
      <c r="J1898">
        <v>0</v>
      </c>
      <c r="K1898">
        <v>5</v>
      </c>
    </row>
    <row r="1899" spans="1:11" x14ac:dyDescent="0.25">
      <c r="A1899" t="s">
        <v>1939</v>
      </c>
      <c r="B1899" s="1">
        <v>45917.756261574075</v>
      </c>
      <c r="C1899" s="2" t="s">
        <v>41</v>
      </c>
      <c r="D1899" t="s">
        <v>33</v>
      </c>
      <c r="E1899">
        <v>127633</v>
      </c>
      <c r="F1899" t="s">
        <v>99</v>
      </c>
      <c r="G1899" t="s">
        <v>20</v>
      </c>
      <c r="H1899" t="s">
        <v>16</v>
      </c>
      <c r="I1899">
        <v>0</v>
      </c>
      <c r="J1899">
        <v>0</v>
      </c>
      <c r="K1899">
        <v>0</v>
      </c>
    </row>
    <row r="1900" spans="1:11" x14ac:dyDescent="0.25">
      <c r="A1900" t="s">
        <v>1940</v>
      </c>
      <c r="B1900" s="1">
        <v>46092.587731481479</v>
      </c>
      <c r="C1900" s="2" t="s">
        <v>22</v>
      </c>
      <c r="D1900" t="s">
        <v>23</v>
      </c>
      <c r="E1900">
        <v>265</v>
      </c>
      <c r="F1900" t="s">
        <v>14</v>
      </c>
      <c r="G1900" t="s">
        <v>27</v>
      </c>
      <c r="H1900" t="s">
        <v>16</v>
      </c>
      <c r="I1900">
        <v>0</v>
      </c>
      <c r="J1900">
        <v>0</v>
      </c>
      <c r="K1900">
        <v>0</v>
      </c>
    </row>
    <row r="1901" spans="1:11" x14ac:dyDescent="0.25">
      <c r="A1901" t="s">
        <v>1941</v>
      </c>
      <c r="B1901" s="1">
        <v>45992.146006944444</v>
      </c>
      <c r="C1901" s="2" t="s">
        <v>41</v>
      </c>
      <c r="D1901" t="s">
        <v>45</v>
      </c>
      <c r="E1901">
        <v>114634</v>
      </c>
      <c r="F1901" t="s">
        <v>14</v>
      </c>
      <c r="G1901" t="s">
        <v>84</v>
      </c>
      <c r="H1901" t="s">
        <v>59</v>
      </c>
      <c r="I1901">
        <v>1146.3399999999999</v>
      </c>
      <c r="J1901">
        <v>0</v>
      </c>
      <c r="K1901">
        <v>1146.3399999999999</v>
      </c>
    </row>
    <row r="1902" spans="1:11" x14ac:dyDescent="0.25">
      <c r="A1902" t="s">
        <v>1942</v>
      </c>
      <c r="B1902" s="1">
        <v>46140.405173611114</v>
      </c>
      <c r="C1902" s="2" t="s">
        <v>41</v>
      </c>
      <c r="D1902" t="s">
        <v>13</v>
      </c>
      <c r="E1902">
        <v>96500</v>
      </c>
      <c r="F1902" t="s">
        <v>14</v>
      </c>
      <c r="G1902" t="s">
        <v>15</v>
      </c>
      <c r="H1902" t="s">
        <v>16</v>
      </c>
      <c r="I1902">
        <v>1785.25</v>
      </c>
      <c r="J1902">
        <v>714.1</v>
      </c>
      <c r="K1902">
        <v>1071.1500000000001</v>
      </c>
    </row>
    <row r="1903" spans="1:11" x14ac:dyDescent="0.25">
      <c r="A1903" t="s">
        <v>1943</v>
      </c>
      <c r="B1903" s="1">
        <v>46141.824432870373</v>
      </c>
      <c r="C1903" s="2" t="s">
        <v>41</v>
      </c>
      <c r="D1903" t="s">
        <v>33</v>
      </c>
      <c r="E1903">
        <v>8231</v>
      </c>
      <c r="F1903" t="s">
        <v>14</v>
      </c>
      <c r="G1903" t="s">
        <v>34</v>
      </c>
      <c r="H1903" t="s">
        <v>16</v>
      </c>
      <c r="I1903">
        <v>0</v>
      </c>
      <c r="J1903">
        <v>0</v>
      </c>
      <c r="K1903">
        <v>0</v>
      </c>
    </row>
    <row r="1904" spans="1:11" x14ac:dyDescent="0.25">
      <c r="A1904" t="s">
        <v>1944</v>
      </c>
      <c r="B1904" s="1">
        <v>45940.437719907408</v>
      </c>
      <c r="C1904" s="2" t="s">
        <v>39</v>
      </c>
      <c r="D1904" t="s">
        <v>45</v>
      </c>
      <c r="E1904">
        <v>146098</v>
      </c>
      <c r="F1904" t="s">
        <v>14</v>
      </c>
      <c r="G1904" t="s">
        <v>20</v>
      </c>
      <c r="H1904" t="s">
        <v>56</v>
      </c>
      <c r="I1904">
        <v>1460.98</v>
      </c>
      <c r="J1904">
        <v>0</v>
      </c>
      <c r="K1904">
        <v>1460.98</v>
      </c>
    </row>
    <row r="1905" spans="1:11" x14ac:dyDescent="0.25">
      <c r="A1905" t="s">
        <v>1945</v>
      </c>
      <c r="B1905" s="1">
        <v>46110.698391203703</v>
      </c>
      <c r="C1905" s="2" t="s">
        <v>41</v>
      </c>
      <c r="D1905" t="s">
        <v>19</v>
      </c>
      <c r="E1905">
        <v>138560</v>
      </c>
      <c r="F1905" t="s">
        <v>14</v>
      </c>
      <c r="G1905" t="s">
        <v>34</v>
      </c>
      <c r="H1905" t="s">
        <v>16</v>
      </c>
      <c r="I1905">
        <v>5</v>
      </c>
      <c r="J1905">
        <v>0</v>
      </c>
      <c r="K1905">
        <v>5</v>
      </c>
    </row>
    <row r="1906" spans="1:11" x14ac:dyDescent="0.25">
      <c r="A1906" t="s">
        <v>1946</v>
      </c>
      <c r="B1906" s="1">
        <v>46111.752500000002</v>
      </c>
      <c r="C1906" s="2" t="s">
        <v>29</v>
      </c>
      <c r="D1906" t="s">
        <v>45</v>
      </c>
      <c r="E1906">
        <v>71039</v>
      </c>
      <c r="F1906" t="s">
        <v>14</v>
      </c>
      <c r="G1906" t="s">
        <v>84</v>
      </c>
      <c r="H1906" t="s">
        <v>178</v>
      </c>
      <c r="I1906">
        <v>710.39</v>
      </c>
      <c r="J1906">
        <v>0</v>
      </c>
      <c r="K1906">
        <v>710.39</v>
      </c>
    </row>
    <row r="1907" spans="1:11" x14ac:dyDescent="0.25">
      <c r="A1907" t="s">
        <v>1947</v>
      </c>
      <c r="B1907" s="1">
        <v>45887.007569444446</v>
      </c>
      <c r="C1907" s="2" t="s">
        <v>22</v>
      </c>
      <c r="D1907" t="s">
        <v>13</v>
      </c>
      <c r="E1907">
        <v>154500</v>
      </c>
      <c r="F1907" t="s">
        <v>14</v>
      </c>
      <c r="G1907" t="s">
        <v>34</v>
      </c>
      <c r="H1907" t="s">
        <v>16</v>
      </c>
      <c r="I1907">
        <v>2858.25</v>
      </c>
      <c r="J1907">
        <v>1143.3</v>
      </c>
      <c r="K1907">
        <v>1714.95</v>
      </c>
    </row>
    <row r="1908" spans="1:11" x14ac:dyDescent="0.25">
      <c r="A1908" t="s">
        <v>1948</v>
      </c>
      <c r="B1908" s="1">
        <v>46113.78974537037</v>
      </c>
      <c r="C1908" s="2" t="s">
        <v>41</v>
      </c>
      <c r="D1908" t="s">
        <v>13</v>
      </c>
      <c r="E1908">
        <v>39000</v>
      </c>
      <c r="F1908" t="s">
        <v>14</v>
      </c>
      <c r="G1908" t="s">
        <v>58</v>
      </c>
      <c r="H1908" t="s">
        <v>16</v>
      </c>
      <c r="I1908">
        <v>721.5</v>
      </c>
      <c r="J1908">
        <v>288.60000000000002</v>
      </c>
      <c r="K1908">
        <v>432.9</v>
      </c>
    </row>
    <row r="1909" spans="1:11" x14ac:dyDescent="0.25">
      <c r="A1909" t="s">
        <v>1949</v>
      </c>
      <c r="B1909" s="1">
        <v>45853.956296296295</v>
      </c>
      <c r="C1909" s="2" t="s">
        <v>29</v>
      </c>
      <c r="D1909" t="s">
        <v>33</v>
      </c>
      <c r="E1909">
        <v>106873</v>
      </c>
      <c r="F1909" t="s">
        <v>50</v>
      </c>
      <c r="G1909" t="s">
        <v>27</v>
      </c>
      <c r="H1909" t="s">
        <v>16</v>
      </c>
      <c r="I1909">
        <v>0</v>
      </c>
      <c r="J1909">
        <v>0</v>
      </c>
      <c r="K1909">
        <v>0</v>
      </c>
    </row>
    <row r="1910" spans="1:11" x14ac:dyDescent="0.25">
      <c r="A1910" t="s">
        <v>1950</v>
      </c>
      <c r="B1910" s="1">
        <v>45788.18041666667</v>
      </c>
      <c r="C1910" s="2" t="s">
        <v>29</v>
      </c>
      <c r="D1910" t="s">
        <v>23</v>
      </c>
      <c r="E1910">
        <v>2259</v>
      </c>
      <c r="F1910" t="s">
        <v>14</v>
      </c>
      <c r="G1910" t="s">
        <v>15</v>
      </c>
      <c r="H1910" t="s">
        <v>16</v>
      </c>
      <c r="I1910">
        <v>0</v>
      </c>
      <c r="J1910">
        <v>0</v>
      </c>
      <c r="K1910">
        <v>0</v>
      </c>
    </row>
    <row r="1911" spans="1:11" x14ac:dyDescent="0.25">
      <c r="A1911" t="s">
        <v>1951</v>
      </c>
      <c r="B1911" s="1">
        <v>46030.803912037038</v>
      </c>
      <c r="C1911" s="2" t="s">
        <v>12</v>
      </c>
      <c r="D1911" t="s">
        <v>45</v>
      </c>
      <c r="E1911">
        <v>9601</v>
      </c>
      <c r="F1911" t="s">
        <v>14</v>
      </c>
      <c r="G1911" t="s">
        <v>27</v>
      </c>
      <c r="H1911" t="s">
        <v>46</v>
      </c>
      <c r="I1911">
        <v>96.01</v>
      </c>
      <c r="J1911">
        <v>0</v>
      </c>
      <c r="K1911">
        <v>96.01</v>
      </c>
    </row>
    <row r="1912" spans="1:11" x14ac:dyDescent="0.25">
      <c r="A1912" t="s">
        <v>1952</v>
      </c>
      <c r="B1912" s="1">
        <v>46061.962939814817</v>
      </c>
      <c r="C1912" s="2" t="s">
        <v>26</v>
      </c>
      <c r="D1912" t="s">
        <v>19</v>
      </c>
      <c r="E1912">
        <v>149635</v>
      </c>
      <c r="F1912" t="s">
        <v>14</v>
      </c>
      <c r="G1912" t="s">
        <v>51</v>
      </c>
      <c r="H1912" t="s">
        <v>16</v>
      </c>
      <c r="I1912">
        <v>5</v>
      </c>
      <c r="J1912">
        <v>0</v>
      </c>
      <c r="K1912">
        <v>5</v>
      </c>
    </row>
    <row r="1913" spans="1:11" x14ac:dyDescent="0.25">
      <c r="A1913" t="s">
        <v>1953</v>
      </c>
      <c r="B1913" s="1">
        <v>46022.749861111108</v>
      </c>
      <c r="C1913" s="2" t="s">
        <v>12</v>
      </c>
      <c r="D1913" t="s">
        <v>23</v>
      </c>
      <c r="E1913">
        <v>4885</v>
      </c>
      <c r="F1913" t="s">
        <v>14</v>
      </c>
      <c r="G1913" t="s">
        <v>15</v>
      </c>
      <c r="H1913" t="s">
        <v>16</v>
      </c>
      <c r="I1913">
        <v>0</v>
      </c>
      <c r="J1913">
        <v>0</v>
      </c>
      <c r="K1913">
        <v>0</v>
      </c>
    </row>
    <row r="1914" spans="1:11" x14ac:dyDescent="0.25">
      <c r="A1914" t="s">
        <v>1954</v>
      </c>
      <c r="B1914" s="1">
        <v>45843.977118055554</v>
      </c>
      <c r="C1914" s="2" t="s">
        <v>39</v>
      </c>
      <c r="D1914" t="s">
        <v>13</v>
      </c>
      <c r="E1914">
        <v>178500</v>
      </c>
      <c r="F1914" t="s">
        <v>14</v>
      </c>
      <c r="G1914" t="s">
        <v>15</v>
      </c>
      <c r="H1914" t="s">
        <v>16</v>
      </c>
      <c r="I1914">
        <v>3302.25</v>
      </c>
      <c r="J1914">
        <v>1320.9</v>
      </c>
      <c r="K1914">
        <v>1981.35</v>
      </c>
    </row>
    <row r="1915" spans="1:11" x14ac:dyDescent="0.25">
      <c r="A1915" t="s">
        <v>1955</v>
      </c>
      <c r="B1915" s="1">
        <v>46012.040706018517</v>
      </c>
      <c r="C1915" s="2" t="s">
        <v>12</v>
      </c>
      <c r="D1915" t="s">
        <v>45</v>
      </c>
      <c r="E1915">
        <v>24483</v>
      </c>
      <c r="F1915" t="s">
        <v>14</v>
      </c>
      <c r="G1915" t="s">
        <v>20</v>
      </c>
      <c r="H1915" t="s">
        <v>59</v>
      </c>
      <c r="I1915">
        <v>244.83</v>
      </c>
      <c r="J1915">
        <v>0</v>
      </c>
      <c r="K1915">
        <v>244.83</v>
      </c>
    </row>
    <row r="1916" spans="1:11" x14ac:dyDescent="0.25">
      <c r="A1916" t="s">
        <v>1956</v>
      </c>
      <c r="B1916" s="1">
        <v>45926.611516203702</v>
      </c>
      <c r="C1916" s="2" t="s">
        <v>22</v>
      </c>
      <c r="D1916" t="s">
        <v>45</v>
      </c>
      <c r="E1916">
        <v>76367</v>
      </c>
      <c r="F1916" t="s">
        <v>14</v>
      </c>
      <c r="G1916" t="s">
        <v>84</v>
      </c>
      <c r="H1916" t="s">
        <v>71</v>
      </c>
      <c r="I1916">
        <v>763.67</v>
      </c>
      <c r="J1916">
        <v>0</v>
      </c>
      <c r="K1916">
        <v>763.67</v>
      </c>
    </row>
    <row r="1917" spans="1:11" x14ac:dyDescent="0.25">
      <c r="A1917" t="s">
        <v>1957</v>
      </c>
      <c r="B1917" s="1">
        <v>45960.686192129629</v>
      </c>
      <c r="C1917" s="2" t="s">
        <v>18</v>
      </c>
      <c r="D1917" t="s">
        <v>33</v>
      </c>
      <c r="E1917">
        <v>91530</v>
      </c>
      <c r="F1917" t="s">
        <v>50</v>
      </c>
      <c r="G1917" t="s">
        <v>30</v>
      </c>
      <c r="H1917" t="s">
        <v>16</v>
      </c>
      <c r="I1917">
        <v>0</v>
      </c>
      <c r="J1917">
        <v>0</v>
      </c>
      <c r="K1917">
        <v>0</v>
      </c>
    </row>
    <row r="1918" spans="1:11" x14ac:dyDescent="0.25">
      <c r="A1918" t="s">
        <v>1958</v>
      </c>
      <c r="B1918" s="1">
        <v>46142.691631944443</v>
      </c>
      <c r="C1918" s="2" t="s">
        <v>32</v>
      </c>
      <c r="D1918" t="s">
        <v>33</v>
      </c>
      <c r="E1918">
        <v>65548</v>
      </c>
      <c r="F1918" t="s">
        <v>14</v>
      </c>
      <c r="G1918" t="s">
        <v>30</v>
      </c>
      <c r="H1918" t="s">
        <v>16</v>
      </c>
      <c r="I1918">
        <v>0</v>
      </c>
      <c r="J1918">
        <v>0</v>
      </c>
      <c r="K1918">
        <v>0</v>
      </c>
    </row>
    <row r="1919" spans="1:11" x14ac:dyDescent="0.25">
      <c r="A1919" t="s">
        <v>1959</v>
      </c>
      <c r="B1919" s="1">
        <v>45967.584756944445</v>
      </c>
      <c r="C1919" s="2" t="s">
        <v>29</v>
      </c>
      <c r="D1919" t="s">
        <v>19</v>
      </c>
      <c r="E1919">
        <v>100066</v>
      </c>
      <c r="F1919" t="s">
        <v>14</v>
      </c>
      <c r="G1919" t="s">
        <v>84</v>
      </c>
      <c r="H1919" t="s">
        <v>16</v>
      </c>
      <c r="I1919">
        <v>5</v>
      </c>
      <c r="J1919">
        <v>0</v>
      </c>
      <c r="K1919">
        <v>5</v>
      </c>
    </row>
    <row r="1920" spans="1:11" x14ac:dyDescent="0.25">
      <c r="A1920" t="s">
        <v>1960</v>
      </c>
      <c r="B1920" s="1">
        <v>45997.499571759261</v>
      </c>
      <c r="C1920" s="2" t="s">
        <v>22</v>
      </c>
      <c r="D1920" t="s">
        <v>45</v>
      </c>
      <c r="E1920">
        <v>122358</v>
      </c>
      <c r="F1920" t="s">
        <v>14</v>
      </c>
      <c r="G1920" t="s">
        <v>34</v>
      </c>
      <c r="H1920" t="s">
        <v>71</v>
      </c>
      <c r="I1920">
        <v>1223.58</v>
      </c>
      <c r="J1920">
        <v>0</v>
      </c>
      <c r="K1920">
        <v>1223.58</v>
      </c>
    </row>
    <row r="1921" spans="1:11" x14ac:dyDescent="0.25">
      <c r="A1921" t="s">
        <v>1961</v>
      </c>
      <c r="B1921" s="1">
        <v>45997.449733796297</v>
      </c>
      <c r="C1921" s="2" t="s">
        <v>22</v>
      </c>
      <c r="D1921" t="s">
        <v>33</v>
      </c>
      <c r="E1921">
        <v>93977</v>
      </c>
      <c r="F1921" t="s">
        <v>14</v>
      </c>
      <c r="G1921" t="s">
        <v>30</v>
      </c>
      <c r="H1921" t="s">
        <v>16</v>
      </c>
      <c r="I1921">
        <v>0</v>
      </c>
      <c r="J1921">
        <v>0</v>
      </c>
      <c r="K1921">
        <v>0</v>
      </c>
    </row>
    <row r="1922" spans="1:11" x14ac:dyDescent="0.25">
      <c r="A1922" t="s">
        <v>1962</v>
      </c>
      <c r="B1922" s="1">
        <v>45875.576550925929</v>
      </c>
      <c r="C1922" s="2" t="s">
        <v>18</v>
      </c>
      <c r="D1922" t="s">
        <v>33</v>
      </c>
      <c r="E1922">
        <v>15095</v>
      </c>
      <c r="F1922" t="s">
        <v>14</v>
      </c>
      <c r="G1922" t="s">
        <v>30</v>
      </c>
      <c r="H1922" t="s">
        <v>16</v>
      </c>
      <c r="I1922">
        <v>0</v>
      </c>
      <c r="J1922">
        <v>0</v>
      </c>
      <c r="K1922">
        <v>0</v>
      </c>
    </row>
    <row r="1923" spans="1:11" x14ac:dyDescent="0.25">
      <c r="A1923" t="s">
        <v>1963</v>
      </c>
      <c r="B1923" s="1">
        <v>46097.444687499999</v>
      </c>
      <c r="C1923" s="2" t="s">
        <v>41</v>
      </c>
      <c r="D1923" t="s">
        <v>33</v>
      </c>
      <c r="E1923">
        <v>10126</v>
      </c>
      <c r="F1923" t="s">
        <v>14</v>
      </c>
      <c r="G1923" t="s">
        <v>24</v>
      </c>
      <c r="H1923" t="s">
        <v>16</v>
      </c>
      <c r="I1923">
        <v>0</v>
      </c>
      <c r="J1923">
        <v>0</v>
      </c>
      <c r="K1923">
        <v>0</v>
      </c>
    </row>
    <row r="1924" spans="1:11" x14ac:dyDescent="0.25">
      <c r="A1924" t="s">
        <v>1964</v>
      </c>
      <c r="B1924" s="1">
        <v>46061.909456018519</v>
      </c>
      <c r="C1924" s="2" t="s">
        <v>29</v>
      </c>
      <c r="D1924" t="s">
        <v>45</v>
      </c>
      <c r="E1924">
        <v>84372</v>
      </c>
      <c r="F1924" t="s">
        <v>14</v>
      </c>
      <c r="G1924" t="s">
        <v>34</v>
      </c>
      <c r="H1924" t="s">
        <v>59</v>
      </c>
      <c r="I1924">
        <v>843.72</v>
      </c>
      <c r="J1924">
        <v>0</v>
      </c>
      <c r="K1924">
        <v>843.72</v>
      </c>
    </row>
    <row r="1925" spans="1:11" x14ac:dyDescent="0.25">
      <c r="A1925" t="s">
        <v>1965</v>
      </c>
      <c r="B1925" s="1">
        <v>45892.822488425925</v>
      </c>
      <c r="C1925" s="2" t="s">
        <v>12</v>
      </c>
      <c r="D1925" t="s">
        <v>45</v>
      </c>
      <c r="E1925">
        <v>44764</v>
      </c>
      <c r="F1925" t="s">
        <v>14</v>
      </c>
      <c r="G1925" t="s">
        <v>24</v>
      </c>
      <c r="H1925" t="s">
        <v>46</v>
      </c>
      <c r="I1925">
        <v>447.64</v>
      </c>
      <c r="J1925">
        <v>0</v>
      </c>
      <c r="K1925">
        <v>447.64</v>
      </c>
    </row>
    <row r="1926" spans="1:11" x14ac:dyDescent="0.25">
      <c r="A1926" t="s">
        <v>1966</v>
      </c>
      <c r="B1926" s="1">
        <v>45966.064571759256</v>
      </c>
      <c r="C1926" s="2" t="s">
        <v>26</v>
      </c>
      <c r="D1926" t="s">
        <v>13</v>
      </c>
      <c r="E1926">
        <v>17000</v>
      </c>
      <c r="F1926" t="s">
        <v>14</v>
      </c>
      <c r="G1926" t="s">
        <v>24</v>
      </c>
      <c r="H1926" t="s">
        <v>16</v>
      </c>
      <c r="I1926">
        <v>314.5</v>
      </c>
      <c r="J1926">
        <v>125.8</v>
      </c>
      <c r="K1926">
        <v>188.7</v>
      </c>
    </row>
    <row r="1927" spans="1:11" x14ac:dyDescent="0.25">
      <c r="A1927" t="s">
        <v>1967</v>
      </c>
      <c r="B1927" s="1">
        <v>45790.486909722225</v>
      </c>
      <c r="C1927" s="2" t="s">
        <v>39</v>
      </c>
      <c r="D1927" t="s">
        <v>13</v>
      </c>
      <c r="E1927">
        <v>48500</v>
      </c>
      <c r="F1927" t="s">
        <v>50</v>
      </c>
      <c r="G1927" t="s">
        <v>34</v>
      </c>
      <c r="H1927" t="s">
        <v>16</v>
      </c>
      <c r="I1927">
        <v>897.25</v>
      </c>
      <c r="J1927">
        <v>358.9</v>
      </c>
      <c r="K1927">
        <v>538.35</v>
      </c>
    </row>
    <row r="1928" spans="1:11" x14ac:dyDescent="0.25">
      <c r="A1928" t="s">
        <v>1968</v>
      </c>
      <c r="B1928" s="1">
        <v>45940.751759259256</v>
      </c>
      <c r="C1928" s="2" t="s">
        <v>39</v>
      </c>
      <c r="D1928" t="s">
        <v>45</v>
      </c>
      <c r="E1928">
        <v>67909</v>
      </c>
      <c r="F1928" t="s">
        <v>14</v>
      </c>
      <c r="G1928" t="s">
        <v>24</v>
      </c>
      <c r="H1928" t="s">
        <v>178</v>
      </c>
      <c r="I1928">
        <v>679.09</v>
      </c>
      <c r="J1928">
        <v>0</v>
      </c>
      <c r="K1928">
        <v>679.09</v>
      </c>
    </row>
    <row r="1929" spans="1:11" x14ac:dyDescent="0.25">
      <c r="A1929" t="s">
        <v>1969</v>
      </c>
      <c r="B1929" s="1">
        <v>45936.148773148147</v>
      </c>
      <c r="C1929" s="2" t="s">
        <v>41</v>
      </c>
      <c r="D1929" t="s">
        <v>13</v>
      </c>
      <c r="E1929">
        <v>34000</v>
      </c>
      <c r="F1929" t="s">
        <v>14</v>
      </c>
      <c r="G1929" t="s">
        <v>27</v>
      </c>
      <c r="H1929" t="s">
        <v>16</v>
      </c>
      <c r="I1929">
        <v>629</v>
      </c>
      <c r="J1929">
        <v>251.6</v>
      </c>
      <c r="K1929">
        <v>377.4</v>
      </c>
    </row>
    <row r="1930" spans="1:11" x14ac:dyDescent="0.25">
      <c r="A1930" t="s">
        <v>1970</v>
      </c>
      <c r="B1930" s="1">
        <v>45939.130694444444</v>
      </c>
      <c r="C1930" s="2" t="s">
        <v>22</v>
      </c>
      <c r="D1930" t="s">
        <v>13</v>
      </c>
      <c r="E1930">
        <v>54500</v>
      </c>
      <c r="F1930" t="s">
        <v>14</v>
      </c>
      <c r="G1930" t="s">
        <v>15</v>
      </c>
      <c r="H1930" t="s">
        <v>16</v>
      </c>
      <c r="I1930">
        <v>1008.25</v>
      </c>
      <c r="J1930">
        <v>403.3</v>
      </c>
      <c r="K1930">
        <v>604.95000000000005</v>
      </c>
    </row>
    <row r="1931" spans="1:11" x14ac:dyDescent="0.25">
      <c r="A1931" t="s">
        <v>1971</v>
      </c>
      <c r="B1931" s="1">
        <v>45923.551168981481</v>
      </c>
      <c r="C1931" s="2" t="s">
        <v>39</v>
      </c>
      <c r="D1931" t="s">
        <v>19</v>
      </c>
      <c r="E1931">
        <v>126317</v>
      </c>
      <c r="F1931" t="s">
        <v>14</v>
      </c>
      <c r="G1931" t="s">
        <v>27</v>
      </c>
      <c r="H1931" t="s">
        <v>16</v>
      </c>
      <c r="I1931">
        <v>5</v>
      </c>
      <c r="J1931">
        <v>0</v>
      </c>
      <c r="K1931">
        <v>5</v>
      </c>
    </row>
    <row r="1932" spans="1:11" x14ac:dyDescent="0.25">
      <c r="A1932" t="s">
        <v>1972</v>
      </c>
      <c r="B1932" s="1">
        <v>45934.457557870373</v>
      </c>
      <c r="C1932" s="2" t="s">
        <v>18</v>
      </c>
      <c r="D1932" t="s">
        <v>33</v>
      </c>
      <c r="E1932">
        <v>65402</v>
      </c>
      <c r="F1932" t="s">
        <v>14</v>
      </c>
      <c r="G1932" t="s">
        <v>20</v>
      </c>
      <c r="H1932" t="s">
        <v>16</v>
      </c>
      <c r="I1932">
        <v>0</v>
      </c>
      <c r="J1932">
        <v>0</v>
      </c>
      <c r="K1932">
        <v>0</v>
      </c>
    </row>
    <row r="1933" spans="1:11" x14ac:dyDescent="0.25">
      <c r="A1933" t="s">
        <v>1973</v>
      </c>
      <c r="B1933" s="1">
        <v>45805.236527777779</v>
      </c>
      <c r="C1933" s="2" t="s">
        <v>18</v>
      </c>
      <c r="D1933" t="s">
        <v>19</v>
      </c>
      <c r="E1933">
        <v>70162</v>
      </c>
      <c r="F1933" t="s">
        <v>50</v>
      </c>
      <c r="G1933" t="s">
        <v>27</v>
      </c>
      <c r="H1933" t="s">
        <v>16</v>
      </c>
      <c r="I1933">
        <v>5</v>
      </c>
      <c r="J1933">
        <v>0</v>
      </c>
      <c r="K1933">
        <v>5</v>
      </c>
    </row>
    <row r="1934" spans="1:11" x14ac:dyDescent="0.25">
      <c r="A1934" t="s">
        <v>1974</v>
      </c>
      <c r="B1934" s="1">
        <v>46014.452824074076</v>
      </c>
      <c r="C1934" s="2" t="s">
        <v>18</v>
      </c>
      <c r="D1934" t="s">
        <v>13</v>
      </c>
      <c r="E1934">
        <v>236500</v>
      </c>
      <c r="F1934" t="s">
        <v>14</v>
      </c>
      <c r="G1934" t="s">
        <v>24</v>
      </c>
      <c r="H1934" t="s">
        <v>16</v>
      </c>
      <c r="I1934">
        <v>4375.25</v>
      </c>
      <c r="J1934">
        <v>1750.1</v>
      </c>
      <c r="K1934">
        <v>2625.15</v>
      </c>
    </row>
    <row r="1935" spans="1:11" x14ac:dyDescent="0.25">
      <c r="A1935" t="s">
        <v>1975</v>
      </c>
      <c r="B1935" s="1">
        <v>46022.341238425928</v>
      </c>
      <c r="C1935" s="2" t="s">
        <v>12</v>
      </c>
      <c r="D1935" t="s">
        <v>23</v>
      </c>
      <c r="E1935">
        <v>3563</v>
      </c>
      <c r="F1935" t="s">
        <v>14</v>
      </c>
      <c r="G1935" t="s">
        <v>24</v>
      </c>
      <c r="H1935" t="s">
        <v>16</v>
      </c>
      <c r="I1935">
        <v>0</v>
      </c>
      <c r="J1935">
        <v>0</v>
      </c>
      <c r="K1935">
        <v>0</v>
      </c>
    </row>
    <row r="1936" spans="1:11" x14ac:dyDescent="0.25">
      <c r="A1936" t="s">
        <v>1976</v>
      </c>
      <c r="B1936" s="1">
        <v>46070.104849537034</v>
      </c>
      <c r="C1936" s="2" t="s">
        <v>26</v>
      </c>
      <c r="D1936" t="s">
        <v>13</v>
      </c>
      <c r="E1936">
        <v>9500</v>
      </c>
      <c r="F1936" t="s">
        <v>14</v>
      </c>
      <c r="G1936" t="s">
        <v>24</v>
      </c>
      <c r="H1936" t="s">
        <v>16</v>
      </c>
      <c r="I1936">
        <v>175.75</v>
      </c>
      <c r="J1936">
        <v>70.3</v>
      </c>
      <c r="K1936">
        <v>105.45</v>
      </c>
    </row>
    <row r="1937" spans="1:11" x14ac:dyDescent="0.25">
      <c r="A1937" t="s">
        <v>1977</v>
      </c>
      <c r="B1937" s="1">
        <v>45951.847268518519</v>
      </c>
      <c r="C1937" s="2" t="s">
        <v>39</v>
      </c>
      <c r="D1937" t="s">
        <v>13</v>
      </c>
      <c r="E1937">
        <v>30000</v>
      </c>
      <c r="F1937" t="s">
        <v>99</v>
      </c>
      <c r="G1937" t="s">
        <v>15</v>
      </c>
      <c r="H1937" t="s">
        <v>16</v>
      </c>
      <c r="I1937">
        <v>555</v>
      </c>
      <c r="J1937">
        <v>222</v>
      </c>
      <c r="K1937">
        <v>333</v>
      </c>
    </row>
    <row r="1938" spans="1:11" x14ac:dyDescent="0.25">
      <c r="A1938" t="s">
        <v>1978</v>
      </c>
      <c r="B1938" s="1">
        <v>45900.974710648145</v>
      </c>
      <c r="C1938" s="2" t="s">
        <v>12</v>
      </c>
      <c r="D1938" t="s">
        <v>23</v>
      </c>
      <c r="E1938">
        <v>718</v>
      </c>
      <c r="F1938" t="s">
        <v>14</v>
      </c>
      <c r="G1938" t="s">
        <v>84</v>
      </c>
      <c r="H1938" t="s">
        <v>16</v>
      </c>
      <c r="I1938">
        <v>0</v>
      </c>
      <c r="J1938">
        <v>0</v>
      </c>
      <c r="K1938">
        <v>0</v>
      </c>
    </row>
    <row r="1939" spans="1:11" x14ac:dyDescent="0.25">
      <c r="A1939" t="s">
        <v>1979</v>
      </c>
      <c r="B1939" s="1">
        <v>45921.986018518517</v>
      </c>
      <c r="C1939" s="2" t="s">
        <v>22</v>
      </c>
      <c r="D1939" t="s">
        <v>33</v>
      </c>
      <c r="E1939">
        <v>90538</v>
      </c>
      <c r="F1939" t="s">
        <v>14</v>
      </c>
      <c r="G1939" t="s">
        <v>20</v>
      </c>
      <c r="H1939" t="s">
        <v>16</v>
      </c>
      <c r="I1939">
        <v>0</v>
      </c>
      <c r="J1939">
        <v>0</v>
      </c>
      <c r="K1939">
        <v>0</v>
      </c>
    </row>
    <row r="1940" spans="1:11" x14ac:dyDescent="0.25">
      <c r="A1940" t="s">
        <v>1980</v>
      </c>
      <c r="B1940" s="1">
        <v>45785.593969907408</v>
      </c>
      <c r="C1940" s="2" t="s">
        <v>12</v>
      </c>
      <c r="D1940" t="s">
        <v>45</v>
      </c>
      <c r="E1940">
        <v>20950</v>
      </c>
      <c r="F1940" t="s">
        <v>50</v>
      </c>
      <c r="G1940" t="s">
        <v>15</v>
      </c>
      <c r="H1940" t="s">
        <v>46</v>
      </c>
      <c r="I1940">
        <v>209.5</v>
      </c>
      <c r="J1940">
        <v>0</v>
      </c>
      <c r="K1940">
        <v>209.5</v>
      </c>
    </row>
    <row r="1941" spans="1:11" x14ac:dyDescent="0.25">
      <c r="A1941" t="s">
        <v>1981</v>
      </c>
      <c r="B1941" s="1">
        <v>45843.884479166663</v>
      </c>
      <c r="C1941" s="2" t="s">
        <v>12</v>
      </c>
      <c r="D1941" t="s">
        <v>19</v>
      </c>
      <c r="E1941">
        <v>52601</v>
      </c>
      <c r="F1941" t="s">
        <v>14</v>
      </c>
      <c r="G1941" t="s">
        <v>84</v>
      </c>
      <c r="H1941" t="s">
        <v>16</v>
      </c>
      <c r="I1941">
        <v>5</v>
      </c>
      <c r="J1941">
        <v>0</v>
      </c>
      <c r="K1941">
        <v>5</v>
      </c>
    </row>
    <row r="1942" spans="1:11" x14ac:dyDescent="0.25">
      <c r="A1942" t="s">
        <v>1982</v>
      </c>
      <c r="B1942" s="1">
        <v>45981.013969907406</v>
      </c>
      <c r="C1942" s="2" t="s">
        <v>22</v>
      </c>
      <c r="D1942" t="s">
        <v>19</v>
      </c>
      <c r="E1942">
        <v>58170</v>
      </c>
      <c r="F1942" t="s">
        <v>14</v>
      </c>
      <c r="G1942" t="s">
        <v>27</v>
      </c>
      <c r="H1942" t="s">
        <v>16</v>
      </c>
      <c r="I1942">
        <v>5</v>
      </c>
      <c r="J1942">
        <v>0</v>
      </c>
      <c r="K1942">
        <v>5</v>
      </c>
    </row>
    <row r="1943" spans="1:11" x14ac:dyDescent="0.25">
      <c r="A1943" t="s">
        <v>1983</v>
      </c>
      <c r="B1943" s="1">
        <v>46042.293576388889</v>
      </c>
      <c r="C1943" s="2" t="s">
        <v>41</v>
      </c>
      <c r="D1943" t="s">
        <v>45</v>
      </c>
      <c r="E1943">
        <v>23532</v>
      </c>
      <c r="F1943" t="s">
        <v>14</v>
      </c>
      <c r="G1943" t="s">
        <v>51</v>
      </c>
      <c r="H1943" t="s">
        <v>71</v>
      </c>
      <c r="I1943">
        <v>235.32</v>
      </c>
      <c r="J1943">
        <v>0</v>
      </c>
      <c r="K1943">
        <v>235.32</v>
      </c>
    </row>
    <row r="1944" spans="1:11" x14ac:dyDescent="0.25">
      <c r="A1944" t="s">
        <v>1984</v>
      </c>
      <c r="B1944" s="1">
        <v>45794.042696759258</v>
      </c>
      <c r="C1944" s="2" t="s">
        <v>41</v>
      </c>
      <c r="D1944" t="s">
        <v>19</v>
      </c>
      <c r="E1944">
        <v>45371</v>
      </c>
      <c r="F1944" t="s">
        <v>14</v>
      </c>
      <c r="G1944" t="s">
        <v>34</v>
      </c>
      <c r="H1944" t="s">
        <v>16</v>
      </c>
      <c r="I1944">
        <v>5</v>
      </c>
      <c r="J1944">
        <v>0</v>
      </c>
      <c r="K1944">
        <v>5</v>
      </c>
    </row>
    <row r="1945" spans="1:11" x14ac:dyDescent="0.25">
      <c r="A1945" t="s">
        <v>1985</v>
      </c>
      <c r="B1945" s="1">
        <v>45955.734872685185</v>
      </c>
      <c r="C1945" s="2" t="s">
        <v>18</v>
      </c>
      <c r="D1945" t="s">
        <v>19</v>
      </c>
      <c r="E1945">
        <v>34626</v>
      </c>
      <c r="F1945" t="s">
        <v>50</v>
      </c>
      <c r="G1945" t="s">
        <v>15</v>
      </c>
      <c r="H1945" t="s">
        <v>16</v>
      </c>
      <c r="I1945">
        <v>5</v>
      </c>
      <c r="J1945">
        <v>0</v>
      </c>
      <c r="K1945">
        <v>5</v>
      </c>
    </row>
    <row r="1946" spans="1:11" x14ac:dyDescent="0.25">
      <c r="A1946" t="s">
        <v>1986</v>
      </c>
      <c r="B1946" s="1">
        <v>46074.810972222222</v>
      </c>
      <c r="C1946" s="2" t="s">
        <v>18</v>
      </c>
      <c r="D1946" t="s">
        <v>33</v>
      </c>
      <c r="E1946">
        <v>105804</v>
      </c>
      <c r="F1946" t="s">
        <v>50</v>
      </c>
      <c r="G1946" t="s">
        <v>15</v>
      </c>
      <c r="H1946" t="s">
        <v>16</v>
      </c>
      <c r="I1946">
        <v>0</v>
      </c>
      <c r="J1946">
        <v>0</v>
      </c>
      <c r="K1946">
        <v>0</v>
      </c>
    </row>
    <row r="1947" spans="1:11" x14ac:dyDescent="0.25">
      <c r="A1947" t="s">
        <v>1987</v>
      </c>
      <c r="B1947" s="1">
        <v>45911.847071759257</v>
      </c>
      <c r="C1947" s="2" t="s">
        <v>32</v>
      </c>
      <c r="D1947" t="s">
        <v>33</v>
      </c>
      <c r="E1947">
        <v>57770</v>
      </c>
      <c r="F1947" t="s">
        <v>14</v>
      </c>
      <c r="G1947" t="s">
        <v>27</v>
      </c>
      <c r="H1947" t="s">
        <v>16</v>
      </c>
      <c r="I1947">
        <v>0</v>
      </c>
      <c r="J1947">
        <v>0</v>
      </c>
      <c r="K1947">
        <v>0</v>
      </c>
    </row>
    <row r="1948" spans="1:11" x14ac:dyDescent="0.25">
      <c r="A1948" t="s">
        <v>1988</v>
      </c>
      <c r="B1948" s="1">
        <v>45800.162245370368</v>
      </c>
      <c r="C1948" s="2" t="s">
        <v>41</v>
      </c>
      <c r="D1948" t="s">
        <v>33</v>
      </c>
      <c r="E1948">
        <v>43414</v>
      </c>
      <c r="F1948" t="s">
        <v>50</v>
      </c>
      <c r="G1948" t="s">
        <v>34</v>
      </c>
      <c r="H1948" t="s">
        <v>16</v>
      </c>
      <c r="I1948">
        <v>0</v>
      </c>
      <c r="J1948">
        <v>0</v>
      </c>
      <c r="K1948">
        <v>0</v>
      </c>
    </row>
    <row r="1949" spans="1:11" x14ac:dyDescent="0.25">
      <c r="A1949" t="s">
        <v>1989</v>
      </c>
      <c r="B1949" s="1">
        <v>45780.457951388889</v>
      </c>
      <c r="C1949" s="2" t="s">
        <v>29</v>
      </c>
      <c r="D1949" t="s">
        <v>33</v>
      </c>
      <c r="E1949">
        <v>52871</v>
      </c>
      <c r="F1949" t="s">
        <v>14</v>
      </c>
      <c r="G1949" t="s">
        <v>51</v>
      </c>
      <c r="H1949" t="s">
        <v>16</v>
      </c>
      <c r="I1949">
        <v>0</v>
      </c>
      <c r="J1949">
        <v>0</v>
      </c>
      <c r="K1949">
        <v>0</v>
      </c>
    </row>
    <row r="1950" spans="1:11" x14ac:dyDescent="0.25">
      <c r="A1950" t="s">
        <v>1990</v>
      </c>
      <c r="B1950" s="1">
        <v>45903.193668981483</v>
      </c>
      <c r="C1950" s="2" t="s">
        <v>39</v>
      </c>
      <c r="D1950" t="s">
        <v>19</v>
      </c>
      <c r="E1950">
        <v>125021</v>
      </c>
      <c r="F1950" t="s">
        <v>14</v>
      </c>
      <c r="G1950" t="s">
        <v>51</v>
      </c>
      <c r="H1950" t="s">
        <v>16</v>
      </c>
      <c r="I1950">
        <v>5</v>
      </c>
      <c r="J1950">
        <v>0</v>
      </c>
      <c r="K1950">
        <v>5</v>
      </c>
    </row>
    <row r="1951" spans="1:11" x14ac:dyDescent="0.25">
      <c r="A1951" t="s">
        <v>1991</v>
      </c>
      <c r="B1951" s="1">
        <v>45965.481030092589</v>
      </c>
      <c r="C1951" s="2" t="s">
        <v>41</v>
      </c>
      <c r="D1951" t="s">
        <v>45</v>
      </c>
      <c r="E1951">
        <v>68213</v>
      </c>
      <c r="F1951" t="s">
        <v>14</v>
      </c>
      <c r="G1951" t="s">
        <v>84</v>
      </c>
      <c r="H1951" t="s">
        <v>46</v>
      </c>
      <c r="I1951">
        <v>682.13</v>
      </c>
      <c r="J1951">
        <v>0</v>
      </c>
      <c r="K1951">
        <v>682.13</v>
      </c>
    </row>
    <row r="1952" spans="1:11" x14ac:dyDescent="0.25">
      <c r="A1952" t="s">
        <v>1992</v>
      </c>
      <c r="B1952" s="1">
        <v>46093.48027777778</v>
      </c>
      <c r="C1952" s="2" t="s">
        <v>41</v>
      </c>
      <c r="D1952" t="s">
        <v>23</v>
      </c>
      <c r="E1952">
        <v>1699</v>
      </c>
      <c r="F1952" t="s">
        <v>14</v>
      </c>
      <c r="G1952" t="s">
        <v>58</v>
      </c>
      <c r="H1952" t="s">
        <v>16</v>
      </c>
      <c r="I1952">
        <v>0</v>
      </c>
      <c r="J1952">
        <v>0</v>
      </c>
      <c r="K1952">
        <v>0</v>
      </c>
    </row>
    <row r="1953" spans="1:11" x14ac:dyDescent="0.25">
      <c r="A1953" t="s">
        <v>1993</v>
      </c>
      <c r="B1953" s="1">
        <v>45927.150451388887</v>
      </c>
      <c r="C1953" s="2" t="s">
        <v>41</v>
      </c>
      <c r="D1953" t="s">
        <v>13</v>
      </c>
      <c r="E1953">
        <v>35500</v>
      </c>
      <c r="F1953" t="s">
        <v>14</v>
      </c>
      <c r="G1953" t="s">
        <v>24</v>
      </c>
      <c r="H1953" t="s">
        <v>16</v>
      </c>
      <c r="I1953">
        <v>656.75</v>
      </c>
      <c r="J1953">
        <v>262.7</v>
      </c>
      <c r="K1953">
        <v>394.05</v>
      </c>
    </row>
    <row r="1954" spans="1:11" x14ac:dyDescent="0.25">
      <c r="A1954" t="s">
        <v>1994</v>
      </c>
      <c r="B1954" s="1">
        <v>45927.973182870373</v>
      </c>
      <c r="C1954" s="2" t="s">
        <v>29</v>
      </c>
      <c r="D1954" t="s">
        <v>45</v>
      </c>
      <c r="E1954">
        <v>139041</v>
      </c>
      <c r="F1954" t="s">
        <v>14</v>
      </c>
      <c r="G1954" t="s">
        <v>15</v>
      </c>
      <c r="H1954" t="s">
        <v>71</v>
      </c>
      <c r="I1954">
        <v>1390.41</v>
      </c>
      <c r="J1954">
        <v>0</v>
      </c>
      <c r="K1954">
        <v>1390.41</v>
      </c>
    </row>
    <row r="1955" spans="1:11" x14ac:dyDescent="0.25">
      <c r="A1955" t="s">
        <v>1995</v>
      </c>
      <c r="B1955" s="1">
        <v>45987.564953703702</v>
      </c>
      <c r="C1955" s="2" t="s">
        <v>22</v>
      </c>
      <c r="D1955" t="s">
        <v>33</v>
      </c>
      <c r="E1955">
        <v>38395</v>
      </c>
      <c r="F1955" t="s">
        <v>14</v>
      </c>
      <c r="G1955" t="s">
        <v>20</v>
      </c>
      <c r="H1955" t="s">
        <v>16</v>
      </c>
      <c r="I1955">
        <v>0</v>
      </c>
      <c r="J1955">
        <v>0</v>
      </c>
      <c r="K1955">
        <v>0</v>
      </c>
    </row>
    <row r="1956" spans="1:11" x14ac:dyDescent="0.25">
      <c r="A1956" t="s">
        <v>1996</v>
      </c>
      <c r="B1956" s="1">
        <v>46076.883587962962</v>
      </c>
      <c r="C1956" s="2" t="s">
        <v>26</v>
      </c>
      <c r="D1956" t="s">
        <v>13</v>
      </c>
      <c r="E1956">
        <v>227500</v>
      </c>
      <c r="F1956" t="s">
        <v>14</v>
      </c>
      <c r="G1956" t="s">
        <v>20</v>
      </c>
      <c r="H1956" t="s">
        <v>16</v>
      </c>
      <c r="I1956">
        <v>4208.75</v>
      </c>
      <c r="J1956">
        <v>1683.5</v>
      </c>
      <c r="K1956">
        <v>2525.25</v>
      </c>
    </row>
    <row r="1957" spans="1:11" x14ac:dyDescent="0.25">
      <c r="A1957" t="s">
        <v>1997</v>
      </c>
      <c r="B1957" s="1">
        <v>45932.567650462966</v>
      </c>
      <c r="C1957" s="2" t="s">
        <v>39</v>
      </c>
      <c r="D1957" t="s">
        <v>23</v>
      </c>
      <c r="E1957">
        <v>4798</v>
      </c>
      <c r="F1957" t="s">
        <v>14</v>
      </c>
      <c r="G1957" t="s">
        <v>15</v>
      </c>
      <c r="H1957" t="s">
        <v>16</v>
      </c>
      <c r="I1957">
        <v>0</v>
      </c>
      <c r="J1957">
        <v>0</v>
      </c>
      <c r="K1957">
        <v>0</v>
      </c>
    </row>
    <row r="1958" spans="1:11" x14ac:dyDescent="0.25">
      <c r="A1958" t="s">
        <v>1998</v>
      </c>
      <c r="B1958" s="1">
        <v>45823.876226851855</v>
      </c>
      <c r="C1958" s="2" t="s">
        <v>41</v>
      </c>
      <c r="D1958" t="s">
        <v>33</v>
      </c>
      <c r="E1958">
        <v>35630</v>
      </c>
      <c r="F1958" t="s">
        <v>14</v>
      </c>
      <c r="G1958" t="s">
        <v>15</v>
      </c>
      <c r="H1958" t="s">
        <v>16</v>
      </c>
      <c r="I1958">
        <v>0</v>
      </c>
      <c r="J1958">
        <v>0</v>
      </c>
      <c r="K1958">
        <v>0</v>
      </c>
    </row>
    <row r="1959" spans="1:11" x14ac:dyDescent="0.25">
      <c r="A1959" t="s">
        <v>1999</v>
      </c>
      <c r="B1959" s="1">
        <v>46045.447256944448</v>
      </c>
      <c r="C1959" s="2" t="s">
        <v>32</v>
      </c>
      <c r="D1959" t="s">
        <v>45</v>
      </c>
      <c r="E1959">
        <v>56601</v>
      </c>
      <c r="F1959" t="s">
        <v>99</v>
      </c>
      <c r="G1959" t="s">
        <v>27</v>
      </c>
      <c r="H1959" t="s">
        <v>71</v>
      </c>
      <c r="I1959">
        <v>566.01</v>
      </c>
      <c r="J1959">
        <v>0</v>
      </c>
      <c r="K1959">
        <v>566.01</v>
      </c>
    </row>
    <row r="1960" spans="1:11" x14ac:dyDescent="0.25">
      <c r="A1960" t="s">
        <v>2000</v>
      </c>
      <c r="B1960" s="1">
        <v>46050.267465277779</v>
      </c>
      <c r="C1960" s="2" t="s">
        <v>12</v>
      </c>
      <c r="D1960" t="s">
        <v>33</v>
      </c>
      <c r="E1960">
        <v>71830</v>
      </c>
      <c r="F1960" t="s">
        <v>50</v>
      </c>
      <c r="G1960" t="s">
        <v>34</v>
      </c>
      <c r="H1960" t="s">
        <v>16</v>
      </c>
      <c r="I1960">
        <v>0</v>
      </c>
      <c r="J1960">
        <v>0</v>
      </c>
      <c r="K1960">
        <v>0</v>
      </c>
    </row>
    <row r="1961" spans="1:11" x14ac:dyDescent="0.25">
      <c r="A1961" t="s">
        <v>2001</v>
      </c>
      <c r="B1961" s="1">
        <v>45975.151724537034</v>
      </c>
      <c r="C1961" s="2" t="s">
        <v>18</v>
      </c>
      <c r="D1961" t="s">
        <v>23</v>
      </c>
      <c r="E1961">
        <v>23</v>
      </c>
      <c r="F1961" t="s">
        <v>14</v>
      </c>
      <c r="G1961" t="s">
        <v>30</v>
      </c>
      <c r="H1961" t="s">
        <v>16</v>
      </c>
      <c r="I1961">
        <v>0</v>
      </c>
      <c r="J1961">
        <v>0</v>
      </c>
      <c r="K1961">
        <v>0</v>
      </c>
    </row>
    <row r="1962" spans="1:11" x14ac:dyDescent="0.25">
      <c r="A1962" t="s">
        <v>2002</v>
      </c>
      <c r="B1962" s="1">
        <v>45848.274629629632</v>
      </c>
      <c r="C1962" s="2" t="s">
        <v>29</v>
      </c>
      <c r="D1962" t="s">
        <v>33</v>
      </c>
      <c r="E1962">
        <v>128533</v>
      </c>
      <c r="F1962" t="s">
        <v>14</v>
      </c>
      <c r="G1962" t="s">
        <v>27</v>
      </c>
      <c r="H1962" t="s">
        <v>16</v>
      </c>
      <c r="I1962">
        <v>0</v>
      </c>
      <c r="J1962">
        <v>0</v>
      </c>
      <c r="K1962">
        <v>0</v>
      </c>
    </row>
    <row r="1963" spans="1:11" x14ac:dyDescent="0.25">
      <c r="A1963" t="s">
        <v>2003</v>
      </c>
      <c r="B1963" s="1">
        <v>45807.579548611109</v>
      </c>
      <c r="C1963" s="2" t="s">
        <v>12</v>
      </c>
      <c r="D1963" t="s">
        <v>45</v>
      </c>
      <c r="E1963">
        <v>42851</v>
      </c>
      <c r="F1963" t="s">
        <v>50</v>
      </c>
      <c r="G1963" t="s">
        <v>84</v>
      </c>
      <c r="H1963" t="s">
        <v>46</v>
      </c>
      <c r="I1963">
        <v>428.51</v>
      </c>
      <c r="J1963">
        <v>0</v>
      </c>
      <c r="K1963">
        <v>428.51</v>
      </c>
    </row>
    <row r="1964" spans="1:11" x14ac:dyDescent="0.25">
      <c r="A1964" t="s">
        <v>2004</v>
      </c>
      <c r="B1964" s="1">
        <v>45879.946631944447</v>
      </c>
      <c r="C1964" s="2" t="s">
        <v>12</v>
      </c>
      <c r="D1964" t="s">
        <v>45</v>
      </c>
      <c r="E1964">
        <v>74589</v>
      </c>
      <c r="F1964" t="s">
        <v>50</v>
      </c>
      <c r="G1964" t="s">
        <v>84</v>
      </c>
      <c r="H1964" t="s">
        <v>59</v>
      </c>
      <c r="I1964">
        <v>745.89</v>
      </c>
      <c r="J1964">
        <v>0</v>
      </c>
      <c r="K1964">
        <v>745.89</v>
      </c>
    </row>
    <row r="1965" spans="1:11" x14ac:dyDescent="0.25">
      <c r="A1965" t="s">
        <v>2005</v>
      </c>
      <c r="B1965" s="1">
        <v>45816.053587962961</v>
      </c>
      <c r="C1965" s="2" t="s">
        <v>12</v>
      </c>
      <c r="D1965" t="s">
        <v>45</v>
      </c>
      <c r="E1965">
        <v>95034</v>
      </c>
      <c r="F1965" t="s">
        <v>14</v>
      </c>
      <c r="G1965" t="s">
        <v>20</v>
      </c>
      <c r="H1965" t="s">
        <v>71</v>
      </c>
      <c r="I1965">
        <v>950.34</v>
      </c>
      <c r="J1965">
        <v>0</v>
      </c>
      <c r="K1965">
        <v>950.34</v>
      </c>
    </row>
    <row r="1966" spans="1:11" x14ac:dyDescent="0.25">
      <c r="A1966" t="s">
        <v>2006</v>
      </c>
      <c r="B1966" s="1">
        <v>46140.395636574074</v>
      </c>
      <c r="C1966" s="2" t="s">
        <v>22</v>
      </c>
      <c r="D1966" t="s">
        <v>33</v>
      </c>
      <c r="E1966">
        <v>103565</v>
      </c>
      <c r="F1966" t="s">
        <v>14</v>
      </c>
      <c r="G1966" t="s">
        <v>20</v>
      </c>
      <c r="H1966" t="s">
        <v>16</v>
      </c>
      <c r="I1966">
        <v>0</v>
      </c>
      <c r="J1966">
        <v>0</v>
      </c>
      <c r="K1966">
        <v>0</v>
      </c>
    </row>
    <row r="1967" spans="1:11" x14ac:dyDescent="0.25">
      <c r="A1967" t="s">
        <v>2007</v>
      </c>
      <c r="B1967" s="1">
        <v>45980.711157407408</v>
      </c>
      <c r="C1967" s="2" t="s">
        <v>12</v>
      </c>
      <c r="D1967" t="s">
        <v>45</v>
      </c>
      <c r="E1967">
        <v>143455</v>
      </c>
      <c r="F1967" t="s">
        <v>14</v>
      </c>
      <c r="G1967" t="s">
        <v>24</v>
      </c>
      <c r="H1967" t="s">
        <v>56</v>
      </c>
      <c r="I1967">
        <v>1434.55</v>
      </c>
      <c r="J1967">
        <v>0</v>
      </c>
      <c r="K1967">
        <v>1434.55</v>
      </c>
    </row>
    <row r="1968" spans="1:11" x14ac:dyDescent="0.25">
      <c r="A1968" t="s">
        <v>2008</v>
      </c>
      <c r="B1968" s="1">
        <v>45909.663854166669</v>
      </c>
      <c r="C1968" s="2" t="s">
        <v>39</v>
      </c>
      <c r="D1968" t="s">
        <v>33</v>
      </c>
      <c r="E1968">
        <v>134822</v>
      </c>
      <c r="F1968" t="s">
        <v>14</v>
      </c>
      <c r="G1968" t="s">
        <v>58</v>
      </c>
      <c r="H1968" t="s">
        <v>16</v>
      </c>
      <c r="I1968">
        <v>0</v>
      </c>
      <c r="J1968">
        <v>0</v>
      </c>
      <c r="K1968">
        <v>0</v>
      </c>
    </row>
    <row r="1969" spans="1:11" x14ac:dyDescent="0.25">
      <c r="A1969" t="s">
        <v>2009</v>
      </c>
      <c r="B1969" s="1">
        <v>45956.515057870369</v>
      </c>
      <c r="C1969" s="2" t="s">
        <v>32</v>
      </c>
      <c r="D1969" t="s">
        <v>23</v>
      </c>
      <c r="E1969">
        <v>993</v>
      </c>
      <c r="F1969" t="s">
        <v>14</v>
      </c>
      <c r="G1969" t="s">
        <v>24</v>
      </c>
      <c r="H1969" t="s">
        <v>16</v>
      </c>
      <c r="I1969">
        <v>0</v>
      </c>
      <c r="J1969">
        <v>0</v>
      </c>
      <c r="K1969">
        <v>0</v>
      </c>
    </row>
    <row r="1970" spans="1:11" x14ac:dyDescent="0.25">
      <c r="A1970" t="s">
        <v>2010</v>
      </c>
      <c r="B1970" s="1">
        <v>45973.064039351855</v>
      </c>
      <c r="C1970" s="2" t="s">
        <v>26</v>
      </c>
      <c r="D1970" t="s">
        <v>23</v>
      </c>
      <c r="E1970">
        <v>4310</v>
      </c>
      <c r="F1970" t="s">
        <v>14</v>
      </c>
      <c r="G1970" t="s">
        <v>20</v>
      </c>
      <c r="H1970" t="s">
        <v>16</v>
      </c>
      <c r="I1970">
        <v>0</v>
      </c>
      <c r="J1970">
        <v>0</v>
      </c>
      <c r="K1970">
        <v>0</v>
      </c>
    </row>
    <row r="1971" spans="1:11" x14ac:dyDescent="0.25">
      <c r="A1971" t="s">
        <v>2011</v>
      </c>
      <c r="B1971" s="1">
        <v>45823.482916666668</v>
      </c>
      <c r="C1971" s="2" t="s">
        <v>32</v>
      </c>
      <c r="D1971" t="s">
        <v>45</v>
      </c>
      <c r="E1971">
        <v>149662</v>
      </c>
      <c r="F1971" t="s">
        <v>14</v>
      </c>
      <c r="G1971" t="s">
        <v>24</v>
      </c>
      <c r="H1971" t="s">
        <v>71</v>
      </c>
      <c r="I1971">
        <v>1496.62</v>
      </c>
      <c r="J1971">
        <v>0</v>
      </c>
      <c r="K1971">
        <v>1496.62</v>
      </c>
    </row>
    <row r="1972" spans="1:11" x14ac:dyDescent="0.25">
      <c r="A1972" t="s">
        <v>2012</v>
      </c>
      <c r="B1972" s="1">
        <v>46009.758333333331</v>
      </c>
      <c r="C1972" s="2" t="s">
        <v>22</v>
      </c>
      <c r="D1972" t="s">
        <v>23</v>
      </c>
      <c r="E1972">
        <v>2399</v>
      </c>
      <c r="F1972" t="s">
        <v>14</v>
      </c>
      <c r="G1972" t="s">
        <v>15</v>
      </c>
      <c r="H1972" t="s">
        <v>16</v>
      </c>
      <c r="I1972">
        <v>0</v>
      </c>
      <c r="J1972">
        <v>0</v>
      </c>
      <c r="K1972">
        <v>0</v>
      </c>
    </row>
    <row r="1973" spans="1:11" x14ac:dyDescent="0.25">
      <c r="A1973" t="s">
        <v>2013</v>
      </c>
      <c r="B1973" s="1">
        <v>45944.659236111111</v>
      </c>
      <c r="C1973" s="2" t="s">
        <v>18</v>
      </c>
      <c r="D1973" t="s">
        <v>19</v>
      </c>
      <c r="E1973">
        <v>18339</v>
      </c>
      <c r="F1973" t="s">
        <v>14</v>
      </c>
      <c r="G1973" t="s">
        <v>58</v>
      </c>
      <c r="H1973" t="s">
        <v>16</v>
      </c>
      <c r="I1973">
        <v>5</v>
      </c>
      <c r="J1973">
        <v>0</v>
      </c>
      <c r="K1973">
        <v>5</v>
      </c>
    </row>
    <row r="1974" spans="1:11" x14ac:dyDescent="0.25">
      <c r="A1974" t="s">
        <v>2014</v>
      </c>
      <c r="B1974" s="1">
        <v>45974.969722222224</v>
      </c>
      <c r="C1974" s="2" t="s">
        <v>22</v>
      </c>
      <c r="D1974" t="s">
        <v>13</v>
      </c>
      <c r="E1974">
        <v>227500</v>
      </c>
      <c r="F1974" t="s">
        <v>50</v>
      </c>
      <c r="G1974" t="s">
        <v>34</v>
      </c>
      <c r="H1974" t="s">
        <v>16</v>
      </c>
      <c r="I1974">
        <v>4208.75</v>
      </c>
      <c r="J1974">
        <v>1683.5</v>
      </c>
      <c r="K1974">
        <v>2525.25</v>
      </c>
    </row>
    <row r="1975" spans="1:11" x14ac:dyDescent="0.25">
      <c r="A1975" t="s">
        <v>2015</v>
      </c>
      <c r="B1975" s="1">
        <v>46062.741122685184</v>
      </c>
      <c r="C1975" s="2" t="s">
        <v>12</v>
      </c>
      <c r="D1975" t="s">
        <v>19</v>
      </c>
      <c r="E1975">
        <v>147171</v>
      </c>
      <c r="F1975" t="s">
        <v>14</v>
      </c>
      <c r="G1975" t="s">
        <v>34</v>
      </c>
      <c r="H1975" t="s">
        <v>16</v>
      </c>
      <c r="I1975">
        <v>5</v>
      </c>
      <c r="J1975">
        <v>0</v>
      </c>
      <c r="K1975">
        <v>5</v>
      </c>
    </row>
    <row r="1976" spans="1:11" x14ac:dyDescent="0.25">
      <c r="A1976" t="s">
        <v>2016</v>
      </c>
      <c r="B1976" s="1">
        <v>46025.496608796297</v>
      </c>
      <c r="C1976" s="2" t="s">
        <v>12</v>
      </c>
      <c r="D1976" t="s">
        <v>45</v>
      </c>
      <c r="E1976">
        <v>32684</v>
      </c>
      <c r="F1976" t="s">
        <v>14</v>
      </c>
      <c r="G1976" t="s">
        <v>84</v>
      </c>
      <c r="H1976" t="s">
        <v>59</v>
      </c>
      <c r="I1976">
        <v>326.83999999999997</v>
      </c>
      <c r="J1976">
        <v>0</v>
      </c>
      <c r="K1976">
        <v>326.83999999999997</v>
      </c>
    </row>
    <row r="1977" spans="1:11" x14ac:dyDescent="0.25">
      <c r="A1977" t="s">
        <v>2017</v>
      </c>
      <c r="B1977" s="1">
        <v>46035.663923611108</v>
      </c>
      <c r="C1977" s="2" t="s">
        <v>39</v>
      </c>
      <c r="D1977" t="s">
        <v>19</v>
      </c>
      <c r="E1977">
        <v>58681</v>
      </c>
      <c r="F1977" t="s">
        <v>14</v>
      </c>
      <c r="G1977" t="s">
        <v>58</v>
      </c>
      <c r="H1977" t="s">
        <v>16</v>
      </c>
      <c r="I1977">
        <v>5</v>
      </c>
      <c r="J1977">
        <v>0</v>
      </c>
      <c r="K1977">
        <v>5</v>
      </c>
    </row>
    <row r="1978" spans="1:11" x14ac:dyDescent="0.25">
      <c r="A1978" t="s">
        <v>2018</v>
      </c>
      <c r="B1978" s="1">
        <v>45988.737800925926</v>
      </c>
      <c r="C1978" s="2" t="s">
        <v>39</v>
      </c>
      <c r="D1978" t="s">
        <v>23</v>
      </c>
      <c r="E1978">
        <v>2471</v>
      </c>
      <c r="F1978" t="s">
        <v>14</v>
      </c>
      <c r="G1978" t="s">
        <v>15</v>
      </c>
      <c r="H1978" t="s">
        <v>16</v>
      </c>
      <c r="I1978">
        <v>0</v>
      </c>
      <c r="J1978">
        <v>0</v>
      </c>
      <c r="K1978">
        <v>0</v>
      </c>
    </row>
    <row r="1979" spans="1:11" x14ac:dyDescent="0.25">
      <c r="A1979" t="s">
        <v>2019</v>
      </c>
      <c r="B1979" s="1">
        <v>45844.776331018518</v>
      </c>
      <c r="C1979" s="2" t="s">
        <v>12</v>
      </c>
      <c r="D1979" t="s">
        <v>45</v>
      </c>
      <c r="E1979">
        <v>21619</v>
      </c>
      <c r="F1979" t="s">
        <v>50</v>
      </c>
      <c r="G1979" t="s">
        <v>20</v>
      </c>
      <c r="H1979" t="s">
        <v>178</v>
      </c>
      <c r="I1979">
        <v>216.19</v>
      </c>
      <c r="J1979">
        <v>0</v>
      </c>
      <c r="K1979">
        <v>216.19</v>
      </c>
    </row>
    <row r="1980" spans="1:11" x14ac:dyDescent="0.25">
      <c r="A1980" t="s">
        <v>2020</v>
      </c>
      <c r="B1980" s="1">
        <v>46091.675613425927</v>
      </c>
      <c r="C1980" s="2" t="s">
        <v>32</v>
      </c>
      <c r="D1980" t="s">
        <v>33</v>
      </c>
      <c r="E1980">
        <v>55807</v>
      </c>
      <c r="F1980" t="s">
        <v>14</v>
      </c>
      <c r="G1980" t="s">
        <v>24</v>
      </c>
      <c r="H1980" t="s">
        <v>16</v>
      </c>
      <c r="I1980">
        <v>0</v>
      </c>
      <c r="J1980">
        <v>0</v>
      </c>
      <c r="K1980">
        <v>0</v>
      </c>
    </row>
    <row r="1981" spans="1:11" x14ac:dyDescent="0.25">
      <c r="A1981" t="s">
        <v>2021</v>
      </c>
      <c r="B1981" s="1">
        <v>46059.606608796297</v>
      </c>
      <c r="C1981" s="2" t="s">
        <v>41</v>
      </c>
      <c r="D1981" t="s">
        <v>45</v>
      </c>
      <c r="E1981">
        <v>49026</v>
      </c>
      <c r="F1981" t="s">
        <v>14</v>
      </c>
      <c r="G1981" t="s">
        <v>34</v>
      </c>
      <c r="H1981" t="s">
        <v>46</v>
      </c>
      <c r="I1981">
        <v>490.26</v>
      </c>
      <c r="J1981">
        <v>0</v>
      </c>
      <c r="K1981">
        <v>490.26</v>
      </c>
    </row>
    <row r="1982" spans="1:11" x14ac:dyDescent="0.25">
      <c r="A1982" t="s">
        <v>2022</v>
      </c>
      <c r="B1982" s="1">
        <v>45965.773923611108</v>
      </c>
      <c r="C1982" s="2" t="s">
        <v>18</v>
      </c>
      <c r="D1982" t="s">
        <v>13</v>
      </c>
      <c r="E1982">
        <v>108500</v>
      </c>
      <c r="F1982" t="s">
        <v>99</v>
      </c>
      <c r="G1982" t="s">
        <v>34</v>
      </c>
      <c r="H1982" t="s">
        <v>16</v>
      </c>
      <c r="I1982">
        <v>2007.25</v>
      </c>
      <c r="J1982">
        <v>802.9</v>
      </c>
      <c r="K1982">
        <v>1204.3499999999999</v>
      </c>
    </row>
    <row r="1983" spans="1:11" x14ac:dyDescent="0.25">
      <c r="A1983" t="s">
        <v>2023</v>
      </c>
      <c r="B1983" s="1">
        <v>45939.854756944442</v>
      </c>
      <c r="C1983" s="2" t="s">
        <v>39</v>
      </c>
      <c r="D1983" t="s">
        <v>19</v>
      </c>
      <c r="E1983">
        <v>57305</v>
      </c>
      <c r="F1983" t="s">
        <v>99</v>
      </c>
      <c r="G1983" t="s">
        <v>20</v>
      </c>
      <c r="H1983" t="s">
        <v>16</v>
      </c>
      <c r="I1983">
        <v>5</v>
      </c>
      <c r="J1983">
        <v>0</v>
      </c>
      <c r="K1983">
        <v>5</v>
      </c>
    </row>
    <row r="1984" spans="1:11" x14ac:dyDescent="0.25">
      <c r="A1984" t="s">
        <v>2024</v>
      </c>
      <c r="B1984" s="1">
        <v>45889.719907407409</v>
      </c>
      <c r="C1984" s="2" t="s">
        <v>32</v>
      </c>
      <c r="D1984" t="s">
        <v>19</v>
      </c>
      <c r="E1984">
        <v>6977</v>
      </c>
      <c r="F1984" t="s">
        <v>14</v>
      </c>
      <c r="G1984" t="s">
        <v>15</v>
      </c>
      <c r="H1984" t="s">
        <v>16</v>
      </c>
      <c r="I1984">
        <v>5</v>
      </c>
      <c r="J1984">
        <v>0</v>
      </c>
      <c r="K1984">
        <v>5</v>
      </c>
    </row>
    <row r="1985" spans="1:11" x14ac:dyDescent="0.25">
      <c r="A1985" t="s">
        <v>2025</v>
      </c>
      <c r="B1985" s="1">
        <v>45807.033831018518</v>
      </c>
      <c r="C1985" s="2" t="s">
        <v>39</v>
      </c>
      <c r="D1985" t="s">
        <v>13</v>
      </c>
      <c r="E1985">
        <v>180000</v>
      </c>
      <c r="F1985" t="s">
        <v>14</v>
      </c>
      <c r="G1985" t="s">
        <v>27</v>
      </c>
      <c r="H1985" t="s">
        <v>16</v>
      </c>
      <c r="I1985">
        <v>3330</v>
      </c>
      <c r="J1985">
        <v>1332</v>
      </c>
      <c r="K1985">
        <v>1998</v>
      </c>
    </row>
    <row r="1986" spans="1:11" x14ac:dyDescent="0.25">
      <c r="A1986" t="s">
        <v>2026</v>
      </c>
      <c r="B1986" s="1">
        <v>45796.193715277775</v>
      </c>
      <c r="C1986" s="2" t="s">
        <v>18</v>
      </c>
      <c r="D1986" t="s">
        <v>33</v>
      </c>
      <c r="E1986">
        <v>73329</v>
      </c>
      <c r="F1986" t="s">
        <v>14</v>
      </c>
      <c r="G1986" t="s">
        <v>34</v>
      </c>
      <c r="H1986" t="s">
        <v>16</v>
      </c>
      <c r="I1986">
        <v>0</v>
      </c>
      <c r="J1986">
        <v>0</v>
      </c>
      <c r="K1986">
        <v>0</v>
      </c>
    </row>
    <row r="1987" spans="1:11" x14ac:dyDescent="0.25">
      <c r="A1987" t="s">
        <v>2027</v>
      </c>
      <c r="B1987" s="1">
        <v>46097.083333333336</v>
      </c>
      <c r="C1987" s="2" t="s">
        <v>41</v>
      </c>
      <c r="D1987" t="s">
        <v>19</v>
      </c>
      <c r="E1987">
        <v>50461</v>
      </c>
      <c r="F1987" t="s">
        <v>14</v>
      </c>
      <c r="G1987" t="s">
        <v>58</v>
      </c>
      <c r="H1987" t="s">
        <v>16</v>
      </c>
      <c r="I1987">
        <v>5</v>
      </c>
      <c r="J1987">
        <v>0</v>
      </c>
      <c r="K1987">
        <v>5</v>
      </c>
    </row>
    <row r="1988" spans="1:11" x14ac:dyDescent="0.25">
      <c r="A1988" t="s">
        <v>2028</v>
      </c>
      <c r="B1988" s="1">
        <v>46135.587581018517</v>
      </c>
      <c r="C1988" s="2" t="s">
        <v>26</v>
      </c>
      <c r="D1988" t="s">
        <v>19</v>
      </c>
      <c r="E1988">
        <v>48658</v>
      </c>
      <c r="F1988" t="s">
        <v>50</v>
      </c>
      <c r="G1988" t="s">
        <v>30</v>
      </c>
      <c r="H1988" t="s">
        <v>16</v>
      </c>
      <c r="I1988">
        <v>5</v>
      </c>
      <c r="J1988">
        <v>0</v>
      </c>
      <c r="K1988">
        <v>5</v>
      </c>
    </row>
    <row r="1989" spans="1:11" x14ac:dyDescent="0.25">
      <c r="A1989" t="s">
        <v>2029</v>
      </c>
      <c r="B1989" s="1">
        <v>46127.281018518515</v>
      </c>
      <c r="C1989" s="2" t="s">
        <v>32</v>
      </c>
      <c r="D1989" t="s">
        <v>13</v>
      </c>
      <c r="E1989">
        <v>93000</v>
      </c>
      <c r="F1989" t="s">
        <v>14</v>
      </c>
      <c r="G1989" t="s">
        <v>84</v>
      </c>
      <c r="H1989" t="s">
        <v>16</v>
      </c>
      <c r="I1989">
        <v>1720.5</v>
      </c>
      <c r="J1989">
        <v>688.2</v>
      </c>
      <c r="K1989">
        <v>1032.3</v>
      </c>
    </row>
    <row r="1990" spans="1:11" x14ac:dyDescent="0.25">
      <c r="A1990" t="s">
        <v>2030</v>
      </c>
      <c r="B1990" s="1">
        <v>46053.726990740739</v>
      </c>
      <c r="C1990" s="2" t="s">
        <v>22</v>
      </c>
      <c r="D1990" t="s">
        <v>45</v>
      </c>
      <c r="E1990">
        <v>44563</v>
      </c>
      <c r="F1990" t="s">
        <v>14</v>
      </c>
      <c r="G1990" t="s">
        <v>30</v>
      </c>
      <c r="H1990" t="s">
        <v>71</v>
      </c>
      <c r="I1990">
        <v>445.63</v>
      </c>
      <c r="J1990">
        <v>0</v>
      </c>
      <c r="K1990">
        <v>445.63</v>
      </c>
    </row>
    <row r="1991" spans="1:11" x14ac:dyDescent="0.25">
      <c r="A1991" t="s">
        <v>2031</v>
      </c>
      <c r="B1991" s="1">
        <v>45961.415486111109</v>
      </c>
      <c r="C1991" s="2" t="s">
        <v>32</v>
      </c>
      <c r="D1991" t="s">
        <v>33</v>
      </c>
      <c r="E1991">
        <v>99980</v>
      </c>
      <c r="F1991" t="s">
        <v>14</v>
      </c>
      <c r="G1991" t="s">
        <v>84</v>
      </c>
      <c r="H1991" t="s">
        <v>16</v>
      </c>
      <c r="I1991">
        <v>0</v>
      </c>
      <c r="J1991">
        <v>0</v>
      </c>
      <c r="K1991">
        <v>0</v>
      </c>
    </row>
    <row r="1992" spans="1:11" x14ac:dyDescent="0.25">
      <c r="A1992" t="s">
        <v>2032</v>
      </c>
      <c r="B1992" s="1">
        <v>45945.494328703702</v>
      </c>
      <c r="C1992" s="2" t="s">
        <v>29</v>
      </c>
      <c r="D1992" t="s">
        <v>13</v>
      </c>
      <c r="E1992">
        <v>39500</v>
      </c>
      <c r="F1992" t="s">
        <v>14</v>
      </c>
      <c r="G1992" t="s">
        <v>84</v>
      </c>
      <c r="H1992" t="s">
        <v>16</v>
      </c>
      <c r="I1992">
        <v>730.75</v>
      </c>
      <c r="J1992">
        <v>292.3</v>
      </c>
      <c r="K1992">
        <v>438.45</v>
      </c>
    </row>
    <row r="1993" spans="1:11" x14ac:dyDescent="0.25">
      <c r="A1993" t="s">
        <v>2033</v>
      </c>
      <c r="B1993" s="1">
        <v>45792.059201388889</v>
      </c>
      <c r="C1993" s="2" t="s">
        <v>29</v>
      </c>
      <c r="D1993" t="s">
        <v>33</v>
      </c>
      <c r="E1993">
        <v>10422</v>
      </c>
      <c r="F1993" t="s">
        <v>14</v>
      </c>
      <c r="G1993" t="s">
        <v>51</v>
      </c>
      <c r="H1993" t="s">
        <v>16</v>
      </c>
      <c r="I1993">
        <v>0</v>
      </c>
      <c r="J1993">
        <v>0</v>
      </c>
      <c r="K1993">
        <v>0</v>
      </c>
    </row>
    <row r="1994" spans="1:11" x14ac:dyDescent="0.25">
      <c r="A1994" t="s">
        <v>2034</v>
      </c>
      <c r="B1994" s="1">
        <v>45989.325208333335</v>
      </c>
      <c r="C1994" s="2" t="s">
        <v>18</v>
      </c>
      <c r="D1994" t="s">
        <v>23</v>
      </c>
      <c r="E1994">
        <v>268</v>
      </c>
      <c r="F1994" t="s">
        <v>14</v>
      </c>
      <c r="G1994" t="s">
        <v>20</v>
      </c>
      <c r="H1994" t="s">
        <v>16</v>
      </c>
      <c r="I1994">
        <v>0</v>
      </c>
      <c r="J1994">
        <v>0</v>
      </c>
      <c r="K1994">
        <v>0</v>
      </c>
    </row>
    <row r="1995" spans="1:11" x14ac:dyDescent="0.25">
      <c r="A1995" t="s">
        <v>2035</v>
      </c>
      <c r="B1995" s="1">
        <v>45900.199583333335</v>
      </c>
      <c r="C1995" s="2" t="s">
        <v>41</v>
      </c>
      <c r="D1995" t="s">
        <v>45</v>
      </c>
      <c r="E1995">
        <v>93466</v>
      </c>
      <c r="F1995" t="s">
        <v>14</v>
      </c>
      <c r="G1995" t="s">
        <v>20</v>
      </c>
      <c r="H1995" t="s">
        <v>46</v>
      </c>
      <c r="I1995">
        <v>934.66</v>
      </c>
      <c r="J1995">
        <v>0</v>
      </c>
      <c r="K1995">
        <v>934.66</v>
      </c>
    </row>
    <row r="1996" spans="1:11" x14ac:dyDescent="0.25">
      <c r="A1996" t="s">
        <v>2036</v>
      </c>
      <c r="B1996" s="1">
        <v>46015.842152777775</v>
      </c>
      <c r="C1996" s="2" t="s">
        <v>12</v>
      </c>
      <c r="D1996" t="s">
        <v>33</v>
      </c>
      <c r="E1996">
        <v>81198</v>
      </c>
      <c r="F1996" t="s">
        <v>14</v>
      </c>
      <c r="G1996" t="s">
        <v>15</v>
      </c>
      <c r="H1996" t="s">
        <v>16</v>
      </c>
      <c r="I1996">
        <v>0</v>
      </c>
      <c r="J1996">
        <v>0</v>
      </c>
      <c r="K1996">
        <v>0</v>
      </c>
    </row>
    <row r="1997" spans="1:11" x14ac:dyDescent="0.25">
      <c r="A1997" t="s">
        <v>2037</v>
      </c>
      <c r="B1997" s="1">
        <v>46014.204259259262</v>
      </c>
      <c r="C1997" s="2" t="s">
        <v>29</v>
      </c>
      <c r="D1997" t="s">
        <v>45</v>
      </c>
      <c r="E1997">
        <v>119482</v>
      </c>
      <c r="F1997" t="s">
        <v>14</v>
      </c>
      <c r="G1997" t="s">
        <v>20</v>
      </c>
      <c r="H1997" t="s">
        <v>59</v>
      </c>
      <c r="I1997">
        <v>1194.82</v>
      </c>
      <c r="J1997">
        <v>0</v>
      </c>
      <c r="K1997">
        <v>1194.82</v>
      </c>
    </row>
    <row r="1998" spans="1:11" x14ac:dyDescent="0.25">
      <c r="A1998" t="s">
        <v>2038</v>
      </c>
      <c r="B1998" s="1">
        <v>46129.087696759256</v>
      </c>
      <c r="C1998" s="2" t="s">
        <v>18</v>
      </c>
      <c r="D1998" t="s">
        <v>19</v>
      </c>
      <c r="E1998">
        <v>66080</v>
      </c>
      <c r="F1998" t="s">
        <v>50</v>
      </c>
      <c r="G1998" t="s">
        <v>84</v>
      </c>
      <c r="H1998" t="s">
        <v>16</v>
      </c>
      <c r="I1998">
        <v>5</v>
      </c>
      <c r="J1998">
        <v>0</v>
      </c>
      <c r="K1998">
        <v>5</v>
      </c>
    </row>
    <row r="1999" spans="1:11" x14ac:dyDescent="0.25">
      <c r="A1999" t="s">
        <v>2039</v>
      </c>
      <c r="B1999" s="1">
        <v>46106.378148148149</v>
      </c>
      <c r="C1999" s="2" t="s">
        <v>32</v>
      </c>
      <c r="D1999" t="s">
        <v>19</v>
      </c>
      <c r="E1999">
        <v>134793</v>
      </c>
      <c r="F1999" t="s">
        <v>14</v>
      </c>
      <c r="G1999" t="s">
        <v>15</v>
      </c>
      <c r="H1999" t="s">
        <v>16</v>
      </c>
      <c r="I1999">
        <v>5</v>
      </c>
      <c r="J1999">
        <v>0</v>
      </c>
      <c r="K1999">
        <v>5</v>
      </c>
    </row>
    <row r="2000" spans="1:11" x14ac:dyDescent="0.25">
      <c r="A2000" t="s">
        <v>2040</v>
      </c>
      <c r="B2000" s="1">
        <v>45868.769004629627</v>
      </c>
      <c r="C2000" s="2" t="s">
        <v>39</v>
      </c>
      <c r="D2000" t="s">
        <v>13</v>
      </c>
      <c r="E2000">
        <v>213000</v>
      </c>
      <c r="F2000" t="s">
        <v>14</v>
      </c>
      <c r="G2000" t="s">
        <v>51</v>
      </c>
      <c r="H2000" t="s">
        <v>16</v>
      </c>
      <c r="I2000">
        <v>3940.5</v>
      </c>
      <c r="J2000">
        <v>1576.2</v>
      </c>
      <c r="K2000">
        <v>2364.3000000000002</v>
      </c>
    </row>
    <row r="2001" spans="1:11" x14ac:dyDescent="0.25">
      <c r="A2001" t="s">
        <v>2041</v>
      </c>
      <c r="B2001" s="1">
        <v>45893.373622685183</v>
      </c>
      <c r="C2001" s="2" t="s">
        <v>18</v>
      </c>
      <c r="D2001" t="s">
        <v>13</v>
      </c>
      <c r="E2001">
        <v>204500</v>
      </c>
      <c r="F2001" t="s">
        <v>14</v>
      </c>
      <c r="G2001" t="s">
        <v>51</v>
      </c>
      <c r="H2001" t="s">
        <v>16</v>
      </c>
      <c r="I2001">
        <v>3783.25</v>
      </c>
      <c r="J2001">
        <v>1513.3</v>
      </c>
      <c r="K2001">
        <v>2269.9499999999998</v>
      </c>
    </row>
    <row r="2002" spans="1:11" x14ac:dyDescent="0.25">
      <c r="A2002" t="s">
        <v>2042</v>
      </c>
      <c r="B2002" s="1">
        <v>46074.962129629632</v>
      </c>
      <c r="C2002" s="2" t="s">
        <v>18</v>
      </c>
      <c r="D2002" t="s">
        <v>19</v>
      </c>
      <c r="E2002">
        <v>6251</v>
      </c>
      <c r="F2002" t="s">
        <v>14</v>
      </c>
      <c r="G2002" t="s">
        <v>15</v>
      </c>
      <c r="H2002" t="s">
        <v>16</v>
      </c>
      <c r="I2002">
        <v>5</v>
      </c>
      <c r="J2002">
        <v>0</v>
      </c>
      <c r="K2002">
        <v>5</v>
      </c>
    </row>
    <row r="2003" spans="1:11" x14ac:dyDescent="0.25">
      <c r="A2003" t="s">
        <v>2043</v>
      </c>
      <c r="B2003" s="1">
        <v>45831.437395833331</v>
      </c>
      <c r="C2003" s="2" t="s">
        <v>32</v>
      </c>
      <c r="D2003" t="s">
        <v>23</v>
      </c>
      <c r="E2003">
        <v>1577</v>
      </c>
      <c r="F2003" t="s">
        <v>14</v>
      </c>
      <c r="G2003" t="s">
        <v>84</v>
      </c>
      <c r="H2003" t="s">
        <v>16</v>
      </c>
      <c r="I2003">
        <v>0</v>
      </c>
      <c r="J2003">
        <v>0</v>
      </c>
      <c r="K2003">
        <v>0</v>
      </c>
    </row>
    <row r="2004" spans="1:11" x14ac:dyDescent="0.25">
      <c r="A2004" t="s">
        <v>2044</v>
      </c>
      <c r="B2004" s="1">
        <v>46126.432962962965</v>
      </c>
      <c r="C2004" s="2" t="s">
        <v>26</v>
      </c>
      <c r="D2004" t="s">
        <v>19</v>
      </c>
      <c r="E2004">
        <v>99010</v>
      </c>
      <c r="F2004" t="s">
        <v>14</v>
      </c>
      <c r="G2004" t="s">
        <v>58</v>
      </c>
      <c r="H2004" t="s">
        <v>16</v>
      </c>
      <c r="I2004">
        <v>5</v>
      </c>
      <c r="J2004">
        <v>0</v>
      </c>
      <c r="K2004">
        <v>5</v>
      </c>
    </row>
    <row r="2005" spans="1:11" x14ac:dyDescent="0.25">
      <c r="A2005" t="s">
        <v>2045</v>
      </c>
      <c r="B2005" s="1">
        <v>46095.205393518518</v>
      </c>
      <c r="C2005" s="2" t="s">
        <v>18</v>
      </c>
      <c r="D2005" t="s">
        <v>13</v>
      </c>
      <c r="E2005">
        <v>100000</v>
      </c>
      <c r="F2005" t="s">
        <v>14</v>
      </c>
      <c r="G2005" t="s">
        <v>20</v>
      </c>
      <c r="H2005" t="s">
        <v>16</v>
      </c>
      <c r="I2005">
        <v>1850</v>
      </c>
      <c r="J2005">
        <v>740</v>
      </c>
      <c r="K2005">
        <v>1110</v>
      </c>
    </row>
    <row r="2006" spans="1:11" x14ac:dyDescent="0.25">
      <c r="A2006" t="s">
        <v>2046</v>
      </c>
      <c r="B2006" s="1">
        <v>45947.01766203704</v>
      </c>
      <c r="C2006" s="2" t="s">
        <v>18</v>
      </c>
      <c r="D2006" t="s">
        <v>19</v>
      </c>
      <c r="E2006">
        <v>1524</v>
      </c>
      <c r="F2006" t="s">
        <v>14</v>
      </c>
      <c r="G2006" t="s">
        <v>84</v>
      </c>
      <c r="H2006" t="s">
        <v>16</v>
      </c>
      <c r="I2006">
        <v>5</v>
      </c>
      <c r="J2006">
        <v>0</v>
      </c>
      <c r="K2006">
        <v>5</v>
      </c>
    </row>
    <row r="2007" spans="1:11" x14ac:dyDescent="0.25">
      <c r="A2007" t="s">
        <v>2047</v>
      </c>
      <c r="B2007" s="1">
        <v>46074.19972222222</v>
      </c>
      <c r="C2007" s="2" t="s">
        <v>18</v>
      </c>
      <c r="D2007" t="s">
        <v>33</v>
      </c>
      <c r="E2007">
        <v>111697</v>
      </c>
      <c r="F2007" t="s">
        <v>14</v>
      </c>
      <c r="G2007" t="s">
        <v>20</v>
      </c>
      <c r="H2007" t="s">
        <v>16</v>
      </c>
      <c r="I2007">
        <v>0</v>
      </c>
      <c r="J2007">
        <v>0</v>
      </c>
      <c r="K2007">
        <v>0</v>
      </c>
    </row>
    <row r="2008" spans="1:11" x14ac:dyDescent="0.25">
      <c r="A2008" t="s">
        <v>2048</v>
      </c>
      <c r="B2008" s="1">
        <v>46071.185208333336</v>
      </c>
      <c r="C2008" s="2" t="s">
        <v>18</v>
      </c>
      <c r="D2008" t="s">
        <v>19</v>
      </c>
      <c r="E2008">
        <v>95844</v>
      </c>
      <c r="F2008" t="s">
        <v>14</v>
      </c>
      <c r="G2008" t="s">
        <v>51</v>
      </c>
      <c r="H2008" t="s">
        <v>16</v>
      </c>
      <c r="I2008">
        <v>5</v>
      </c>
      <c r="J2008">
        <v>0</v>
      </c>
      <c r="K2008">
        <v>5</v>
      </c>
    </row>
    <row r="2009" spans="1:11" x14ac:dyDescent="0.25">
      <c r="A2009" t="s">
        <v>2049</v>
      </c>
      <c r="B2009" s="1">
        <v>45822.701793981483</v>
      </c>
      <c r="C2009" s="2" t="s">
        <v>29</v>
      </c>
      <c r="D2009" t="s">
        <v>33</v>
      </c>
      <c r="E2009">
        <v>3119</v>
      </c>
      <c r="F2009" t="s">
        <v>14</v>
      </c>
      <c r="G2009" t="s">
        <v>20</v>
      </c>
      <c r="H2009" t="s">
        <v>16</v>
      </c>
      <c r="I2009">
        <v>0</v>
      </c>
      <c r="J2009">
        <v>0</v>
      </c>
      <c r="K2009">
        <v>0</v>
      </c>
    </row>
    <row r="2010" spans="1:11" x14ac:dyDescent="0.25">
      <c r="A2010" t="s">
        <v>2050</v>
      </c>
      <c r="B2010" s="1">
        <v>45997.814398148148</v>
      </c>
      <c r="C2010" s="2" t="s">
        <v>29</v>
      </c>
      <c r="D2010" t="s">
        <v>45</v>
      </c>
      <c r="E2010">
        <v>43608</v>
      </c>
      <c r="F2010" t="s">
        <v>50</v>
      </c>
      <c r="G2010" t="s">
        <v>27</v>
      </c>
      <c r="H2010" t="s">
        <v>46</v>
      </c>
      <c r="I2010">
        <v>436.08</v>
      </c>
      <c r="J2010">
        <v>0</v>
      </c>
      <c r="K2010">
        <v>436.08</v>
      </c>
    </row>
    <row r="2011" spans="1:11" x14ac:dyDescent="0.25">
      <c r="A2011" t="s">
        <v>2051</v>
      </c>
      <c r="B2011" s="1">
        <v>45964.629363425927</v>
      </c>
      <c r="C2011" s="2" t="s">
        <v>22</v>
      </c>
      <c r="D2011" t="s">
        <v>19</v>
      </c>
      <c r="E2011">
        <v>37684</v>
      </c>
      <c r="F2011" t="s">
        <v>14</v>
      </c>
      <c r="G2011" t="s">
        <v>34</v>
      </c>
      <c r="H2011" t="s">
        <v>16</v>
      </c>
      <c r="I2011">
        <v>5</v>
      </c>
      <c r="J2011">
        <v>0</v>
      </c>
      <c r="K2011">
        <v>5</v>
      </c>
    </row>
    <row r="2012" spans="1:11" x14ac:dyDescent="0.25">
      <c r="A2012" t="s">
        <v>2052</v>
      </c>
      <c r="B2012" s="1">
        <v>46020.875486111108</v>
      </c>
      <c r="C2012" s="2" t="s">
        <v>41</v>
      </c>
      <c r="D2012" t="s">
        <v>19</v>
      </c>
      <c r="E2012">
        <v>45187</v>
      </c>
      <c r="F2012" t="s">
        <v>14</v>
      </c>
      <c r="G2012" t="s">
        <v>34</v>
      </c>
      <c r="H2012" t="s">
        <v>16</v>
      </c>
      <c r="I2012">
        <v>5</v>
      </c>
      <c r="J2012">
        <v>0</v>
      </c>
      <c r="K2012">
        <v>5</v>
      </c>
    </row>
    <row r="2013" spans="1:11" x14ac:dyDescent="0.25">
      <c r="A2013" t="s">
        <v>2053</v>
      </c>
      <c r="B2013" s="1">
        <v>45886.947141203702</v>
      </c>
      <c r="C2013" s="2" t="s">
        <v>18</v>
      </c>
      <c r="D2013" t="s">
        <v>19</v>
      </c>
      <c r="E2013">
        <v>85809</v>
      </c>
      <c r="F2013" t="s">
        <v>14</v>
      </c>
      <c r="G2013" t="s">
        <v>84</v>
      </c>
      <c r="H2013" t="s">
        <v>16</v>
      </c>
      <c r="I2013">
        <v>5</v>
      </c>
      <c r="J2013">
        <v>0</v>
      </c>
      <c r="K2013">
        <v>5</v>
      </c>
    </row>
    <row r="2014" spans="1:11" x14ac:dyDescent="0.25">
      <c r="A2014" t="s">
        <v>2054</v>
      </c>
      <c r="B2014" s="1">
        <v>45789.05982638889</v>
      </c>
      <c r="C2014" s="2" t="s">
        <v>18</v>
      </c>
      <c r="D2014" t="s">
        <v>45</v>
      </c>
      <c r="E2014">
        <v>19231</v>
      </c>
      <c r="F2014" t="s">
        <v>14</v>
      </c>
      <c r="G2014" t="s">
        <v>27</v>
      </c>
      <c r="H2014" t="s">
        <v>71</v>
      </c>
      <c r="I2014">
        <v>192.31</v>
      </c>
      <c r="J2014">
        <v>0</v>
      </c>
      <c r="K2014">
        <v>192.31</v>
      </c>
    </row>
    <row r="2015" spans="1:11" x14ac:dyDescent="0.25">
      <c r="A2015" t="s">
        <v>2055</v>
      </c>
      <c r="B2015" s="1">
        <v>45866.939513888887</v>
      </c>
      <c r="C2015" s="2" t="s">
        <v>12</v>
      </c>
      <c r="D2015" t="s">
        <v>33</v>
      </c>
      <c r="E2015">
        <v>136579</v>
      </c>
      <c r="F2015" t="s">
        <v>14</v>
      </c>
      <c r="G2015" t="s">
        <v>51</v>
      </c>
      <c r="H2015" t="s">
        <v>16</v>
      </c>
      <c r="I2015">
        <v>0</v>
      </c>
      <c r="J2015">
        <v>0</v>
      </c>
      <c r="K2015">
        <v>0</v>
      </c>
    </row>
    <row r="2016" spans="1:11" x14ac:dyDescent="0.25">
      <c r="A2016" t="s">
        <v>2056</v>
      </c>
      <c r="B2016" s="1">
        <v>46078.908703703702</v>
      </c>
      <c r="C2016" s="2" t="s">
        <v>39</v>
      </c>
      <c r="D2016" t="s">
        <v>13</v>
      </c>
      <c r="E2016">
        <v>248000</v>
      </c>
      <c r="F2016" t="s">
        <v>14</v>
      </c>
      <c r="G2016" t="s">
        <v>34</v>
      </c>
      <c r="H2016" t="s">
        <v>16</v>
      </c>
      <c r="I2016">
        <v>4588</v>
      </c>
      <c r="J2016">
        <v>1835.2</v>
      </c>
      <c r="K2016">
        <v>2752.8</v>
      </c>
    </row>
    <row r="2017" spans="1:11" x14ac:dyDescent="0.25">
      <c r="A2017" t="s">
        <v>2057</v>
      </c>
      <c r="B2017" s="1">
        <v>45779.121111111112</v>
      </c>
      <c r="C2017" s="2" t="s">
        <v>12</v>
      </c>
      <c r="D2017" t="s">
        <v>13</v>
      </c>
      <c r="E2017">
        <v>168000</v>
      </c>
      <c r="F2017" t="s">
        <v>14</v>
      </c>
      <c r="G2017" t="s">
        <v>30</v>
      </c>
      <c r="H2017" t="s">
        <v>16</v>
      </c>
      <c r="I2017">
        <v>3108</v>
      </c>
      <c r="J2017">
        <v>1243.2</v>
      </c>
      <c r="K2017">
        <v>1864.8</v>
      </c>
    </row>
    <row r="2018" spans="1:11" x14ac:dyDescent="0.25">
      <c r="A2018" t="s">
        <v>2058</v>
      </c>
      <c r="B2018" s="1">
        <v>46015.328564814816</v>
      </c>
      <c r="C2018" s="2" t="s">
        <v>41</v>
      </c>
      <c r="D2018" t="s">
        <v>19</v>
      </c>
      <c r="E2018">
        <v>87984</v>
      </c>
      <c r="F2018" t="s">
        <v>50</v>
      </c>
      <c r="G2018" t="s">
        <v>27</v>
      </c>
      <c r="H2018" t="s">
        <v>16</v>
      </c>
      <c r="I2018">
        <v>5</v>
      </c>
      <c r="J2018">
        <v>0</v>
      </c>
      <c r="K2018">
        <v>5</v>
      </c>
    </row>
    <row r="2019" spans="1:11" x14ac:dyDescent="0.25">
      <c r="A2019" t="s">
        <v>2059</v>
      </c>
      <c r="B2019" s="1">
        <v>46107.742754629631</v>
      </c>
      <c r="C2019" s="2" t="s">
        <v>12</v>
      </c>
      <c r="D2019" t="s">
        <v>33</v>
      </c>
      <c r="E2019">
        <v>42400</v>
      </c>
      <c r="F2019" t="s">
        <v>50</v>
      </c>
      <c r="G2019" t="s">
        <v>34</v>
      </c>
      <c r="H2019" t="s">
        <v>16</v>
      </c>
      <c r="I2019">
        <v>0</v>
      </c>
      <c r="J2019">
        <v>0</v>
      </c>
      <c r="K2019">
        <v>0</v>
      </c>
    </row>
    <row r="2020" spans="1:11" x14ac:dyDescent="0.25">
      <c r="A2020" t="s">
        <v>2060</v>
      </c>
      <c r="B2020" s="1">
        <v>45810.016875000001</v>
      </c>
      <c r="C2020" s="2" t="s">
        <v>41</v>
      </c>
      <c r="D2020" t="s">
        <v>45</v>
      </c>
      <c r="E2020">
        <v>146461</v>
      </c>
      <c r="F2020" t="s">
        <v>99</v>
      </c>
      <c r="G2020" t="s">
        <v>34</v>
      </c>
      <c r="H2020" t="s">
        <v>56</v>
      </c>
      <c r="I2020">
        <v>1464.61</v>
      </c>
      <c r="J2020">
        <v>0</v>
      </c>
      <c r="K2020">
        <v>1464.61</v>
      </c>
    </row>
    <row r="2021" spans="1:11" x14ac:dyDescent="0.25">
      <c r="A2021" t="s">
        <v>2061</v>
      </c>
      <c r="B2021" s="1">
        <v>45912.954398148147</v>
      </c>
      <c r="C2021" s="2" t="s">
        <v>22</v>
      </c>
      <c r="D2021" t="s">
        <v>33</v>
      </c>
      <c r="E2021">
        <v>58961</v>
      </c>
      <c r="F2021" t="s">
        <v>50</v>
      </c>
      <c r="G2021" t="s">
        <v>34</v>
      </c>
      <c r="H2021" t="s">
        <v>16</v>
      </c>
      <c r="I2021">
        <v>0</v>
      </c>
      <c r="J2021">
        <v>0</v>
      </c>
      <c r="K2021">
        <v>0</v>
      </c>
    </row>
    <row r="2022" spans="1:11" x14ac:dyDescent="0.25">
      <c r="A2022" t="s">
        <v>2062</v>
      </c>
      <c r="B2022" s="1">
        <v>45869.73033564815</v>
      </c>
      <c r="C2022" s="2" t="s">
        <v>22</v>
      </c>
      <c r="D2022" t="s">
        <v>23</v>
      </c>
      <c r="E2022">
        <v>666</v>
      </c>
      <c r="F2022" t="s">
        <v>50</v>
      </c>
      <c r="G2022" t="s">
        <v>84</v>
      </c>
      <c r="H2022" t="s">
        <v>16</v>
      </c>
      <c r="I2022">
        <v>0</v>
      </c>
      <c r="J2022">
        <v>0</v>
      </c>
      <c r="K2022">
        <v>0</v>
      </c>
    </row>
    <row r="2023" spans="1:11" x14ac:dyDescent="0.25">
      <c r="A2023" t="s">
        <v>2063</v>
      </c>
      <c r="B2023" s="1">
        <v>46085.893391203703</v>
      </c>
      <c r="C2023" s="2" t="s">
        <v>29</v>
      </c>
      <c r="D2023" t="s">
        <v>45</v>
      </c>
      <c r="E2023">
        <v>87045</v>
      </c>
      <c r="F2023" t="s">
        <v>99</v>
      </c>
      <c r="G2023" t="s">
        <v>51</v>
      </c>
      <c r="H2023" t="s">
        <v>56</v>
      </c>
      <c r="I2023">
        <v>870.45</v>
      </c>
      <c r="J2023">
        <v>0</v>
      </c>
      <c r="K2023">
        <v>870.45</v>
      </c>
    </row>
    <row r="2024" spans="1:11" x14ac:dyDescent="0.25">
      <c r="A2024" t="s">
        <v>2064</v>
      </c>
      <c r="B2024" s="1">
        <v>45901.264166666668</v>
      </c>
      <c r="C2024" s="2" t="s">
        <v>32</v>
      </c>
      <c r="D2024" t="s">
        <v>33</v>
      </c>
      <c r="E2024">
        <v>64890</v>
      </c>
      <c r="F2024" t="s">
        <v>14</v>
      </c>
      <c r="G2024" t="s">
        <v>84</v>
      </c>
      <c r="H2024" t="s">
        <v>16</v>
      </c>
      <c r="I2024">
        <v>0</v>
      </c>
      <c r="J2024">
        <v>0</v>
      </c>
      <c r="K2024">
        <v>0</v>
      </c>
    </row>
    <row r="2025" spans="1:11" x14ac:dyDescent="0.25">
      <c r="A2025" t="s">
        <v>2065</v>
      </c>
      <c r="B2025" s="1">
        <v>45969.839259259257</v>
      </c>
      <c r="C2025" s="2" t="s">
        <v>22</v>
      </c>
      <c r="D2025" t="s">
        <v>23</v>
      </c>
      <c r="E2025">
        <v>2532</v>
      </c>
      <c r="F2025" t="s">
        <v>14</v>
      </c>
      <c r="G2025" t="s">
        <v>20</v>
      </c>
      <c r="H2025" t="s">
        <v>16</v>
      </c>
      <c r="I2025">
        <v>0</v>
      </c>
      <c r="J2025">
        <v>0</v>
      </c>
      <c r="K2025">
        <v>0</v>
      </c>
    </row>
    <row r="2026" spans="1:11" x14ac:dyDescent="0.25">
      <c r="A2026" t="s">
        <v>2066</v>
      </c>
      <c r="B2026" s="1">
        <v>46049.906145833331</v>
      </c>
      <c r="C2026" s="2" t="s">
        <v>41</v>
      </c>
      <c r="D2026" t="s">
        <v>33</v>
      </c>
      <c r="E2026">
        <v>92355</v>
      </c>
      <c r="F2026" t="s">
        <v>50</v>
      </c>
      <c r="G2026" t="s">
        <v>58</v>
      </c>
      <c r="H2026" t="s">
        <v>16</v>
      </c>
      <c r="I2026">
        <v>0</v>
      </c>
      <c r="J2026">
        <v>0</v>
      </c>
      <c r="K2026">
        <v>0</v>
      </c>
    </row>
    <row r="2027" spans="1:11" x14ac:dyDescent="0.25">
      <c r="A2027" t="s">
        <v>2067</v>
      </c>
      <c r="B2027" s="1">
        <v>45932.698125000003</v>
      </c>
      <c r="C2027" s="2" t="s">
        <v>22</v>
      </c>
      <c r="D2027" t="s">
        <v>13</v>
      </c>
      <c r="E2027">
        <v>151000</v>
      </c>
      <c r="F2027" t="s">
        <v>50</v>
      </c>
      <c r="G2027" t="s">
        <v>20</v>
      </c>
      <c r="H2027" t="s">
        <v>16</v>
      </c>
      <c r="I2027">
        <v>2793.5</v>
      </c>
      <c r="J2027">
        <v>1117.4000000000001</v>
      </c>
      <c r="K2027">
        <v>1676.1</v>
      </c>
    </row>
    <row r="2028" spans="1:11" x14ac:dyDescent="0.25">
      <c r="A2028" t="s">
        <v>2068</v>
      </c>
      <c r="B2028" s="1">
        <v>45801.683032407411</v>
      </c>
      <c r="C2028" s="2" t="s">
        <v>32</v>
      </c>
      <c r="D2028" t="s">
        <v>19</v>
      </c>
      <c r="E2028">
        <v>139112</v>
      </c>
      <c r="F2028" t="s">
        <v>50</v>
      </c>
      <c r="G2028" t="s">
        <v>34</v>
      </c>
      <c r="H2028" t="s">
        <v>16</v>
      </c>
      <c r="I2028">
        <v>5</v>
      </c>
      <c r="J2028">
        <v>0</v>
      </c>
      <c r="K2028">
        <v>5</v>
      </c>
    </row>
    <row r="2029" spans="1:11" x14ac:dyDescent="0.25">
      <c r="A2029" t="s">
        <v>2069</v>
      </c>
      <c r="B2029" s="1">
        <v>46040.583738425928</v>
      </c>
      <c r="C2029" s="2" t="s">
        <v>41</v>
      </c>
      <c r="D2029" t="s">
        <v>23</v>
      </c>
      <c r="E2029">
        <v>2631</v>
      </c>
      <c r="F2029" t="s">
        <v>14</v>
      </c>
      <c r="G2029" t="s">
        <v>51</v>
      </c>
      <c r="H2029" t="s">
        <v>16</v>
      </c>
      <c r="I2029">
        <v>0</v>
      </c>
      <c r="J2029">
        <v>0</v>
      </c>
      <c r="K2029">
        <v>0</v>
      </c>
    </row>
    <row r="2030" spans="1:11" x14ac:dyDescent="0.25">
      <c r="A2030" t="s">
        <v>2070</v>
      </c>
      <c r="B2030" s="1">
        <v>46080.614965277775</v>
      </c>
      <c r="C2030" s="2" t="s">
        <v>18</v>
      </c>
      <c r="D2030" t="s">
        <v>45</v>
      </c>
      <c r="E2030">
        <v>142729</v>
      </c>
      <c r="F2030" t="s">
        <v>14</v>
      </c>
      <c r="G2030" t="s">
        <v>51</v>
      </c>
      <c r="H2030" t="s">
        <v>46</v>
      </c>
      <c r="I2030">
        <v>1427.29</v>
      </c>
      <c r="J2030">
        <v>0</v>
      </c>
      <c r="K2030">
        <v>1427.29</v>
      </c>
    </row>
    <row r="2031" spans="1:11" x14ac:dyDescent="0.25">
      <c r="A2031" t="s">
        <v>2071</v>
      </c>
      <c r="B2031" s="1">
        <v>46070.431354166663</v>
      </c>
      <c r="C2031" s="2" t="s">
        <v>39</v>
      </c>
      <c r="D2031" t="s">
        <v>23</v>
      </c>
      <c r="E2031">
        <v>4667</v>
      </c>
      <c r="F2031" t="s">
        <v>50</v>
      </c>
      <c r="G2031" t="s">
        <v>20</v>
      </c>
      <c r="H2031" t="s">
        <v>16</v>
      </c>
      <c r="I2031">
        <v>0</v>
      </c>
      <c r="J2031">
        <v>0</v>
      </c>
      <c r="K2031">
        <v>0</v>
      </c>
    </row>
    <row r="2032" spans="1:11" x14ac:dyDescent="0.25">
      <c r="A2032" t="s">
        <v>2072</v>
      </c>
      <c r="B2032" s="1">
        <v>45870.12736111111</v>
      </c>
      <c r="C2032" s="2" t="s">
        <v>18</v>
      </c>
      <c r="D2032" t="s">
        <v>45</v>
      </c>
      <c r="E2032">
        <v>39367</v>
      </c>
      <c r="F2032" t="s">
        <v>14</v>
      </c>
      <c r="G2032" t="s">
        <v>34</v>
      </c>
      <c r="H2032" t="s">
        <v>59</v>
      </c>
      <c r="I2032">
        <v>393.67</v>
      </c>
      <c r="J2032">
        <v>0</v>
      </c>
      <c r="K2032">
        <v>393.67</v>
      </c>
    </row>
    <row r="2033" spans="1:11" x14ac:dyDescent="0.25">
      <c r="A2033" t="s">
        <v>2073</v>
      </c>
      <c r="B2033" s="1">
        <v>45894.889143518521</v>
      </c>
      <c r="C2033" s="2" t="s">
        <v>18</v>
      </c>
      <c r="D2033" t="s">
        <v>33</v>
      </c>
      <c r="E2033">
        <v>130854</v>
      </c>
      <c r="F2033" t="s">
        <v>14</v>
      </c>
      <c r="G2033" t="s">
        <v>24</v>
      </c>
      <c r="H2033" t="s">
        <v>16</v>
      </c>
      <c r="I2033">
        <v>0</v>
      </c>
      <c r="J2033">
        <v>0</v>
      </c>
      <c r="K2033">
        <v>0</v>
      </c>
    </row>
    <row r="2034" spans="1:11" x14ac:dyDescent="0.25">
      <c r="A2034" t="s">
        <v>2074</v>
      </c>
      <c r="B2034" s="1">
        <v>45870.588680555556</v>
      </c>
      <c r="C2034" s="2" t="s">
        <v>39</v>
      </c>
      <c r="D2034" t="s">
        <v>33</v>
      </c>
      <c r="E2034">
        <v>45159</v>
      </c>
      <c r="F2034" t="s">
        <v>14</v>
      </c>
      <c r="G2034" t="s">
        <v>51</v>
      </c>
      <c r="H2034" t="s">
        <v>16</v>
      </c>
      <c r="I2034">
        <v>0</v>
      </c>
      <c r="J2034">
        <v>0</v>
      </c>
      <c r="K2034">
        <v>0</v>
      </c>
    </row>
    <row r="2035" spans="1:11" x14ac:dyDescent="0.25">
      <c r="A2035" t="s">
        <v>2075</v>
      </c>
      <c r="B2035" s="1">
        <v>45928.747939814813</v>
      </c>
      <c r="C2035" s="2" t="s">
        <v>26</v>
      </c>
      <c r="D2035" t="s">
        <v>33</v>
      </c>
      <c r="E2035">
        <v>2992</v>
      </c>
      <c r="F2035" t="s">
        <v>14</v>
      </c>
      <c r="G2035" t="s">
        <v>27</v>
      </c>
      <c r="H2035" t="s">
        <v>16</v>
      </c>
      <c r="I2035">
        <v>0</v>
      </c>
      <c r="J2035">
        <v>0</v>
      </c>
      <c r="K2035">
        <v>0</v>
      </c>
    </row>
    <row r="2036" spans="1:11" x14ac:dyDescent="0.25">
      <c r="A2036" t="s">
        <v>2076</v>
      </c>
      <c r="B2036" s="1">
        <v>45934.218668981484</v>
      </c>
      <c r="C2036" s="2" t="s">
        <v>41</v>
      </c>
      <c r="D2036" t="s">
        <v>23</v>
      </c>
      <c r="E2036">
        <v>3639</v>
      </c>
      <c r="F2036" t="s">
        <v>50</v>
      </c>
      <c r="G2036" t="s">
        <v>15</v>
      </c>
      <c r="H2036" t="s">
        <v>16</v>
      </c>
      <c r="I2036">
        <v>0</v>
      </c>
      <c r="J2036">
        <v>0</v>
      </c>
      <c r="K2036">
        <v>0</v>
      </c>
    </row>
    <row r="2037" spans="1:11" x14ac:dyDescent="0.25">
      <c r="A2037" t="s">
        <v>2077</v>
      </c>
      <c r="B2037" s="1">
        <v>45830.670405092591</v>
      </c>
      <c r="C2037" s="2" t="s">
        <v>39</v>
      </c>
      <c r="D2037" t="s">
        <v>33</v>
      </c>
      <c r="E2037">
        <v>98827</v>
      </c>
      <c r="F2037" t="s">
        <v>14</v>
      </c>
      <c r="G2037" t="s">
        <v>34</v>
      </c>
      <c r="H2037" t="s">
        <v>16</v>
      </c>
      <c r="I2037">
        <v>0</v>
      </c>
      <c r="J2037">
        <v>0</v>
      </c>
      <c r="K2037">
        <v>0</v>
      </c>
    </row>
    <row r="2038" spans="1:11" x14ac:dyDescent="0.25">
      <c r="A2038" t="s">
        <v>2078</v>
      </c>
      <c r="B2038" s="1">
        <v>45980.333923611113</v>
      </c>
      <c r="C2038" s="2" t="s">
        <v>22</v>
      </c>
      <c r="D2038" t="s">
        <v>19</v>
      </c>
      <c r="E2038">
        <v>124970</v>
      </c>
      <c r="F2038" t="s">
        <v>14</v>
      </c>
      <c r="G2038" t="s">
        <v>20</v>
      </c>
      <c r="H2038" t="s">
        <v>16</v>
      </c>
      <c r="I2038">
        <v>5</v>
      </c>
      <c r="J2038">
        <v>0</v>
      </c>
      <c r="K2038">
        <v>5</v>
      </c>
    </row>
    <row r="2039" spans="1:11" x14ac:dyDescent="0.25">
      <c r="A2039" t="s">
        <v>2079</v>
      </c>
      <c r="B2039" s="1">
        <v>45784.703101851854</v>
      </c>
      <c r="C2039" s="2" t="s">
        <v>18</v>
      </c>
      <c r="D2039" t="s">
        <v>23</v>
      </c>
      <c r="E2039">
        <v>3569</v>
      </c>
      <c r="F2039" t="s">
        <v>14</v>
      </c>
      <c r="G2039" t="s">
        <v>84</v>
      </c>
      <c r="H2039" t="s">
        <v>16</v>
      </c>
      <c r="I2039">
        <v>0</v>
      </c>
      <c r="J2039">
        <v>0</v>
      </c>
      <c r="K2039">
        <v>0</v>
      </c>
    </row>
    <row r="2040" spans="1:11" x14ac:dyDescent="0.25">
      <c r="A2040" t="s">
        <v>2080</v>
      </c>
      <c r="B2040" s="1">
        <v>45937.934050925927</v>
      </c>
      <c r="C2040" s="2" t="s">
        <v>32</v>
      </c>
      <c r="D2040" t="s">
        <v>23</v>
      </c>
      <c r="E2040">
        <v>2042</v>
      </c>
      <c r="F2040" t="s">
        <v>14</v>
      </c>
      <c r="G2040" t="s">
        <v>15</v>
      </c>
      <c r="H2040" t="s">
        <v>16</v>
      </c>
      <c r="I2040">
        <v>0</v>
      </c>
      <c r="J2040">
        <v>0</v>
      </c>
      <c r="K2040">
        <v>0</v>
      </c>
    </row>
    <row r="2041" spans="1:11" x14ac:dyDescent="0.25">
      <c r="A2041" t="s">
        <v>2081</v>
      </c>
      <c r="B2041" s="1">
        <v>45968.004317129627</v>
      </c>
      <c r="C2041" s="2" t="s">
        <v>29</v>
      </c>
      <c r="D2041" t="s">
        <v>33</v>
      </c>
      <c r="E2041">
        <v>140205</v>
      </c>
      <c r="F2041" t="s">
        <v>14</v>
      </c>
      <c r="G2041" t="s">
        <v>20</v>
      </c>
      <c r="H2041" t="s">
        <v>16</v>
      </c>
      <c r="I2041">
        <v>0</v>
      </c>
      <c r="J2041">
        <v>0</v>
      </c>
      <c r="K2041">
        <v>0</v>
      </c>
    </row>
    <row r="2042" spans="1:11" x14ac:dyDescent="0.25">
      <c r="A2042" t="s">
        <v>2082</v>
      </c>
      <c r="B2042" s="1">
        <v>45987.414699074077</v>
      </c>
      <c r="C2042" s="2" t="s">
        <v>39</v>
      </c>
      <c r="D2042" t="s">
        <v>33</v>
      </c>
      <c r="E2042">
        <v>29015</v>
      </c>
      <c r="F2042" t="s">
        <v>14</v>
      </c>
      <c r="G2042" t="s">
        <v>24</v>
      </c>
      <c r="H2042" t="s">
        <v>16</v>
      </c>
      <c r="I2042">
        <v>0</v>
      </c>
      <c r="J2042">
        <v>0</v>
      </c>
      <c r="K2042">
        <v>0</v>
      </c>
    </row>
    <row r="2043" spans="1:11" x14ac:dyDescent="0.25">
      <c r="A2043" t="s">
        <v>2083</v>
      </c>
      <c r="B2043" s="1">
        <v>45939.159456018519</v>
      </c>
      <c r="C2043" s="2" t="s">
        <v>29</v>
      </c>
      <c r="D2043" t="s">
        <v>23</v>
      </c>
      <c r="E2043">
        <v>1791</v>
      </c>
      <c r="F2043" t="s">
        <v>14</v>
      </c>
      <c r="G2043" t="s">
        <v>20</v>
      </c>
      <c r="H2043" t="s">
        <v>16</v>
      </c>
      <c r="I2043">
        <v>0</v>
      </c>
      <c r="J2043">
        <v>0</v>
      </c>
      <c r="K2043">
        <v>0</v>
      </c>
    </row>
    <row r="2044" spans="1:11" x14ac:dyDescent="0.25">
      <c r="A2044" t="s">
        <v>2084</v>
      </c>
      <c r="B2044" s="1">
        <v>45864.937303240738</v>
      </c>
      <c r="C2044" s="2" t="s">
        <v>39</v>
      </c>
      <c r="D2044" t="s">
        <v>33</v>
      </c>
      <c r="E2044">
        <v>113060</v>
      </c>
      <c r="F2044" t="s">
        <v>14</v>
      </c>
      <c r="G2044" t="s">
        <v>27</v>
      </c>
      <c r="H2044" t="s">
        <v>16</v>
      </c>
      <c r="I2044">
        <v>0</v>
      </c>
      <c r="J2044">
        <v>0</v>
      </c>
      <c r="K2044">
        <v>0</v>
      </c>
    </row>
    <row r="2045" spans="1:11" x14ac:dyDescent="0.25">
      <c r="A2045" t="s">
        <v>2085</v>
      </c>
      <c r="B2045" s="1">
        <v>45974.800011574072</v>
      </c>
      <c r="C2045" s="2" t="s">
        <v>18</v>
      </c>
      <c r="D2045" t="s">
        <v>19</v>
      </c>
      <c r="E2045">
        <v>92077</v>
      </c>
      <c r="F2045" t="s">
        <v>99</v>
      </c>
      <c r="G2045" t="s">
        <v>34</v>
      </c>
      <c r="H2045" t="s">
        <v>16</v>
      </c>
      <c r="I2045">
        <v>5</v>
      </c>
      <c r="J2045">
        <v>0</v>
      </c>
      <c r="K2045">
        <v>5</v>
      </c>
    </row>
    <row r="2046" spans="1:11" x14ac:dyDescent="0.25">
      <c r="A2046" t="s">
        <v>2086</v>
      </c>
      <c r="B2046" s="1">
        <v>45905.58697916667</v>
      </c>
      <c r="C2046" s="2" t="s">
        <v>12</v>
      </c>
      <c r="D2046" t="s">
        <v>33</v>
      </c>
      <c r="E2046">
        <v>83860</v>
      </c>
      <c r="F2046" t="s">
        <v>14</v>
      </c>
      <c r="G2046" t="s">
        <v>30</v>
      </c>
      <c r="H2046" t="s">
        <v>16</v>
      </c>
      <c r="I2046">
        <v>0</v>
      </c>
      <c r="J2046">
        <v>0</v>
      </c>
      <c r="K2046">
        <v>0</v>
      </c>
    </row>
    <row r="2047" spans="1:11" x14ac:dyDescent="0.25">
      <c r="A2047" t="s">
        <v>2087</v>
      </c>
      <c r="B2047" s="1">
        <v>46080.828622685185</v>
      </c>
      <c r="C2047" s="2" t="s">
        <v>39</v>
      </c>
      <c r="D2047" t="s">
        <v>33</v>
      </c>
      <c r="E2047">
        <v>28532</v>
      </c>
      <c r="F2047" t="s">
        <v>14</v>
      </c>
      <c r="G2047" t="s">
        <v>34</v>
      </c>
      <c r="H2047" t="s">
        <v>16</v>
      </c>
      <c r="I2047">
        <v>0</v>
      </c>
      <c r="J2047">
        <v>0</v>
      </c>
      <c r="K2047">
        <v>0</v>
      </c>
    </row>
    <row r="2048" spans="1:11" x14ac:dyDescent="0.25">
      <c r="A2048" t="s">
        <v>2088</v>
      </c>
      <c r="B2048" s="1">
        <v>45831.842118055552</v>
      </c>
      <c r="C2048" s="2" t="s">
        <v>22</v>
      </c>
      <c r="D2048" t="s">
        <v>23</v>
      </c>
      <c r="E2048">
        <v>1928</v>
      </c>
      <c r="F2048" t="s">
        <v>14</v>
      </c>
      <c r="G2048" t="s">
        <v>27</v>
      </c>
      <c r="H2048" t="s">
        <v>16</v>
      </c>
      <c r="I2048">
        <v>0</v>
      </c>
      <c r="J2048">
        <v>0</v>
      </c>
      <c r="K2048">
        <v>0</v>
      </c>
    </row>
    <row r="2049" spans="1:11" x14ac:dyDescent="0.25">
      <c r="A2049" t="s">
        <v>2089</v>
      </c>
      <c r="B2049" s="1">
        <v>46077.204548611109</v>
      </c>
      <c r="C2049" s="2" t="s">
        <v>29</v>
      </c>
      <c r="D2049" t="s">
        <v>45</v>
      </c>
      <c r="E2049">
        <v>11354</v>
      </c>
      <c r="F2049" t="s">
        <v>14</v>
      </c>
      <c r="G2049" t="s">
        <v>15</v>
      </c>
      <c r="H2049" t="s">
        <v>56</v>
      </c>
      <c r="I2049">
        <v>113.54</v>
      </c>
      <c r="J2049">
        <v>0</v>
      </c>
      <c r="K2049">
        <v>113.54</v>
      </c>
    </row>
    <row r="2050" spans="1:11" x14ac:dyDescent="0.25">
      <c r="A2050" t="s">
        <v>2090</v>
      </c>
      <c r="B2050" s="1">
        <v>45868.393622685187</v>
      </c>
      <c r="C2050" s="2" t="s">
        <v>26</v>
      </c>
      <c r="D2050" t="s">
        <v>13</v>
      </c>
      <c r="E2050">
        <v>115000</v>
      </c>
      <c r="F2050" t="s">
        <v>99</v>
      </c>
      <c r="G2050" t="s">
        <v>20</v>
      </c>
      <c r="H2050" t="s">
        <v>16</v>
      </c>
      <c r="I2050">
        <v>2127.5</v>
      </c>
      <c r="J2050">
        <v>851</v>
      </c>
      <c r="K2050">
        <v>1276.5</v>
      </c>
    </row>
    <row r="2051" spans="1:11" x14ac:dyDescent="0.25">
      <c r="A2051" t="s">
        <v>2091</v>
      </c>
      <c r="B2051" s="1">
        <v>46046.192557870374</v>
      </c>
      <c r="C2051" s="2" t="s">
        <v>12</v>
      </c>
      <c r="D2051" t="s">
        <v>23</v>
      </c>
      <c r="E2051">
        <v>2780</v>
      </c>
      <c r="F2051" t="s">
        <v>99</v>
      </c>
      <c r="G2051" t="s">
        <v>34</v>
      </c>
      <c r="H2051" t="s">
        <v>16</v>
      </c>
      <c r="I2051">
        <v>0</v>
      </c>
      <c r="J2051">
        <v>0</v>
      </c>
      <c r="K2051">
        <v>0</v>
      </c>
    </row>
    <row r="2052" spans="1:11" x14ac:dyDescent="0.25">
      <c r="A2052" t="s">
        <v>2092</v>
      </c>
      <c r="B2052" s="1">
        <v>45835.773310185185</v>
      </c>
      <c r="C2052" s="2" t="s">
        <v>18</v>
      </c>
      <c r="D2052" t="s">
        <v>45</v>
      </c>
      <c r="E2052">
        <v>38851</v>
      </c>
      <c r="F2052" t="s">
        <v>14</v>
      </c>
      <c r="G2052" t="s">
        <v>34</v>
      </c>
      <c r="H2052" t="s">
        <v>56</v>
      </c>
      <c r="I2052">
        <v>388.51</v>
      </c>
      <c r="J2052">
        <v>0</v>
      </c>
      <c r="K2052">
        <v>388.51</v>
      </c>
    </row>
    <row r="2053" spans="1:11" x14ac:dyDescent="0.25">
      <c r="A2053" t="s">
        <v>2093</v>
      </c>
      <c r="B2053" s="1">
        <v>45789.771979166668</v>
      </c>
      <c r="C2053" s="2" t="s">
        <v>22</v>
      </c>
      <c r="D2053" t="s">
        <v>23</v>
      </c>
      <c r="E2053">
        <v>4407</v>
      </c>
      <c r="F2053" t="s">
        <v>14</v>
      </c>
      <c r="G2053" t="s">
        <v>20</v>
      </c>
      <c r="H2053" t="s">
        <v>16</v>
      </c>
      <c r="I2053">
        <v>0</v>
      </c>
      <c r="J2053">
        <v>0</v>
      </c>
      <c r="K2053">
        <v>0</v>
      </c>
    </row>
    <row r="2054" spans="1:11" x14ac:dyDescent="0.25">
      <c r="A2054" t="s">
        <v>2094</v>
      </c>
      <c r="B2054" s="1">
        <v>46058.555625000001</v>
      </c>
      <c r="C2054" s="2" t="s">
        <v>18</v>
      </c>
      <c r="D2054" t="s">
        <v>13</v>
      </c>
      <c r="E2054">
        <v>34000</v>
      </c>
      <c r="F2054" t="s">
        <v>14</v>
      </c>
      <c r="G2054" t="s">
        <v>58</v>
      </c>
      <c r="H2054" t="s">
        <v>16</v>
      </c>
      <c r="I2054">
        <v>629</v>
      </c>
      <c r="J2054">
        <v>251.6</v>
      </c>
      <c r="K2054">
        <v>377.4</v>
      </c>
    </row>
    <row r="2055" spans="1:11" x14ac:dyDescent="0.25">
      <c r="A2055" t="s">
        <v>2095</v>
      </c>
      <c r="B2055" s="1">
        <v>46122.798078703701</v>
      </c>
      <c r="C2055" s="2" t="s">
        <v>12</v>
      </c>
      <c r="D2055" t="s">
        <v>45</v>
      </c>
      <c r="E2055">
        <v>28969</v>
      </c>
      <c r="F2055" t="s">
        <v>14</v>
      </c>
      <c r="G2055" t="s">
        <v>15</v>
      </c>
      <c r="H2055" t="s">
        <v>59</v>
      </c>
      <c r="I2055">
        <v>289.69</v>
      </c>
      <c r="J2055">
        <v>0</v>
      </c>
      <c r="K2055">
        <v>289.69</v>
      </c>
    </row>
    <row r="2056" spans="1:11" x14ac:dyDescent="0.25">
      <c r="A2056" t="s">
        <v>2096</v>
      </c>
      <c r="B2056" s="1">
        <v>46037.69332175926</v>
      </c>
      <c r="C2056" s="2" t="s">
        <v>41</v>
      </c>
      <c r="D2056" t="s">
        <v>33</v>
      </c>
      <c r="E2056">
        <v>111159</v>
      </c>
      <c r="F2056" t="s">
        <v>14</v>
      </c>
      <c r="G2056" t="s">
        <v>58</v>
      </c>
      <c r="H2056" t="s">
        <v>16</v>
      </c>
      <c r="I2056">
        <v>0</v>
      </c>
      <c r="J2056">
        <v>0</v>
      </c>
      <c r="K2056">
        <v>0</v>
      </c>
    </row>
    <row r="2057" spans="1:11" x14ac:dyDescent="0.25">
      <c r="A2057" t="s">
        <v>2097</v>
      </c>
      <c r="B2057" s="1">
        <v>45960.778599537036</v>
      </c>
      <c r="C2057" s="2" t="s">
        <v>32</v>
      </c>
      <c r="D2057" t="s">
        <v>23</v>
      </c>
      <c r="E2057">
        <v>3440</v>
      </c>
      <c r="F2057" t="s">
        <v>14</v>
      </c>
      <c r="G2057" t="s">
        <v>34</v>
      </c>
      <c r="H2057" t="s">
        <v>16</v>
      </c>
      <c r="I2057">
        <v>0</v>
      </c>
      <c r="J2057">
        <v>0</v>
      </c>
      <c r="K2057">
        <v>0</v>
      </c>
    </row>
    <row r="2058" spans="1:11" x14ac:dyDescent="0.25">
      <c r="A2058" t="s">
        <v>2098</v>
      </c>
      <c r="B2058" s="1">
        <v>45889.300127314818</v>
      </c>
      <c r="C2058" s="2" t="s">
        <v>18</v>
      </c>
      <c r="D2058" t="s">
        <v>33</v>
      </c>
      <c r="E2058">
        <v>74619</v>
      </c>
      <c r="F2058" t="s">
        <v>14</v>
      </c>
      <c r="G2058" t="s">
        <v>24</v>
      </c>
      <c r="H2058" t="s">
        <v>16</v>
      </c>
      <c r="I2058">
        <v>0</v>
      </c>
      <c r="J2058">
        <v>0</v>
      </c>
      <c r="K2058">
        <v>0</v>
      </c>
    </row>
    <row r="2059" spans="1:11" x14ac:dyDescent="0.25">
      <c r="A2059" t="s">
        <v>2099</v>
      </c>
      <c r="B2059" s="1">
        <v>45975.579189814816</v>
      </c>
      <c r="C2059" s="2" t="s">
        <v>12</v>
      </c>
      <c r="D2059" t="s">
        <v>45</v>
      </c>
      <c r="E2059">
        <v>123889</v>
      </c>
      <c r="F2059" t="s">
        <v>14</v>
      </c>
      <c r="G2059" t="s">
        <v>15</v>
      </c>
      <c r="H2059" t="s">
        <v>71</v>
      </c>
      <c r="I2059">
        <v>1238.8900000000001</v>
      </c>
      <c r="J2059">
        <v>0</v>
      </c>
      <c r="K2059">
        <v>1238.8900000000001</v>
      </c>
    </row>
    <row r="2060" spans="1:11" x14ac:dyDescent="0.25">
      <c r="A2060" t="s">
        <v>2100</v>
      </c>
      <c r="B2060" s="1">
        <v>45965.01363425926</v>
      </c>
      <c r="C2060" s="2" t="s">
        <v>32</v>
      </c>
      <c r="D2060" t="s">
        <v>23</v>
      </c>
      <c r="E2060">
        <v>2289</v>
      </c>
      <c r="F2060" t="s">
        <v>14</v>
      </c>
      <c r="G2060" t="s">
        <v>58</v>
      </c>
      <c r="H2060" t="s">
        <v>16</v>
      </c>
      <c r="I2060">
        <v>0</v>
      </c>
      <c r="J2060">
        <v>0</v>
      </c>
      <c r="K2060">
        <v>0</v>
      </c>
    </row>
    <row r="2061" spans="1:11" x14ac:dyDescent="0.25">
      <c r="A2061" t="s">
        <v>2101</v>
      </c>
      <c r="B2061" s="1">
        <v>45891.057280092595</v>
      </c>
      <c r="C2061" s="2" t="s">
        <v>12</v>
      </c>
      <c r="D2061" t="s">
        <v>33</v>
      </c>
      <c r="E2061">
        <v>122119</v>
      </c>
      <c r="F2061" t="s">
        <v>14</v>
      </c>
      <c r="G2061" t="s">
        <v>51</v>
      </c>
      <c r="H2061" t="s">
        <v>16</v>
      </c>
      <c r="I2061">
        <v>0</v>
      </c>
      <c r="J2061">
        <v>0</v>
      </c>
      <c r="K2061">
        <v>0</v>
      </c>
    </row>
    <row r="2062" spans="1:11" x14ac:dyDescent="0.25">
      <c r="A2062" t="s">
        <v>2102</v>
      </c>
      <c r="B2062" s="1">
        <v>46022.634016203701</v>
      </c>
      <c r="C2062" s="2" t="s">
        <v>26</v>
      </c>
      <c r="D2062" t="s">
        <v>23</v>
      </c>
      <c r="E2062">
        <v>2468</v>
      </c>
      <c r="F2062" t="s">
        <v>14</v>
      </c>
      <c r="G2062" t="s">
        <v>15</v>
      </c>
      <c r="H2062" t="s">
        <v>16</v>
      </c>
      <c r="I2062">
        <v>0</v>
      </c>
      <c r="J2062">
        <v>0</v>
      </c>
      <c r="K2062">
        <v>0</v>
      </c>
    </row>
    <row r="2063" spans="1:11" x14ac:dyDescent="0.25">
      <c r="A2063" t="s">
        <v>2103</v>
      </c>
      <c r="B2063" s="1">
        <v>45847.26321759259</v>
      </c>
      <c r="C2063" s="2" t="s">
        <v>41</v>
      </c>
      <c r="D2063" t="s">
        <v>45</v>
      </c>
      <c r="E2063">
        <v>93118</v>
      </c>
      <c r="F2063" t="s">
        <v>14</v>
      </c>
      <c r="G2063" t="s">
        <v>34</v>
      </c>
      <c r="H2063" t="s">
        <v>178</v>
      </c>
      <c r="I2063">
        <v>931.18</v>
      </c>
      <c r="J2063">
        <v>0</v>
      </c>
      <c r="K2063">
        <v>931.18</v>
      </c>
    </row>
    <row r="2064" spans="1:11" x14ac:dyDescent="0.25">
      <c r="A2064" t="s">
        <v>2104</v>
      </c>
      <c r="B2064" s="1">
        <v>45928.517060185186</v>
      </c>
      <c r="C2064" s="2" t="s">
        <v>12</v>
      </c>
      <c r="D2064" t="s">
        <v>13</v>
      </c>
      <c r="E2064">
        <v>69500</v>
      </c>
      <c r="F2064" t="s">
        <v>50</v>
      </c>
      <c r="G2064" t="s">
        <v>27</v>
      </c>
      <c r="H2064" t="s">
        <v>16</v>
      </c>
      <c r="I2064">
        <v>1285.75</v>
      </c>
      <c r="J2064">
        <v>514.29999999999995</v>
      </c>
      <c r="K2064">
        <v>771.45</v>
      </c>
    </row>
    <row r="2065" spans="1:11" x14ac:dyDescent="0.25">
      <c r="A2065" t="s">
        <v>2105</v>
      </c>
      <c r="B2065" s="1">
        <v>45970.137488425928</v>
      </c>
      <c r="C2065" s="2" t="s">
        <v>39</v>
      </c>
      <c r="D2065" t="s">
        <v>13</v>
      </c>
      <c r="E2065">
        <v>101500</v>
      </c>
      <c r="F2065" t="s">
        <v>14</v>
      </c>
      <c r="G2065" t="s">
        <v>58</v>
      </c>
      <c r="H2065" t="s">
        <v>16</v>
      </c>
      <c r="I2065">
        <v>1877.75</v>
      </c>
      <c r="J2065">
        <v>751.1</v>
      </c>
      <c r="K2065">
        <v>1126.6500000000001</v>
      </c>
    </row>
    <row r="2066" spans="1:11" x14ac:dyDescent="0.25">
      <c r="A2066" t="s">
        <v>2106</v>
      </c>
      <c r="B2066" s="1">
        <v>46115.405462962961</v>
      </c>
      <c r="C2066" s="2" t="s">
        <v>18</v>
      </c>
      <c r="D2066" t="s">
        <v>33</v>
      </c>
      <c r="E2066">
        <v>110628</v>
      </c>
      <c r="F2066" t="s">
        <v>14</v>
      </c>
      <c r="G2066" t="s">
        <v>34</v>
      </c>
      <c r="H2066" t="s">
        <v>16</v>
      </c>
      <c r="I2066">
        <v>0</v>
      </c>
      <c r="J2066">
        <v>0</v>
      </c>
      <c r="K2066">
        <v>0</v>
      </c>
    </row>
    <row r="2067" spans="1:11" x14ac:dyDescent="0.25">
      <c r="A2067" t="s">
        <v>2107</v>
      </c>
      <c r="B2067" s="1">
        <v>46029.328541666669</v>
      </c>
      <c r="C2067" s="2" t="s">
        <v>12</v>
      </c>
      <c r="D2067" t="s">
        <v>33</v>
      </c>
      <c r="E2067">
        <v>103144</v>
      </c>
      <c r="F2067" t="s">
        <v>50</v>
      </c>
      <c r="G2067" t="s">
        <v>58</v>
      </c>
      <c r="H2067" t="s">
        <v>16</v>
      </c>
      <c r="I2067">
        <v>0</v>
      </c>
      <c r="J2067">
        <v>0</v>
      </c>
      <c r="K2067">
        <v>0</v>
      </c>
    </row>
    <row r="2068" spans="1:11" x14ac:dyDescent="0.25">
      <c r="A2068" t="s">
        <v>2108</v>
      </c>
      <c r="B2068" s="1">
        <v>46107.050416666665</v>
      </c>
      <c r="C2068" s="2" t="s">
        <v>26</v>
      </c>
      <c r="D2068" t="s">
        <v>45</v>
      </c>
      <c r="E2068">
        <v>279</v>
      </c>
      <c r="F2068" t="s">
        <v>14</v>
      </c>
      <c r="G2068" t="s">
        <v>34</v>
      </c>
      <c r="H2068" t="s">
        <v>178</v>
      </c>
      <c r="I2068">
        <v>2.79</v>
      </c>
      <c r="J2068">
        <v>0</v>
      </c>
      <c r="K2068">
        <v>2.79</v>
      </c>
    </row>
    <row r="2069" spans="1:11" x14ac:dyDescent="0.25">
      <c r="A2069" t="s">
        <v>2109</v>
      </c>
      <c r="B2069" s="1">
        <v>45977.604328703703</v>
      </c>
      <c r="C2069" s="2" t="s">
        <v>32</v>
      </c>
      <c r="D2069" t="s">
        <v>23</v>
      </c>
      <c r="E2069">
        <v>2965</v>
      </c>
      <c r="F2069" t="s">
        <v>14</v>
      </c>
      <c r="G2069" t="s">
        <v>84</v>
      </c>
      <c r="H2069" t="s">
        <v>16</v>
      </c>
      <c r="I2069">
        <v>0</v>
      </c>
      <c r="J2069">
        <v>0</v>
      </c>
      <c r="K2069">
        <v>0</v>
      </c>
    </row>
    <row r="2070" spans="1:11" x14ac:dyDescent="0.25">
      <c r="A2070" t="s">
        <v>2110</v>
      </c>
      <c r="B2070" s="1">
        <v>45822.51871527778</v>
      </c>
      <c r="C2070" s="2" t="s">
        <v>32</v>
      </c>
      <c r="D2070" t="s">
        <v>45</v>
      </c>
      <c r="E2070">
        <v>133557</v>
      </c>
      <c r="F2070" t="s">
        <v>14</v>
      </c>
      <c r="G2070" t="s">
        <v>15</v>
      </c>
      <c r="H2070" t="s">
        <v>59</v>
      </c>
      <c r="I2070">
        <v>1335.57</v>
      </c>
      <c r="J2070">
        <v>0</v>
      </c>
      <c r="K2070">
        <v>1335.57</v>
      </c>
    </row>
    <row r="2071" spans="1:11" x14ac:dyDescent="0.25">
      <c r="A2071" t="s">
        <v>2111</v>
      </c>
      <c r="B2071" s="1">
        <v>46019.64534722222</v>
      </c>
      <c r="C2071" s="2" t="s">
        <v>22</v>
      </c>
      <c r="D2071" t="s">
        <v>33</v>
      </c>
      <c r="E2071">
        <v>144299</v>
      </c>
      <c r="F2071" t="s">
        <v>50</v>
      </c>
      <c r="G2071" t="s">
        <v>34</v>
      </c>
      <c r="H2071" t="s">
        <v>16</v>
      </c>
      <c r="I2071">
        <v>0</v>
      </c>
      <c r="J2071">
        <v>0</v>
      </c>
      <c r="K2071">
        <v>0</v>
      </c>
    </row>
    <row r="2072" spans="1:11" x14ac:dyDescent="0.25">
      <c r="A2072" t="s">
        <v>2112</v>
      </c>
      <c r="B2072" s="1">
        <v>46018.213206018518</v>
      </c>
      <c r="C2072" s="2" t="s">
        <v>39</v>
      </c>
      <c r="D2072" t="s">
        <v>19</v>
      </c>
      <c r="E2072">
        <v>92461</v>
      </c>
      <c r="F2072" t="s">
        <v>14</v>
      </c>
      <c r="G2072" t="s">
        <v>24</v>
      </c>
      <c r="H2072" t="s">
        <v>16</v>
      </c>
      <c r="I2072">
        <v>5</v>
      </c>
      <c r="J2072">
        <v>0</v>
      </c>
      <c r="K2072">
        <v>5</v>
      </c>
    </row>
    <row r="2073" spans="1:11" x14ac:dyDescent="0.25">
      <c r="A2073" t="s">
        <v>2113</v>
      </c>
      <c r="B2073" s="1">
        <v>45932.209282407406</v>
      </c>
      <c r="C2073" s="2" t="s">
        <v>26</v>
      </c>
      <c r="D2073" t="s">
        <v>19</v>
      </c>
      <c r="E2073">
        <v>37870</v>
      </c>
      <c r="F2073" t="s">
        <v>14</v>
      </c>
      <c r="G2073" t="s">
        <v>24</v>
      </c>
      <c r="H2073" t="s">
        <v>16</v>
      </c>
      <c r="I2073">
        <v>5</v>
      </c>
      <c r="J2073">
        <v>0</v>
      </c>
      <c r="K2073">
        <v>5</v>
      </c>
    </row>
    <row r="2074" spans="1:11" x14ac:dyDescent="0.25">
      <c r="A2074" t="s">
        <v>2114</v>
      </c>
      <c r="B2074" s="1">
        <v>45822.698263888888</v>
      </c>
      <c r="C2074" s="2" t="s">
        <v>39</v>
      </c>
      <c r="D2074" t="s">
        <v>23</v>
      </c>
      <c r="E2074">
        <v>2139</v>
      </c>
      <c r="F2074" t="s">
        <v>50</v>
      </c>
      <c r="G2074" t="s">
        <v>20</v>
      </c>
      <c r="H2074" t="s">
        <v>16</v>
      </c>
      <c r="I2074">
        <v>0</v>
      </c>
      <c r="J2074">
        <v>0</v>
      </c>
      <c r="K2074">
        <v>0</v>
      </c>
    </row>
    <row r="2075" spans="1:11" x14ac:dyDescent="0.25">
      <c r="A2075" t="s">
        <v>2115</v>
      </c>
      <c r="B2075" s="1">
        <v>45841.798321759263</v>
      </c>
      <c r="C2075" s="2" t="s">
        <v>12</v>
      </c>
      <c r="D2075" t="s">
        <v>33</v>
      </c>
      <c r="E2075">
        <v>80481</v>
      </c>
      <c r="F2075" t="s">
        <v>14</v>
      </c>
      <c r="G2075" t="s">
        <v>20</v>
      </c>
      <c r="H2075" t="s">
        <v>16</v>
      </c>
      <c r="I2075">
        <v>0</v>
      </c>
      <c r="J2075">
        <v>0</v>
      </c>
      <c r="K2075">
        <v>0</v>
      </c>
    </row>
    <row r="2076" spans="1:11" x14ac:dyDescent="0.25">
      <c r="A2076" t="s">
        <v>2116</v>
      </c>
      <c r="B2076" s="1">
        <v>46134.504710648151</v>
      </c>
      <c r="C2076" s="2" t="s">
        <v>41</v>
      </c>
      <c r="D2076" t="s">
        <v>23</v>
      </c>
      <c r="E2076">
        <v>3738</v>
      </c>
      <c r="F2076" t="s">
        <v>14</v>
      </c>
      <c r="G2076" t="s">
        <v>34</v>
      </c>
      <c r="H2076" t="s">
        <v>16</v>
      </c>
      <c r="I2076">
        <v>0</v>
      </c>
      <c r="J2076">
        <v>0</v>
      </c>
      <c r="K2076">
        <v>0</v>
      </c>
    </row>
    <row r="2077" spans="1:11" x14ac:dyDescent="0.25">
      <c r="A2077" t="s">
        <v>2117</v>
      </c>
      <c r="B2077" s="1">
        <v>45873.860925925925</v>
      </c>
      <c r="C2077" s="2" t="s">
        <v>32</v>
      </c>
      <c r="D2077" t="s">
        <v>45</v>
      </c>
      <c r="E2077">
        <v>65285</v>
      </c>
      <c r="F2077" t="s">
        <v>14</v>
      </c>
      <c r="G2077" t="s">
        <v>30</v>
      </c>
      <c r="H2077" t="s">
        <v>59</v>
      </c>
      <c r="I2077">
        <v>652.85</v>
      </c>
      <c r="J2077">
        <v>0</v>
      </c>
      <c r="K2077">
        <v>652.85</v>
      </c>
    </row>
    <row r="2078" spans="1:11" x14ac:dyDescent="0.25">
      <c r="A2078" t="s">
        <v>2118</v>
      </c>
      <c r="B2078" s="1">
        <v>45969.299722222226</v>
      </c>
      <c r="C2078" s="2" t="s">
        <v>26</v>
      </c>
      <c r="D2078" t="s">
        <v>23</v>
      </c>
      <c r="E2078">
        <v>2829</v>
      </c>
      <c r="F2078" t="s">
        <v>14</v>
      </c>
      <c r="G2078" t="s">
        <v>15</v>
      </c>
      <c r="H2078" t="s">
        <v>16</v>
      </c>
      <c r="I2078">
        <v>0</v>
      </c>
      <c r="J2078">
        <v>0</v>
      </c>
      <c r="K2078">
        <v>0</v>
      </c>
    </row>
    <row r="2079" spans="1:11" x14ac:dyDescent="0.25">
      <c r="A2079" t="s">
        <v>2119</v>
      </c>
      <c r="B2079" s="1">
        <v>45842.497534722221</v>
      </c>
      <c r="C2079" s="2" t="s">
        <v>12</v>
      </c>
      <c r="D2079" t="s">
        <v>23</v>
      </c>
      <c r="E2079">
        <v>4093</v>
      </c>
      <c r="F2079" t="s">
        <v>14</v>
      </c>
      <c r="G2079" t="s">
        <v>20</v>
      </c>
      <c r="H2079" t="s">
        <v>16</v>
      </c>
      <c r="I2079">
        <v>0</v>
      </c>
      <c r="J2079">
        <v>0</v>
      </c>
      <c r="K2079">
        <v>0</v>
      </c>
    </row>
    <row r="2080" spans="1:11" x14ac:dyDescent="0.25">
      <c r="A2080" t="s">
        <v>2120</v>
      </c>
      <c r="B2080" s="1">
        <v>46127.362870370373</v>
      </c>
      <c r="C2080" s="2" t="s">
        <v>18</v>
      </c>
      <c r="D2080" t="s">
        <v>45</v>
      </c>
      <c r="E2080">
        <v>48808</v>
      </c>
      <c r="F2080" t="s">
        <v>14</v>
      </c>
      <c r="G2080" t="s">
        <v>51</v>
      </c>
      <c r="H2080" t="s">
        <v>178</v>
      </c>
      <c r="I2080">
        <v>488.08</v>
      </c>
      <c r="J2080">
        <v>0</v>
      </c>
      <c r="K2080">
        <v>488.08</v>
      </c>
    </row>
    <row r="2081" spans="1:11" x14ac:dyDescent="0.25">
      <c r="A2081" t="s">
        <v>2121</v>
      </c>
      <c r="B2081" s="1">
        <v>45966.81821759259</v>
      </c>
      <c r="C2081" s="2" t="s">
        <v>41</v>
      </c>
      <c r="D2081" t="s">
        <v>33</v>
      </c>
      <c r="E2081">
        <v>16521</v>
      </c>
      <c r="F2081" t="s">
        <v>14</v>
      </c>
      <c r="G2081" t="s">
        <v>58</v>
      </c>
      <c r="H2081" t="s">
        <v>16</v>
      </c>
      <c r="I2081">
        <v>0</v>
      </c>
      <c r="J2081">
        <v>0</v>
      </c>
      <c r="K2081">
        <v>0</v>
      </c>
    </row>
    <row r="2082" spans="1:11" x14ac:dyDescent="0.25">
      <c r="A2082" t="s">
        <v>2122</v>
      </c>
      <c r="B2082" s="1">
        <v>45831.251782407409</v>
      </c>
      <c r="C2082" s="2" t="s">
        <v>32</v>
      </c>
      <c r="D2082" t="s">
        <v>13</v>
      </c>
      <c r="E2082">
        <v>74000</v>
      </c>
      <c r="F2082" t="s">
        <v>50</v>
      </c>
      <c r="G2082" t="s">
        <v>34</v>
      </c>
      <c r="H2082" t="s">
        <v>16</v>
      </c>
      <c r="I2082">
        <v>1369</v>
      </c>
      <c r="J2082">
        <v>547.6</v>
      </c>
      <c r="K2082">
        <v>821.4</v>
      </c>
    </row>
    <row r="2083" spans="1:11" x14ac:dyDescent="0.25">
      <c r="A2083" t="s">
        <v>2123</v>
      </c>
      <c r="B2083" s="1">
        <v>46137.991122685184</v>
      </c>
      <c r="C2083" s="2" t="s">
        <v>18</v>
      </c>
      <c r="D2083" t="s">
        <v>13</v>
      </c>
      <c r="E2083">
        <v>178500</v>
      </c>
      <c r="F2083" t="s">
        <v>14</v>
      </c>
      <c r="G2083" t="s">
        <v>30</v>
      </c>
      <c r="H2083" t="s">
        <v>16</v>
      </c>
      <c r="I2083">
        <v>3302.25</v>
      </c>
      <c r="J2083">
        <v>1320.9</v>
      </c>
      <c r="K2083">
        <v>1981.35</v>
      </c>
    </row>
    <row r="2084" spans="1:11" x14ac:dyDescent="0.25">
      <c r="A2084" t="s">
        <v>2124</v>
      </c>
      <c r="B2084" s="1">
        <v>45795.178020833337</v>
      </c>
      <c r="C2084" s="2" t="s">
        <v>22</v>
      </c>
      <c r="D2084" t="s">
        <v>45</v>
      </c>
      <c r="E2084">
        <v>25661</v>
      </c>
      <c r="F2084" t="s">
        <v>14</v>
      </c>
      <c r="G2084" t="s">
        <v>34</v>
      </c>
      <c r="H2084" t="s">
        <v>178</v>
      </c>
      <c r="I2084">
        <v>256.61</v>
      </c>
      <c r="J2084">
        <v>0</v>
      </c>
      <c r="K2084">
        <v>256.61</v>
      </c>
    </row>
    <row r="2085" spans="1:11" x14ac:dyDescent="0.25">
      <c r="A2085" t="s">
        <v>2125</v>
      </c>
      <c r="B2085" s="1">
        <v>45985.565439814818</v>
      </c>
      <c r="C2085" s="2" t="s">
        <v>32</v>
      </c>
      <c r="D2085" t="s">
        <v>45</v>
      </c>
      <c r="E2085">
        <v>112578</v>
      </c>
      <c r="F2085" t="s">
        <v>14</v>
      </c>
      <c r="G2085" t="s">
        <v>34</v>
      </c>
      <c r="H2085" t="s">
        <v>71</v>
      </c>
      <c r="I2085">
        <v>1125.78</v>
      </c>
      <c r="J2085">
        <v>0</v>
      </c>
      <c r="K2085">
        <v>1125.78</v>
      </c>
    </row>
    <row r="2086" spans="1:11" x14ac:dyDescent="0.25">
      <c r="A2086" t="s">
        <v>2126</v>
      </c>
      <c r="B2086" s="1">
        <v>46081.843182870369</v>
      </c>
      <c r="C2086" s="2" t="s">
        <v>22</v>
      </c>
      <c r="D2086" t="s">
        <v>33</v>
      </c>
      <c r="E2086">
        <v>65904</v>
      </c>
      <c r="F2086" t="s">
        <v>14</v>
      </c>
      <c r="G2086" t="s">
        <v>24</v>
      </c>
      <c r="H2086" t="s">
        <v>16</v>
      </c>
      <c r="I2086">
        <v>0</v>
      </c>
      <c r="J2086">
        <v>0</v>
      </c>
      <c r="K2086">
        <v>0</v>
      </c>
    </row>
    <row r="2087" spans="1:11" x14ac:dyDescent="0.25">
      <c r="A2087" t="s">
        <v>2127</v>
      </c>
      <c r="B2087" s="1">
        <v>45836.693981481483</v>
      </c>
      <c r="C2087" s="2" t="s">
        <v>12</v>
      </c>
      <c r="D2087" t="s">
        <v>19</v>
      </c>
      <c r="E2087">
        <v>120869</v>
      </c>
      <c r="F2087" t="s">
        <v>50</v>
      </c>
      <c r="G2087" t="s">
        <v>84</v>
      </c>
      <c r="H2087" t="s">
        <v>16</v>
      </c>
      <c r="I2087">
        <v>5</v>
      </c>
      <c r="J2087">
        <v>0</v>
      </c>
      <c r="K2087">
        <v>5</v>
      </c>
    </row>
    <row r="2088" spans="1:11" x14ac:dyDescent="0.25">
      <c r="A2088" t="s">
        <v>2128</v>
      </c>
      <c r="B2088" s="1">
        <v>46082.279675925929</v>
      </c>
      <c r="C2088" s="2" t="s">
        <v>32</v>
      </c>
      <c r="D2088" t="s">
        <v>19</v>
      </c>
      <c r="E2088">
        <v>143428</v>
      </c>
      <c r="F2088" t="s">
        <v>14</v>
      </c>
      <c r="G2088" t="s">
        <v>84</v>
      </c>
      <c r="H2088" t="s">
        <v>16</v>
      </c>
      <c r="I2088">
        <v>5</v>
      </c>
      <c r="J2088">
        <v>0</v>
      </c>
      <c r="K2088">
        <v>5</v>
      </c>
    </row>
    <row r="2089" spans="1:11" x14ac:dyDescent="0.25">
      <c r="A2089" t="s">
        <v>2129</v>
      </c>
      <c r="B2089" s="1">
        <v>46057.767256944448</v>
      </c>
      <c r="C2089" s="2" t="s">
        <v>26</v>
      </c>
      <c r="D2089" t="s">
        <v>19</v>
      </c>
      <c r="E2089">
        <v>10356</v>
      </c>
      <c r="F2089" t="s">
        <v>14</v>
      </c>
      <c r="G2089" t="s">
        <v>84</v>
      </c>
      <c r="H2089" t="s">
        <v>16</v>
      </c>
      <c r="I2089">
        <v>5</v>
      </c>
      <c r="J2089">
        <v>0</v>
      </c>
      <c r="K2089">
        <v>5</v>
      </c>
    </row>
    <row r="2090" spans="1:11" x14ac:dyDescent="0.25">
      <c r="A2090" t="s">
        <v>2130</v>
      </c>
      <c r="B2090" s="1">
        <v>46068.581377314818</v>
      </c>
      <c r="C2090" s="2" t="s">
        <v>39</v>
      </c>
      <c r="D2090" t="s">
        <v>23</v>
      </c>
      <c r="E2090">
        <v>1550</v>
      </c>
      <c r="F2090" t="s">
        <v>14</v>
      </c>
      <c r="G2090" t="s">
        <v>51</v>
      </c>
      <c r="H2090" t="s">
        <v>16</v>
      </c>
      <c r="I2090">
        <v>0</v>
      </c>
      <c r="J2090">
        <v>0</v>
      </c>
      <c r="K2090">
        <v>0</v>
      </c>
    </row>
    <row r="2091" spans="1:11" x14ac:dyDescent="0.25">
      <c r="A2091" t="s">
        <v>2131</v>
      </c>
      <c r="B2091" s="1">
        <v>45821.901296296295</v>
      </c>
      <c r="C2091" s="2" t="s">
        <v>32</v>
      </c>
      <c r="D2091" t="s">
        <v>33</v>
      </c>
      <c r="E2091">
        <v>38638</v>
      </c>
      <c r="F2091" t="s">
        <v>14</v>
      </c>
      <c r="G2091" t="s">
        <v>51</v>
      </c>
      <c r="H2091" t="s">
        <v>16</v>
      </c>
      <c r="I2091">
        <v>0</v>
      </c>
      <c r="J2091">
        <v>0</v>
      </c>
      <c r="K2091">
        <v>0</v>
      </c>
    </row>
    <row r="2092" spans="1:11" x14ac:dyDescent="0.25">
      <c r="A2092" t="s">
        <v>2132</v>
      </c>
      <c r="B2092" s="1">
        <v>46105.093356481484</v>
      </c>
      <c r="C2092" s="2" t="s">
        <v>12</v>
      </c>
      <c r="D2092" t="s">
        <v>19</v>
      </c>
      <c r="E2092">
        <v>127741</v>
      </c>
      <c r="F2092" t="s">
        <v>14</v>
      </c>
      <c r="G2092" t="s">
        <v>20</v>
      </c>
      <c r="H2092" t="s">
        <v>16</v>
      </c>
      <c r="I2092">
        <v>5</v>
      </c>
      <c r="J2092">
        <v>0</v>
      </c>
      <c r="K2092">
        <v>5</v>
      </c>
    </row>
    <row r="2093" spans="1:11" x14ac:dyDescent="0.25">
      <c r="A2093" t="s">
        <v>2133</v>
      </c>
      <c r="B2093" s="1">
        <v>46030.073877314811</v>
      </c>
      <c r="C2093" s="2" t="s">
        <v>39</v>
      </c>
      <c r="D2093" t="s">
        <v>45</v>
      </c>
      <c r="E2093">
        <v>111735</v>
      </c>
      <c r="F2093" t="s">
        <v>14</v>
      </c>
      <c r="G2093" t="s">
        <v>30</v>
      </c>
      <c r="H2093" t="s">
        <v>56</v>
      </c>
      <c r="I2093">
        <v>1117.3499999999999</v>
      </c>
      <c r="J2093">
        <v>0</v>
      </c>
      <c r="K2093">
        <v>1117.3499999999999</v>
      </c>
    </row>
    <row r="2094" spans="1:11" x14ac:dyDescent="0.25">
      <c r="A2094" t="s">
        <v>2134</v>
      </c>
      <c r="B2094" s="1">
        <v>45888.214583333334</v>
      </c>
      <c r="C2094" s="2" t="s">
        <v>18</v>
      </c>
      <c r="D2094" t="s">
        <v>23</v>
      </c>
      <c r="E2094">
        <v>627</v>
      </c>
      <c r="F2094" t="s">
        <v>99</v>
      </c>
      <c r="G2094" t="s">
        <v>30</v>
      </c>
      <c r="H2094" t="s">
        <v>16</v>
      </c>
      <c r="I2094">
        <v>0</v>
      </c>
      <c r="J2094">
        <v>0</v>
      </c>
      <c r="K2094">
        <v>0</v>
      </c>
    </row>
    <row r="2095" spans="1:11" x14ac:dyDescent="0.25">
      <c r="A2095" t="s">
        <v>2135</v>
      </c>
      <c r="B2095" s="1">
        <v>45968.466053240743</v>
      </c>
      <c r="C2095" s="2" t="s">
        <v>22</v>
      </c>
      <c r="D2095" t="s">
        <v>33</v>
      </c>
      <c r="E2095">
        <v>74577</v>
      </c>
      <c r="F2095" t="s">
        <v>14</v>
      </c>
      <c r="G2095" t="s">
        <v>20</v>
      </c>
      <c r="H2095" t="s">
        <v>16</v>
      </c>
      <c r="I2095">
        <v>0</v>
      </c>
      <c r="J2095">
        <v>0</v>
      </c>
      <c r="K2095">
        <v>0</v>
      </c>
    </row>
    <row r="2096" spans="1:11" x14ac:dyDescent="0.25">
      <c r="A2096" t="s">
        <v>2136</v>
      </c>
      <c r="B2096" s="1">
        <v>45950.512349537035</v>
      </c>
      <c r="C2096" s="2" t="s">
        <v>39</v>
      </c>
      <c r="D2096" t="s">
        <v>23</v>
      </c>
      <c r="E2096">
        <v>435</v>
      </c>
      <c r="F2096" t="s">
        <v>50</v>
      </c>
      <c r="G2096" t="s">
        <v>34</v>
      </c>
      <c r="H2096" t="s">
        <v>16</v>
      </c>
      <c r="I2096">
        <v>0</v>
      </c>
      <c r="J2096">
        <v>0</v>
      </c>
      <c r="K2096">
        <v>0</v>
      </c>
    </row>
    <row r="2097" spans="1:11" x14ac:dyDescent="0.25">
      <c r="A2097" t="s">
        <v>2137</v>
      </c>
      <c r="B2097" s="1">
        <v>46021.848055555558</v>
      </c>
      <c r="C2097" s="2" t="s">
        <v>39</v>
      </c>
      <c r="D2097" t="s">
        <v>23</v>
      </c>
      <c r="E2097">
        <v>4032</v>
      </c>
      <c r="F2097" t="s">
        <v>14</v>
      </c>
      <c r="G2097" t="s">
        <v>30</v>
      </c>
      <c r="H2097" t="s">
        <v>16</v>
      </c>
      <c r="I2097">
        <v>0</v>
      </c>
      <c r="J2097">
        <v>0</v>
      </c>
      <c r="K2097">
        <v>0</v>
      </c>
    </row>
    <row r="2098" spans="1:11" x14ac:dyDescent="0.25">
      <c r="A2098" t="s">
        <v>2138</v>
      </c>
      <c r="B2098" s="1">
        <v>45931.309756944444</v>
      </c>
      <c r="C2098" s="2" t="s">
        <v>18</v>
      </c>
      <c r="D2098" t="s">
        <v>45</v>
      </c>
      <c r="E2098">
        <v>98017</v>
      </c>
      <c r="F2098" t="s">
        <v>14</v>
      </c>
      <c r="G2098" t="s">
        <v>58</v>
      </c>
      <c r="H2098" t="s">
        <v>178</v>
      </c>
      <c r="I2098">
        <v>980.17</v>
      </c>
      <c r="J2098">
        <v>0</v>
      </c>
      <c r="K2098">
        <v>980.17</v>
      </c>
    </row>
    <row r="2099" spans="1:11" x14ac:dyDescent="0.25">
      <c r="A2099" t="s">
        <v>2139</v>
      </c>
      <c r="B2099" s="1">
        <v>45818.208333333336</v>
      </c>
      <c r="C2099" s="2" t="s">
        <v>39</v>
      </c>
      <c r="D2099" t="s">
        <v>33</v>
      </c>
      <c r="E2099">
        <v>42314</v>
      </c>
      <c r="F2099" t="s">
        <v>14</v>
      </c>
      <c r="G2099" t="s">
        <v>34</v>
      </c>
      <c r="H2099" t="s">
        <v>16</v>
      </c>
      <c r="I2099">
        <v>0</v>
      </c>
      <c r="J2099">
        <v>0</v>
      </c>
      <c r="K2099">
        <v>0</v>
      </c>
    </row>
    <row r="2100" spans="1:11" x14ac:dyDescent="0.25">
      <c r="A2100" t="s">
        <v>2140</v>
      </c>
      <c r="B2100" s="1">
        <v>46108.752222222225</v>
      </c>
      <c r="C2100" s="2" t="s">
        <v>41</v>
      </c>
      <c r="D2100" t="s">
        <v>13</v>
      </c>
      <c r="E2100">
        <v>163500</v>
      </c>
      <c r="F2100" t="s">
        <v>50</v>
      </c>
      <c r="G2100" t="s">
        <v>84</v>
      </c>
      <c r="H2100" t="s">
        <v>16</v>
      </c>
      <c r="I2100">
        <v>3024.75</v>
      </c>
      <c r="J2100">
        <v>1209.9000000000001</v>
      </c>
      <c r="K2100">
        <v>1814.85</v>
      </c>
    </row>
    <row r="2101" spans="1:11" x14ac:dyDescent="0.25">
      <c r="A2101" t="s">
        <v>2141</v>
      </c>
      <c r="B2101" s="1">
        <v>45937.252581018518</v>
      </c>
      <c r="C2101" s="2" t="s">
        <v>12</v>
      </c>
      <c r="D2101" t="s">
        <v>13</v>
      </c>
      <c r="E2101">
        <v>2500</v>
      </c>
      <c r="F2101" t="s">
        <v>14</v>
      </c>
      <c r="G2101" t="s">
        <v>20</v>
      </c>
      <c r="H2101" t="s">
        <v>16</v>
      </c>
      <c r="I2101">
        <v>46.25</v>
      </c>
      <c r="J2101">
        <v>18.5</v>
      </c>
      <c r="K2101">
        <v>27.75</v>
      </c>
    </row>
    <row r="2102" spans="1:11" x14ac:dyDescent="0.25">
      <c r="A2102" t="s">
        <v>2142</v>
      </c>
      <c r="B2102" s="1">
        <v>45878.847824074073</v>
      </c>
      <c r="C2102" s="2" t="s">
        <v>18</v>
      </c>
      <c r="D2102" t="s">
        <v>45</v>
      </c>
      <c r="E2102">
        <v>40394</v>
      </c>
      <c r="F2102" t="s">
        <v>14</v>
      </c>
      <c r="G2102" t="s">
        <v>51</v>
      </c>
      <c r="H2102" t="s">
        <v>56</v>
      </c>
      <c r="I2102">
        <v>403.94</v>
      </c>
      <c r="J2102">
        <v>0</v>
      </c>
      <c r="K2102">
        <v>403.94</v>
      </c>
    </row>
    <row r="2103" spans="1:11" x14ac:dyDescent="0.25">
      <c r="A2103" t="s">
        <v>2143</v>
      </c>
      <c r="B2103" s="1">
        <v>45895.015949074077</v>
      </c>
      <c r="C2103" s="2" t="s">
        <v>12</v>
      </c>
      <c r="D2103" t="s">
        <v>13</v>
      </c>
      <c r="E2103">
        <v>202500</v>
      </c>
      <c r="F2103" t="s">
        <v>50</v>
      </c>
      <c r="G2103" t="s">
        <v>24</v>
      </c>
      <c r="H2103" t="s">
        <v>16</v>
      </c>
      <c r="I2103">
        <v>3746.25</v>
      </c>
      <c r="J2103">
        <v>1498.5</v>
      </c>
      <c r="K2103">
        <v>2247.75</v>
      </c>
    </row>
    <row r="2104" spans="1:11" x14ac:dyDescent="0.25">
      <c r="A2104" t="s">
        <v>2144</v>
      </c>
      <c r="B2104" s="1">
        <v>45954.593506944446</v>
      </c>
      <c r="C2104" s="2" t="s">
        <v>12</v>
      </c>
      <c r="D2104" t="s">
        <v>13</v>
      </c>
      <c r="E2104">
        <v>170000</v>
      </c>
      <c r="F2104" t="s">
        <v>14</v>
      </c>
      <c r="G2104" t="s">
        <v>34</v>
      </c>
      <c r="H2104" t="s">
        <v>16</v>
      </c>
      <c r="I2104">
        <v>3145</v>
      </c>
      <c r="J2104">
        <v>1258</v>
      </c>
      <c r="K2104">
        <v>1887</v>
      </c>
    </row>
    <row r="2105" spans="1:11" x14ac:dyDescent="0.25">
      <c r="A2105" t="s">
        <v>2145</v>
      </c>
      <c r="B2105" s="1">
        <v>45962.517534722225</v>
      </c>
      <c r="C2105" s="2" t="s">
        <v>32</v>
      </c>
      <c r="D2105" t="s">
        <v>23</v>
      </c>
      <c r="E2105">
        <v>444</v>
      </c>
      <c r="F2105" t="s">
        <v>14</v>
      </c>
      <c r="G2105" t="s">
        <v>30</v>
      </c>
      <c r="H2105" t="s">
        <v>16</v>
      </c>
      <c r="I2105">
        <v>0</v>
      </c>
      <c r="J2105">
        <v>0</v>
      </c>
      <c r="K2105">
        <v>0</v>
      </c>
    </row>
    <row r="2106" spans="1:11" x14ac:dyDescent="0.25">
      <c r="A2106" t="s">
        <v>2146</v>
      </c>
      <c r="B2106" s="1">
        <v>45956.010671296295</v>
      </c>
      <c r="C2106" s="2" t="s">
        <v>18</v>
      </c>
      <c r="D2106" t="s">
        <v>19</v>
      </c>
      <c r="E2106">
        <v>66283</v>
      </c>
      <c r="F2106" t="s">
        <v>14</v>
      </c>
      <c r="G2106" t="s">
        <v>24</v>
      </c>
      <c r="H2106" t="s">
        <v>16</v>
      </c>
      <c r="I2106">
        <v>5</v>
      </c>
      <c r="J2106">
        <v>0</v>
      </c>
      <c r="K2106">
        <v>5</v>
      </c>
    </row>
    <row r="2107" spans="1:11" x14ac:dyDescent="0.25">
      <c r="A2107" t="s">
        <v>2147</v>
      </c>
      <c r="B2107" s="1">
        <v>45922.469895833332</v>
      </c>
      <c r="C2107" s="2" t="s">
        <v>22</v>
      </c>
      <c r="D2107" t="s">
        <v>19</v>
      </c>
      <c r="E2107">
        <v>85716</v>
      </c>
      <c r="F2107" t="s">
        <v>50</v>
      </c>
      <c r="G2107" t="s">
        <v>30</v>
      </c>
      <c r="H2107" t="s">
        <v>16</v>
      </c>
      <c r="I2107">
        <v>5</v>
      </c>
      <c r="J2107">
        <v>0</v>
      </c>
      <c r="K2107">
        <v>5</v>
      </c>
    </row>
    <row r="2108" spans="1:11" x14ac:dyDescent="0.25">
      <c r="A2108" t="s">
        <v>2148</v>
      </c>
      <c r="B2108" s="1">
        <v>46120.411562499998</v>
      </c>
      <c r="C2108" s="2" t="s">
        <v>32</v>
      </c>
      <c r="D2108" t="s">
        <v>45</v>
      </c>
      <c r="E2108">
        <v>115633</v>
      </c>
      <c r="F2108" t="s">
        <v>14</v>
      </c>
      <c r="G2108" t="s">
        <v>34</v>
      </c>
      <c r="H2108" t="s">
        <v>56</v>
      </c>
      <c r="I2108">
        <v>1156.33</v>
      </c>
      <c r="J2108">
        <v>0</v>
      </c>
      <c r="K2108">
        <v>1156.33</v>
      </c>
    </row>
    <row r="2109" spans="1:11" x14ac:dyDescent="0.25">
      <c r="A2109" t="s">
        <v>2149</v>
      </c>
      <c r="B2109" s="1">
        <v>46052.58153935185</v>
      </c>
      <c r="C2109" s="2" t="s">
        <v>41</v>
      </c>
      <c r="D2109" t="s">
        <v>45</v>
      </c>
      <c r="E2109">
        <v>85989</v>
      </c>
      <c r="F2109" t="s">
        <v>14</v>
      </c>
      <c r="G2109" t="s">
        <v>58</v>
      </c>
      <c r="H2109" t="s">
        <v>56</v>
      </c>
      <c r="I2109">
        <v>859.89</v>
      </c>
      <c r="J2109">
        <v>0</v>
      </c>
      <c r="K2109">
        <v>859.89</v>
      </c>
    </row>
    <row r="2110" spans="1:11" x14ac:dyDescent="0.25">
      <c r="A2110" t="s">
        <v>2150</v>
      </c>
      <c r="B2110" s="1">
        <v>45825.870694444442</v>
      </c>
      <c r="C2110" s="2" t="s">
        <v>12</v>
      </c>
      <c r="D2110" t="s">
        <v>23</v>
      </c>
      <c r="E2110">
        <v>1489</v>
      </c>
      <c r="F2110" t="s">
        <v>14</v>
      </c>
      <c r="G2110" t="s">
        <v>30</v>
      </c>
      <c r="H2110" t="s">
        <v>16</v>
      </c>
      <c r="I2110">
        <v>0</v>
      </c>
      <c r="J2110">
        <v>0</v>
      </c>
      <c r="K2110">
        <v>0</v>
      </c>
    </row>
    <row r="2111" spans="1:11" x14ac:dyDescent="0.25">
      <c r="A2111" t="s">
        <v>2151</v>
      </c>
      <c r="B2111" s="1">
        <v>46100.77652777778</v>
      </c>
      <c r="C2111" s="2" t="s">
        <v>29</v>
      </c>
      <c r="D2111" t="s">
        <v>13</v>
      </c>
      <c r="E2111">
        <v>19500</v>
      </c>
      <c r="F2111" t="s">
        <v>14</v>
      </c>
      <c r="G2111" t="s">
        <v>84</v>
      </c>
      <c r="H2111" t="s">
        <v>16</v>
      </c>
      <c r="I2111">
        <v>360.75</v>
      </c>
      <c r="J2111">
        <v>144.30000000000001</v>
      </c>
      <c r="K2111">
        <v>216.45</v>
      </c>
    </row>
    <row r="2112" spans="1:11" x14ac:dyDescent="0.25">
      <c r="A2112" t="s">
        <v>2152</v>
      </c>
      <c r="B2112" s="1">
        <v>45939.028668981482</v>
      </c>
      <c r="C2112" s="2" t="s">
        <v>32</v>
      </c>
      <c r="D2112" t="s">
        <v>19</v>
      </c>
      <c r="E2112">
        <v>144445</v>
      </c>
      <c r="F2112" t="s">
        <v>14</v>
      </c>
      <c r="G2112" t="s">
        <v>24</v>
      </c>
      <c r="H2112" t="s">
        <v>16</v>
      </c>
      <c r="I2112">
        <v>5</v>
      </c>
      <c r="J2112">
        <v>0</v>
      </c>
      <c r="K2112">
        <v>5</v>
      </c>
    </row>
    <row r="2113" spans="1:11" x14ac:dyDescent="0.25">
      <c r="A2113" t="s">
        <v>2153</v>
      </c>
      <c r="B2113" s="1">
        <v>46104.874756944446</v>
      </c>
      <c r="C2113" s="2" t="s">
        <v>18</v>
      </c>
      <c r="D2113" t="s">
        <v>45</v>
      </c>
      <c r="E2113">
        <v>144856</v>
      </c>
      <c r="F2113" t="s">
        <v>14</v>
      </c>
      <c r="G2113" t="s">
        <v>84</v>
      </c>
      <c r="H2113" t="s">
        <v>178</v>
      </c>
      <c r="I2113">
        <v>1448.56</v>
      </c>
      <c r="J2113">
        <v>0</v>
      </c>
      <c r="K2113">
        <v>1448.56</v>
      </c>
    </row>
    <row r="2114" spans="1:11" x14ac:dyDescent="0.25">
      <c r="A2114" t="s">
        <v>2154</v>
      </c>
      <c r="B2114" s="1">
        <v>46122.670034722221</v>
      </c>
      <c r="C2114" s="2" t="s">
        <v>26</v>
      </c>
      <c r="D2114" t="s">
        <v>19</v>
      </c>
      <c r="E2114">
        <v>26751</v>
      </c>
      <c r="F2114" t="s">
        <v>14</v>
      </c>
      <c r="G2114" t="s">
        <v>51</v>
      </c>
      <c r="H2114" t="s">
        <v>16</v>
      </c>
      <c r="I2114">
        <v>5</v>
      </c>
      <c r="J2114">
        <v>0</v>
      </c>
      <c r="K2114">
        <v>5</v>
      </c>
    </row>
    <row r="2115" spans="1:11" x14ac:dyDescent="0.25">
      <c r="A2115" t="s">
        <v>2155</v>
      </c>
      <c r="B2115" s="1">
        <v>46039.65284722222</v>
      </c>
      <c r="C2115" s="2" t="s">
        <v>39</v>
      </c>
      <c r="D2115" t="s">
        <v>23</v>
      </c>
      <c r="E2115">
        <v>1637</v>
      </c>
      <c r="F2115" t="s">
        <v>14</v>
      </c>
      <c r="G2115" t="s">
        <v>34</v>
      </c>
      <c r="H2115" t="s">
        <v>16</v>
      </c>
      <c r="I2115">
        <v>0</v>
      </c>
      <c r="J2115">
        <v>0</v>
      </c>
      <c r="K2115">
        <v>0</v>
      </c>
    </row>
    <row r="2116" spans="1:11" x14ac:dyDescent="0.25">
      <c r="A2116" t="s">
        <v>2156</v>
      </c>
      <c r="B2116" s="1">
        <v>45828.230011574073</v>
      </c>
      <c r="C2116" s="2" t="s">
        <v>29</v>
      </c>
      <c r="D2116" t="s">
        <v>23</v>
      </c>
      <c r="E2116">
        <v>1507</v>
      </c>
      <c r="F2116" t="s">
        <v>14</v>
      </c>
      <c r="G2116" t="s">
        <v>15</v>
      </c>
      <c r="H2116" t="s">
        <v>16</v>
      </c>
      <c r="I2116">
        <v>0</v>
      </c>
      <c r="J2116">
        <v>0</v>
      </c>
      <c r="K2116">
        <v>0</v>
      </c>
    </row>
    <row r="2117" spans="1:11" x14ac:dyDescent="0.25">
      <c r="A2117" t="s">
        <v>2157</v>
      </c>
      <c r="B2117" s="1">
        <v>45806.657893518517</v>
      </c>
      <c r="C2117" s="2" t="s">
        <v>32</v>
      </c>
      <c r="D2117" t="s">
        <v>45</v>
      </c>
      <c r="E2117">
        <v>144960</v>
      </c>
      <c r="F2117" t="s">
        <v>14</v>
      </c>
      <c r="G2117" t="s">
        <v>24</v>
      </c>
      <c r="H2117" t="s">
        <v>56</v>
      </c>
      <c r="I2117">
        <v>1449.6</v>
      </c>
      <c r="J2117">
        <v>0</v>
      </c>
      <c r="K2117">
        <v>1449.6</v>
      </c>
    </row>
    <row r="2118" spans="1:11" x14ac:dyDescent="0.25">
      <c r="A2118" t="s">
        <v>2158</v>
      </c>
      <c r="B2118" s="1">
        <v>46029.522245370368</v>
      </c>
      <c r="C2118" s="2" t="s">
        <v>29</v>
      </c>
      <c r="D2118" t="s">
        <v>33</v>
      </c>
      <c r="E2118">
        <v>140361</v>
      </c>
      <c r="F2118" t="s">
        <v>14</v>
      </c>
      <c r="G2118" t="s">
        <v>20</v>
      </c>
      <c r="H2118" t="s">
        <v>16</v>
      </c>
      <c r="I2118">
        <v>0</v>
      </c>
      <c r="J2118">
        <v>0</v>
      </c>
      <c r="K2118">
        <v>0</v>
      </c>
    </row>
    <row r="2119" spans="1:11" x14ac:dyDescent="0.25">
      <c r="A2119" t="s">
        <v>2159</v>
      </c>
      <c r="B2119" s="1">
        <v>45789.483587962961</v>
      </c>
      <c r="C2119" s="2" t="s">
        <v>12</v>
      </c>
      <c r="D2119" t="s">
        <v>13</v>
      </c>
      <c r="E2119">
        <v>144000</v>
      </c>
      <c r="F2119" t="s">
        <v>14</v>
      </c>
      <c r="G2119" t="s">
        <v>15</v>
      </c>
      <c r="H2119" t="s">
        <v>16</v>
      </c>
      <c r="I2119">
        <v>2664</v>
      </c>
      <c r="J2119">
        <v>1065.5999999999999</v>
      </c>
      <c r="K2119">
        <v>1598.4</v>
      </c>
    </row>
    <row r="2120" spans="1:11" x14ac:dyDescent="0.25">
      <c r="A2120" t="s">
        <v>2160</v>
      </c>
      <c r="B2120" s="1">
        <v>46110.82271990741</v>
      </c>
      <c r="C2120" s="2" t="s">
        <v>18</v>
      </c>
      <c r="D2120" t="s">
        <v>23</v>
      </c>
      <c r="E2120">
        <v>2091</v>
      </c>
      <c r="F2120" t="s">
        <v>14</v>
      </c>
      <c r="G2120" t="s">
        <v>30</v>
      </c>
      <c r="H2120" t="s">
        <v>16</v>
      </c>
      <c r="I2120">
        <v>0</v>
      </c>
      <c r="J2120">
        <v>0</v>
      </c>
      <c r="K2120">
        <v>0</v>
      </c>
    </row>
    <row r="2121" spans="1:11" x14ac:dyDescent="0.25">
      <c r="A2121" t="s">
        <v>2161</v>
      </c>
      <c r="B2121" s="1">
        <v>46100.825624999998</v>
      </c>
      <c r="C2121" s="2" t="s">
        <v>18</v>
      </c>
      <c r="D2121" t="s">
        <v>33</v>
      </c>
      <c r="E2121">
        <v>22531</v>
      </c>
      <c r="F2121" t="s">
        <v>14</v>
      </c>
      <c r="G2121" t="s">
        <v>27</v>
      </c>
      <c r="H2121" t="s">
        <v>16</v>
      </c>
      <c r="I2121">
        <v>0</v>
      </c>
      <c r="J2121">
        <v>0</v>
      </c>
      <c r="K2121">
        <v>0</v>
      </c>
    </row>
    <row r="2122" spans="1:11" x14ac:dyDescent="0.25">
      <c r="A2122" t="s">
        <v>2162</v>
      </c>
      <c r="B2122" s="1">
        <v>46038.994583333333</v>
      </c>
      <c r="C2122" s="2" t="s">
        <v>39</v>
      </c>
      <c r="D2122" t="s">
        <v>13</v>
      </c>
      <c r="E2122">
        <v>178500</v>
      </c>
      <c r="F2122" t="s">
        <v>14</v>
      </c>
      <c r="G2122" t="s">
        <v>27</v>
      </c>
      <c r="H2122" t="s">
        <v>16</v>
      </c>
      <c r="I2122">
        <v>3302.25</v>
      </c>
      <c r="J2122">
        <v>1320.9</v>
      </c>
      <c r="K2122">
        <v>1981.35</v>
      </c>
    </row>
    <row r="2123" spans="1:11" x14ac:dyDescent="0.25">
      <c r="A2123" t="s">
        <v>2163</v>
      </c>
      <c r="B2123" s="1">
        <v>45999.726666666669</v>
      </c>
      <c r="C2123" s="2" t="s">
        <v>32</v>
      </c>
      <c r="D2123" t="s">
        <v>45</v>
      </c>
      <c r="E2123">
        <v>127906</v>
      </c>
      <c r="F2123" t="s">
        <v>14</v>
      </c>
      <c r="G2123" t="s">
        <v>34</v>
      </c>
      <c r="H2123" t="s">
        <v>59</v>
      </c>
      <c r="I2123">
        <v>1279.06</v>
      </c>
      <c r="J2123">
        <v>0</v>
      </c>
      <c r="K2123">
        <v>1279.06</v>
      </c>
    </row>
    <row r="2124" spans="1:11" x14ac:dyDescent="0.25">
      <c r="A2124" t="s">
        <v>2164</v>
      </c>
      <c r="B2124" s="1">
        <v>45874.616249999999</v>
      </c>
      <c r="C2124" s="2" t="s">
        <v>39</v>
      </c>
      <c r="D2124" t="s">
        <v>33</v>
      </c>
      <c r="E2124">
        <v>120280</v>
      </c>
      <c r="F2124" t="s">
        <v>50</v>
      </c>
      <c r="G2124" t="s">
        <v>51</v>
      </c>
      <c r="H2124" t="s">
        <v>16</v>
      </c>
      <c r="I2124">
        <v>0</v>
      </c>
      <c r="J2124">
        <v>0</v>
      </c>
      <c r="K2124">
        <v>0</v>
      </c>
    </row>
    <row r="2125" spans="1:11" x14ac:dyDescent="0.25">
      <c r="A2125" t="s">
        <v>2165</v>
      </c>
      <c r="B2125" s="1">
        <v>46094.202291666668</v>
      </c>
      <c r="C2125" s="2" t="s">
        <v>32</v>
      </c>
      <c r="D2125" t="s">
        <v>13</v>
      </c>
      <c r="E2125">
        <v>66500</v>
      </c>
      <c r="F2125" t="s">
        <v>14</v>
      </c>
      <c r="G2125" t="s">
        <v>51</v>
      </c>
      <c r="H2125" t="s">
        <v>16</v>
      </c>
      <c r="I2125">
        <v>1230.25</v>
      </c>
      <c r="J2125">
        <v>492.1</v>
      </c>
      <c r="K2125">
        <v>738.15</v>
      </c>
    </row>
    <row r="2126" spans="1:11" x14ac:dyDescent="0.25">
      <c r="A2126" t="s">
        <v>2166</v>
      </c>
      <c r="B2126" s="1">
        <v>45946.295601851853</v>
      </c>
      <c r="C2126" s="2" t="s">
        <v>41</v>
      </c>
      <c r="D2126" t="s">
        <v>33</v>
      </c>
      <c r="E2126">
        <v>86725</v>
      </c>
      <c r="F2126" t="s">
        <v>14</v>
      </c>
      <c r="G2126" t="s">
        <v>27</v>
      </c>
      <c r="H2126" t="s">
        <v>16</v>
      </c>
      <c r="I2126">
        <v>0</v>
      </c>
      <c r="J2126">
        <v>0</v>
      </c>
      <c r="K2126">
        <v>0</v>
      </c>
    </row>
    <row r="2127" spans="1:11" x14ac:dyDescent="0.25">
      <c r="A2127" t="s">
        <v>2167</v>
      </c>
      <c r="B2127" s="1">
        <v>46133.776608796295</v>
      </c>
      <c r="C2127" s="2" t="s">
        <v>39</v>
      </c>
      <c r="D2127" t="s">
        <v>33</v>
      </c>
      <c r="E2127">
        <v>115903</v>
      </c>
      <c r="F2127" t="s">
        <v>14</v>
      </c>
      <c r="G2127" t="s">
        <v>24</v>
      </c>
      <c r="H2127" t="s">
        <v>16</v>
      </c>
      <c r="I2127">
        <v>0</v>
      </c>
      <c r="J2127">
        <v>0</v>
      </c>
      <c r="K2127">
        <v>0</v>
      </c>
    </row>
    <row r="2128" spans="1:11" x14ac:dyDescent="0.25">
      <c r="A2128" t="s">
        <v>2168</v>
      </c>
      <c r="B2128" s="1">
        <v>46029.286643518521</v>
      </c>
      <c r="C2128" s="2" t="s">
        <v>32</v>
      </c>
      <c r="D2128" t="s">
        <v>23</v>
      </c>
      <c r="E2128">
        <v>2391</v>
      </c>
      <c r="F2128" t="s">
        <v>14</v>
      </c>
      <c r="G2128" t="s">
        <v>24</v>
      </c>
      <c r="H2128" t="s">
        <v>16</v>
      </c>
      <c r="I2128">
        <v>0</v>
      </c>
      <c r="J2128">
        <v>0</v>
      </c>
      <c r="K2128">
        <v>0</v>
      </c>
    </row>
    <row r="2129" spans="1:11" x14ac:dyDescent="0.25">
      <c r="A2129" t="s">
        <v>2169</v>
      </c>
      <c r="B2129" s="1">
        <v>45994.479317129626</v>
      </c>
      <c r="C2129" s="2" t="s">
        <v>29</v>
      </c>
      <c r="D2129" t="s">
        <v>45</v>
      </c>
      <c r="E2129">
        <v>77022</v>
      </c>
      <c r="F2129" t="s">
        <v>14</v>
      </c>
      <c r="G2129" t="s">
        <v>27</v>
      </c>
      <c r="H2129" t="s">
        <v>46</v>
      </c>
      <c r="I2129">
        <v>770.22</v>
      </c>
      <c r="J2129">
        <v>0</v>
      </c>
      <c r="K2129">
        <v>770.22</v>
      </c>
    </row>
    <row r="2130" spans="1:11" x14ac:dyDescent="0.25">
      <c r="A2130" t="s">
        <v>2170</v>
      </c>
      <c r="B2130" s="1">
        <v>45940.389224537037</v>
      </c>
      <c r="C2130" s="2" t="s">
        <v>29</v>
      </c>
      <c r="D2130" t="s">
        <v>45</v>
      </c>
      <c r="E2130">
        <v>9297</v>
      </c>
      <c r="F2130" t="s">
        <v>14</v>
      </c>
      <c r="G2130" t="s">
        <v>34</v>
      </c>
      <c r="H2130" t="s">
        <v>178</v>
      </c>
      <c r="I2130">
        <v>92.97</v>
      </c>
      <c r="J2130">
        <v>0</v>
      </c>
      <c r="K2130">
        <v>92.97</v>
      </c>
    </row>
    <row r="2131" spans="1:11" x14ac:dyDescent="0.25">
      <c r="A2131" t="s">
        <v>2171</v>
      </c>
      <c r="B2131" s="1">
        <v>46004.291377314818</v>
      </c>
      <c r="C2131" s="2" t="s">
        <v>41</v>
      </c>
      <c r="D2131" t="s">
        <v>23</v>
      </c>
      <c r="E2131">
        <v>1357</v>
      </c>
      <c r="F2131" t="s">
        <v>14</v>
      </c>
      <c r="G2131" t="s">
        <v>34</v>
      </c>
      <c r="H2131" t="s">
        <v>16</v>
      </c>
      <c r="I2131">
        <v>0</v>
      </c>
      <c r="J2131">
        <v>0</v>
      </c>
      <c r="K2131">
        <v>0</v>
      </c>
    </row>
    <row r="2132" spans="1:11" x14ac:dyDescent="0.25">
      <c r="A2132" t="s">
        <v>2172</v>
      </c>
      <c r="B2132" s="1">
        <v>46073.240601851852</v>
      </c>
      <c r="C2132" s="2" t="s">
        <v>26</v>
      </c>
      <c r="D2132" t="s">
        <v>45</v>
      </c>
      <c r="E2132">
        <v>97113</v>
      </c>
      <c r="F2132" t="s">
        <v>14</v>
      </c>
      <c r="G2132" t="s">
        <v>84</v>
      </c>
      <c r="H2132" t="s">
        <v>71</v>
      </c>
      <c r="I2132">
        <v>971.13</v>
      </c>
      <c r="J2132">
        <v>0</v>
      </c>
      <c r="K2132">
        <v>971.13</v>
      </c>
    </row>
    <row r="2133" spans="1:11" x14ac:dyDescent="0.25">
      <c r="A2133" t="s">
        <v>2173</v>
      </c>
      <c r="B2133" s="1">
        <v>46101.628032407411</v>
      </c>
      <c r="C2133" s="2" t="s">
        <v>32</v>
      </c>
      <c r="D2133" t="s">
        <v>19</v>
      </c>
      <c r="E2133">
        <v>126087</v>
      </c>
      <c r="F2133" t="s">
        <v>14</v>
      </c>
      <c r="G2133" t="s">
        <v>58</v>
      </c>
      <c r="H2133" t="s">
        <v>16</v>
      </c>
      <c r="I2133">
        <v>5</v>
      </c>
      <c r="J2133">
        <v>0</v>
      </c>
      <c r="K2133">
        <v>5</v>
      </c>
    </row>
    <row r="2134" spans="1:11" x14ac:dyDescent="0.25">
      <c r="A2134" t="s">
        <v>2174</v>
      </c>
      <c r="B2134" s="1">
        <v>46116.81422453704</v>
      </c>
      <c r="C2134" s="2" t="s">
        <v>26</v>
      </c>
      <c r="D2134" t="s">
        <v>19</v>
      </c>
      <c r="E2134">
        <v>76170</v>
      </c>
      <c r="F2134" t="s">
        <v>14</v>
      </c>
      <c r="G2134" t="s">
        <v>27</v>
      </c>
      <c r="H2134" t="s">
        <v>16</v>
      </c>
      <c r="I2134">
        <v>5</v>
      </c>
      <c r="J2134">
        <v>0</v>
      </c>
      <c r="K2134">
        <v>5</v>
      </c>
    </row>
    <row r="2135" spans="1:11" x14ac:dyDescent="0.25">
      <c r="A2135" t="s">
        <v>2175</v>
      </c>
      <c r="B2135" s="1">
        <v>45852.741273148145</v>
      </c>
      <c r="C2135" s="2" t="s">
        <v>12</v>
      </c>
      <c r="D2135" t="s">
        <v>45</v>
      </c>
      <c r="E2135">
        <v>64490</v>
      </c>
      <c r="F2135" t="s">
        <v>50</v>
      </c>
      <c r="G2135" t="s">
        <v>30</v>
      </c>
      <c r="H2135" t="s">
        <v>71</v>
      </c>
      <c r="I2135">
        <v>644.9</v>
      </c>
      <c r="J2135">
        <v>0</v>
      </c>
      <c r="K2135">
        <v>644.9</v>
      </c>
    </row>
    <row r="2136" spans="1:11" x14ac:dyDescent="0.25">
      <c r="A2136" t="s">
        <v>2176</v>
      </c>
      <c r="B2136" s="1">
        <v>45980.985405092593</v>
      </c>
      <c r="C2136" s="2" t="s">
        <v>39</v>
      </c>
      <c r="D2136" t="s">
        <v>23</v>
      </c>
      <c r="E2136">
        <v>2196</v>
      </c>
      <c r="F2136" t="s">
        <v>14</v>
      </c>
      <c r="G2136" t="s">
        <v>34</v>
      </c>
      <c r="H2136" t="s">
        <v>16</v>
      </c>
      <c r="I2136">
        <v>0</v>
      </c>
      <c r="J2136">
        <v>0</v>
      </c>
      <c r="K2136">
        <v>0</v>
      </c>
    </row>
    <row r="2137" spans="1:11" x14ac:dyDescent="0.25">
      <c r="A2137" t="s">
        <v>2177</v>
      </c>
      <c r="B2137" s="1">
        <v>45802.530312499999</v>
      </c>
      <c r="C2137" s="2" t="s">
        <v>41</v>
      </c>
      <c r="D2137" t="s">
        <v>45</v>
      </c>
      <c r="E2137">
        <v>105156</v>
      </c>
      <c r="F2137" t="s">
        <v>50</v>
      </c>
      <c r="G2137" t="s">
        <v>24</v>
      </c>
      <c r="H2137" t="s">
        <v>59</v>
      </c>
      <c r="I2137">
        <v>1051.56</v>
      </c>
      <c r="J2137">
        <v>0</v>
      </c>
      <c r="K2137">
        <v>1051.56</v>
      </c>
    </row>
    <row r="2138" spans="1:11" x14ac:dyDescent="0.25">
      <c r="A2138" t="s">
        <v>2178</v>
      </c>
      <c r="B2138" s="1">
        <v>45958.539363425924</v>
      </c>
      <c r="C2138" s="2" t="s">
        <v>18</v>
      </c>
      <c r="D2138" t="s">
        <v>19</v>
      </c>
      <c r="E2138">
        <v>41506</v>
      </c>
      <c r="F2138" t="s">
        <v>14</v>
      </c>
      <c r="G2138" t="s">
        <v>27</v>
      </c>
      <c r="H2138" t="s">
        <v>16</v>
      </c>
      <c r="I2138">
        <v>5</v>
      </c>
      <c r="J2138">
        <v>0</v>
      </c>
      <c r="K2138">
        <v>5</v>
      </c>
    </row>
    <row r="2139" spans="1:11" x14ac:dyDescent="0.25">
      <c r="A2139" t="s">
        <v>2179</v>
      </c>
      <c r="B2139" s="1">
        <v>46074.899155092593</v>
      </c>
      <c r="C2139" s="2" t="s">
        <v>41</v>
      </c>
      <c r="D2139" t="s">
        <v>33</v>
      </c>
      <c r="E2139">
        <v>35320</v>
      </c>
      <c r="F2139" t="s">
        <v>14</v>
      </c>
      <c r="G2139" t="s">
        <v>24</v>
      </c>
      <c r="H2139" t="s">
        <v>16</v>
      </c>
      <c r="I2139">
        <v>0</v>
      </c>
      <c r="J2139">
        <v>0</v>
      </c>
      <c r="K2139">
        <v>0</v>
      </c>
    </row>
    <row r="2140" spans="1:11" x14ac:dyDescent="0.25">
      <c r="A2140" t="s">
        <v>2180</v>
      </c>
      <c r="B2140" s="1">
        <v>45833.714583333334</v>
      </c>
      <c r="C2140" s="2" t="s">
        <v>12</v>
      </c>
      <c r="D2140" t="s">
        <v>19</v>
      </c>
      <c r="E2140">
        <v>107674</v>
      </c>
      <c r="F2140" t="s">
        <v>14</v>
      </c>
      <c r="G2140" t="s">
        <v>30</v>
      </c>
      <c r="H2140" t="s">
        <v>16</v>
      </c>
      <c r="I2140">
        <v>5</v>
      </c>
      <c r="J2140">
        <v>0</v>
      </c>
      <c r="K2140">
        <v>5</v>
      </c>
    </row>
    <row r="2141" spans="1:11" x14ac:dyDescent="0.25">
      <c r="A2141" t="s">
        <v>2181</v>
      </c>
      <c r="B2141" s="1">
        <v>46071.76630787037</v>
      </c>
      <c r="C2141" s="2" t="s">
        <v>12</v>
      </c>
      <c r="D2141" t="s">
        <v>33</v>
      </c>
      <c r="E2141">
        <v>35203</v>
      </c>
      <c r="F2141" t="s">
        <v>14</v>
      </c>
      <c r="G2141" t="s">
        <v>34</v>
      </c>
      <c r="H2141" t="s">
        <v>16</v>
      </c>
      <c r="I2141">
        <v>0</v>
      </c>
      <c r="J2141">
        <v>0</v>
      </c>
      <c r="K2141">
        <v>0</v>
      </c>
    </row>
    <row r="2142" spans="1:11" x14ac:dyDescent="0.25">
      <c r="A2142" t="s">
        <v>2182</v>
      </c>
      <c r="B2142" s="1">
        <v>45907.590833333335</v>
      </c>
      <c r="C2142" s="2" t="s">
        <v>22</v>
      </c>
      <c r="D2142" t="s">
        <v>45</v>
      </c>
      <c r="E2142">
        <v>76379</v>
      </c>
      <c r="F2142" t="s">
        <v>14</v>
      </c>
      <c r="G2142" t="s">
        <v>15</v>
      </c>
      <c r="H2142" t="s">
        <v>71</v>
      </c>
      <c r="I2142">
        <v>763.79</v>
      </c>
      <c r="J2142">
        <v>0</v>
      </c>
      <c r="K2142">
        <v>763.79</v>
      </c>
    </row>
    <row r="2143" spans="1:11" x14ac:dyDescent="0.25">
      <c r="A2143" t="s">
        <v>2183</v>
      </c>
      <c r="B2143" s="1">
        <v>45790.687384259261</v>
      </c>
      <c r="C2143" s="2" t="s">
        <v>12</v>
      </c>
      <c r="D2143" t="s">
        <v>23</v>
      </c>
      <c r="E2143">
        <v>3943</v>
      </c>
      <c r="F2143" t="s">
        <v>14</v>
      </c>
      <c r="G2143" t="s">
        <v>51</v>
      </c>
      <c r="H2143" t="s">
        <v>16</v>
      </c>
      <c r="I2143">
        <v>0</v>
      </c>
      <c r="J2143">
        <v>0</v>
      </c>
      <c r="K2143">
        <v>0</v>
      </c>
    </row>
    <row r="2144" spans="1:11" x14ac:dyDescent="0.25">
      <c r="A2144" t="s">
        <v>2184</v>
      </c>
      <c r="B2144" s="1">
        <v>46110.027569444443</v>
      </c>
      <c r="C2144" s="2" t="s">
        <v>39</v>
      </c>
      <c r="D2144" t="s">
        <v>19</v>
      </c>
      <c r="E2144">
        <v>79836</v>
      </c>
      <c r="F2144" t="s">
        <v>50</v>
      </c>
      <c r="G2144" t="s">
        <v>15</v>
      </c>
      <c r="H2144" t="s">
        <v>16</v>
      </c>
      <c r="I2144">
        <v>5</v>
      </c>
      <c r="J2144">
        <v>0</v>
      </c>
      <c r="K2144">
        <v>5</v>
      </c>
    </row>
    <row r="2145" spans="1:11" x14ac:dyDescent="0.25">
      <c r="A2145" t="s">
        <v>2185</v>
      </c>
      <c r="B2145" s="1">
        <v>45913.884375000001</v>
      </c>
      <c r="C2145" s="2" t="s">
        <v>32</v>
      </c>
      <c r="D2145" t="s">
        <v>13</v>
      </c>
      <c r="E2145">
        <v>87000</v>
      </c>
      <c r="F2145" t="s">
        <v>14</v>
      </c>
      <c r="G2145" t="s">
        <v>51</v>
      </c>
      <c r="H2145" t="s">
        <v>16</v>
      </c>
      <c r="I2145">
        <v>1609.5</v>
      </c>
      <c r="J2145">
        <v>643.79999999999995</v>
      </c>
      <c r="K2145">
        <v>965.7</v>
      </c>
    </row>
    <row r="2146" spans="1:11" x14ac:dyDescent="0.25">
      <c r="A2146" t="s">
        <v>2186</v>
      </c>
      <c r="B2146" s="1">
        <v>46009.966469907406</v>
      </c>
      <c r="C2146" s="2" t="s">
        <v>29</v>
      </c>
      <c r="D2146" t="s">
        <v>13</v>
      </c>
      <c r="E2146">
        <v>203000</v>
      </c>
      <c r="F2146" t="s">
        <v>14</v>
      </c>
      <c r="G2146" t="s">
        <v>30</v>
      </c>
      <c r="H2146" t="s">
        <v>16</v>
      </c>
      <c r="I2146">
        <v>3755.5</v>
      </c>
      <c r="J2146">
        <v>1502.2</v>
      </c>
      <c r="K2146">
        <v>2253.3000000000002</v>
      </c>
    </row>
    <row r="2147" spans="1:11" x14ac:dyDescent="0.25">
      <c r="A2147" t="s">
        <v>2187</v>
      </c>
      <c r="B2147" s="1">
        <v>46034.511840277781</v>
      </c>
      <c r="C2147" s="2" t="s">
        <v>32</v>
      </c>
      <c r="D2147" t="s">
        <v>45</v>
      </c>
      <c r="E2147">
        <v>66986</v>
      </c>
      <c r="F2147" t="s">
        <v>14</v>
      </c>
      <c r="G2147" t="s">
        <v>20</v>
      </c>
      <c r="H2147" t="s">
        <v>178</v>
      </c>
      <c r="I2147">
        <v>669.86</v>
      </c>
      <c r="J2147">
        <v>0</v>
      </c>
      <c r="K2147">
        <v>669.86</v>
      </c>
    </row>
    <row r="2148" spans="1:11" x14ac:dyDescent="0.25">
      <c r="A2148" t="s">
        <v>2188</v>
      </c>
      <c r="B2148" s="1">
        <v>45895.220601851855</v>
      </c>
      <c r="C2148" s="2" t="s">
        <v>29</v>
      </c>
      <c r="D2148" t="s">
        <v>33</v>
      </c>
      <c r="E2148">
        <v>6723</v>
      </c>
      <c r="F2148" t="s">
        <v>14</v>
      </c>
      <c r="G2148" t="s">
        <v>15</v>
      </c>
      <c r="H2148" t="s">
        <v>16</v>
      </c>
      <c r="I2148">
        <v>0</v>
      </c>
      <c r="J2148">
        <v>0</v>
      </c>
      <c r="K2148">
        <v>0</v>
      </c>
    </row>
    <row r="2149" spans="1:11" x14ac:dyDescent="0.25">
      <c r="A2149" t="s">
        <v>2189</v>
      </c>
      <c r="B2149" s="1">
        <v>45998.308564814812</v>
      </c>
      <c r="C2149" s="2" t="s">
        <v>39</v>
      </c>
      <c r="D2149" t="s">
        <v>45</v>
      </c>
      <c r="E2149">
        <v>11833</v>
      </c>
      <c r="F2149" t="s">
        <v>14</v>
      </c>
      <c r="G2149" t="s">
        <v>15</v>
      </c>
      <c r="H2149" t="s">
        <v>71</v>
      </c>
      <c r="I2149">
        <v>118.33</v>
      </c>
      <c r="J2149">
        <v>0</v>
      </c>
      <c r="K2149">
        <v>118.33</v>
      </c>
    </row>
    <row r="2150" spans="1:11" x14ac:dyDescent="0.25">
      <c r="A2150" t="s">
        <v>2190</v>
      </c>
      <c r="B2150" s="1">
        <v>46017.799444444441</v>
      </c>
      <c r="C2150" s="2" t="s">
        <v>32</v>
      </c>
      <c r="D2150" t="s">
        <v>23</v>
      </c>
      <c r="E2150">
        <v>2374</v>
      </c>
      <c r="F2150" t="s">
        <v>14</v>
      </c>
      <c r="G2150" t="s">
        <v>58</v>
      </c>
      <c r="H2150" t="s">
        <v>16</v>
      </c>
      <c r="I2150">
        <v>0</v>
      </c>
      <c r="J2150">
        <v>0</v>
      </c>
      <c r="K2150">
        <v>0</v>
      </c>
    </row>
    <row r="2151" spans="1:11" x14ac:dyDescent="0.25">
      <c r="A2151" t="s">
        <v>2191</v>
      </c>
      <c r="B2151" s="1">
        <v>45978.53429398148</v>
      </c>
      <c r="C2151" s="2" t="s">
        <v>41</v>
      </c>
      <c r="D2151" t="s">
        <v>19</v>
      </c>
      <c r="E2151">
        <v>80602</v>
      </c>
      <c r="F2151" t="s">
        <v>50</v>
      </c>
      <c r="G2151" t="s">
        <v>27</v>
      </c>
      <c r="H2151" t="s">
        <v>16</v>
      </c>
      <c r="I2151">
        <v>5</v>
      </c>
      <c r="J2151">
        <v>0</v>
      </c>
      <c r="K2151">
        <v>5</v>
      </c>
    </row>
    <row r="2152" spans="1:11" x14ac:dyDescent="0.25">
      <c r="A2152" t="s">
        <v>2192</v>
      </c>
      <c r="B2152" s="1">
        <v>45890.970671296294</v>
      </c>
      <c r="C2152" s="2" t="s">
        <v>26</v>
      </c>
      <c r="D2152" t="s">
        <v>23</v>
      </c>
      <c r="E2152">
        <v>4276</v>
      </c>
      <c r="F2152" t="s">
        <v>14</v>
      </c>
      <c r="G2152" t="s">
        <v>27</v>
      </c>
      <c r="H2152" t="s">
        <v>16</v>
      </c>
      <c r="I2152">
        <v>0</v>
      </c>
      <c r="J2152">
        <v>0</v>
      </c>
      <c r="K2152">
        <v>0</v>
      </c>
    </row>
    <row r="2153" spans="1:11" x14ac:dyDescent="0.25">
      <c r="A2153" t="s">
        <v>2193</v>
      </c>
      <c r="B2153" s="1">
        <v>45838.87871527778</v>
      </c>
      <c r="C2153" s="2" t="s">
        <v>41</v>
      </c>
      <c r="D2153" t="s">
        <v>13</v>
      </c>
      <c r="E2153">
        <v>73500</v>
      </c>
      <c r="F2153" t="s">
        <v>14</v>
      </c>
      <c r="G2153" t="s">
        <v>51</v>
      </c>
      <c r="H2153" t="s">
        <v>16</v>
      </c>
      <c r="I2153">
        <v>1359.75</v>
      </c>
      <c r="J2153">
        <v>543.9</v>
      </c>
      <c r="K2153">
        <v>815.85</v>
      </c>
    </row>
    <row r="2154" spans="1:11" x14ac:dyDescent="0.25">
      <c r="A2154" t="s">
        <v>2194</v>
      </c>
      <c r="B2154" s="1">
        <v>46014.747430555559</v>
      </c>
      <c r="C2154" s="2" t="s">
        <v>39</v>
      </c>
      <c r="D2154" t="s">
        <v>45</v>
      </c>
      <c r="E2154">
        <v>72740</v>
      </c>
      <c r="F2154" t="s">
        <v>14</v>
      </c>
      <c r="G2154" t="s">
        <v>15</v>
      </c>
      <c r="H2154" t="s">
        <v>59</v>
      </c>
      <c r="I2154">
        <v>727.4</v>
      </c>
      <c r="J2154">
        <v>0</v>
      </c>
      <c r="K2154">
        <v>727.4</v>
      </c>
    </row>
    <row r="2155" spans="1:11" x14ac:dyDescent="0.25">
      <c r="A2155" t="s">
        <v>2195</v>
      </c>
      <c r="B2155" s="1">
        <v>46042.838252314818</v>
      </c>
      <c r="C2155" s="2" t="s">
        <v>26</v>
      </c>
      <c r="D2155" t="s">
        <v>33</v>
      </c>
      <c r="E2155">
        <v>75361</v>
      </c>
      <c r="F2155" t="s">
        <v>14</v>
      </c>
      <c r="G2155" t="s">
        <v>30</v>
      </c>
      <c r="H2155" t="s">
        <v>16</v>
      </c>
      <c r="I2155">
        <v>0</v>
      </c>
      <c r="J2155">
        <v>0</v>
      </c>
      <c r="K2155">
        <v>0</v>
      </c>
    </row>
    <row r="2156" spans="1:11" x14ac:dyDescent="0.25">
      <c r="A2156" t="s">
        <v>2196</v>
      </c>
      <c r="B2156" s="1">
        <v>45964.428449074076</v>
      </c>
      <c r="C2156" s="2" t="s">
        <v>22</v>
      </c>
      <c r="D2156" t="s">
        <v>19</v>
      </c>
      <c r="E2156">
        <v>76913</v>
      </c>
      <c r="F2156" t="s">
        <v>14</v>
      </c>
      <c r="G2156" t="s">
        <v>34</v>
      </c>
      <c r="H2156" t="s">
        <v>16</v>
      </c>
      <c r="I2156">
        <v>5</v>
      </c>
      <c r="J2156">
        <v>0</v>
      </c>
      <c r="K2156">
        <v>5</v>
      </c>
    </row>
    <row r="2157" spans="1:11" x14ac:dyDescent="0.25">
      <c r="A2157" t="s">
        <v>2197</v>
      </c>
      <c r="B2157" s="1">
        <v>45834.965208333335</v>
      </c>
      <c r="C2157" s="2" t="s">
        <v>18</v>
      </c>
      <c r="D2157" t="s">
        <v>19</v>
      </c>
      <c r="E2157">
        <v>65496</v>
      </c>
      <c r="F2157" t="s">
        <v>14</v>
      </c>
      <c r="G2157" t="s">
        <v>24</v>
      </c>
      <c r="H2157" t="s">
        <v>16</v>
      </c>
      <c r="I2157">
        <v>5</v>
      </c>
      <c r="J2157">
        <v>0</v>
      </c>
      <c r="K2157">
        <v>5</v>
      </c>
    </row>
    <row r="2158" spans="1:11" x14ac:dyDescent="0.25">
      <c r="A2158" t="s">
        <v>2198</v>
      </c>
      <c r="B2158" s="1">
        <v>45962.158773148149</v>
      </c>
      <c r="C2158" s="2" t="s">
        <v>41</v>
      </c>
      <c r="D2158" t="s">
        <v>33</v>
      </c>
      <c r="E2158">
        <v>12586</v>
      </c>
      <c r="F2158" t="s">
        <v>14</v>
      </c>
      <c r="G2158" t="s">
        <v>51</v>
      </c>
      <c r="H2158" t="s">
        <v>16</v>
      </c>
      <c r="I2158">
        <v>0</v>
      </c>
      <c r="J2158">
        <v>0</v>
      </c>
      <c r="K2158">
        <v>0</v>
      </c>
    </row>
    <row r="2159" spans="1:11" x14ac:dyDescent="0.25">
      <c r="A2159" t="s">
        <v>2199</v>
      </c>
      <c r="B2159" s="1">
        <v>45977.508148148147</v>
      </c>
      <c r="C2159" s="2" t="s">
        <v>39</v>
      </c>
      <c r="D2159" t="s">
        <v>19</v>
      </c>
      <c r="E2159">
        <v>124571</v>
      </c>
      <c r="F2159" t="s">
        <v>50</v>
      </c>
      <c r="G2159" t="s">
        <v>20</v>
      </c>
      <c r="H2159" t="s">
        <v>16</v>
      </c>
      <c r="I2159">
        <v>5</v>
      </c>
      <c r="J2159">
        <v>0</v>
      </c>
      <c r="K2159">
        <v>5</v>
      </c>
    </row>
    <row r="2160" spans="1:11" x14ac:dyDescent="0.25">
      <c r="A2160" t="s">
        <v>2200</v>
      </c>
      <c r="B2160" s="1">
        <v>46103.52784722222</v>
      </c>
      <c r="C2160" s="2" t="s">
        <v>41</v>
      </c>
      <c r="D2160" t="s">
        <v>13</v>
      </c>
      <c r="E2160">
        <v>42000</v>
      </c>
      <c r="F2160" t="s">
        <v>14</v>
      </c>
      <c r="G2160" t="s">
        <v>51</v>
      </c>
      <c r="H2160" t="s">
        <v>16</v>
      </c>
      <c r="I2160">
        <v>777</v>
      </c>
      <c r="J2160">
        <v>310.8</v>
      </c>
      <c r="K2160">
        <v>466.2</v>
      </c>
    </row>
    <row r="2161" spans="1:11" x14ac:dyDescent="0.25">
      <c r="A2161" t="s">
        <v>2201</v>
      </c>
      <c r="B2161" s="1">
        <v>45801.802708333336</v>
      </c>
      <c r="C2161" s="2" t="s">
        <v>18</v>
      </c>
      <c r="D2161" t="s">
        <v>23</v>
      </c>
      <c r="E2161">
        <v>430</v>
      </c>
      <c r="F2161" t="s">
        <v>14</v>
      </c>
      <c r="G2161" t="s">
        <v>34</v>
      </c>
      <c r="H2161" t="s">
        <v>16</v>
      </c>
      <c r="I2161">
        <v>0</v>
      </c>
      <c r="J2161">
        <v>0</v>
      </c>
      <c r="K2161">
        <v>0</v>
      </c>
    </row>
    <row r="2162" spans="1:11" x14ac:dyDescent="0.25">
      <c r="A2162" t="s">
        <v>2202</v>
      </c>
      <c r="B2162" s="1">
        <v>46142.667604166665</v>
      </c>
      <c r="C2162" s="2" t="s">
        <v>41</v>
      </c>
      <c r="D2162" t="s">
        <v>23</v>
      </c>
      <c r="E2162">
        <v>2199</v>
      </c>
      <c r="F2162" t="s">
        <v>14</v>
      </c>
      <c r="G2162" t="s">
        <v>84</v>
      </c>
      <c r="H2162" t="s">
        <v>16</v>
      </c>
      <c r="I2162">
        <v>0</v>
      </c>
      <c r="J2162">
        <v>0</v>
      </c>
      <c r="K2162">
        <v>0</v>
      </c>
    </row>
    <row r="2163" spans="1:11" x14ac:dyDescent="0.25">
      <c r="A2163" t="s">
        <v>2203</v>
      </c>
      <c r="B2163" s="1">
        <v>45993.826377314814</v>
      </c>
      <c r="C2163" s="2" t="s">
        <v>41</v>
      </c>
      <c r="D2163" t="s">
        <v>13</v>
      </c>
      <c r="E2163">
        <v>137500</v>
      </c>
      <c r="F2163" t="s">
        <v>14</v>
      </c>
      <c r="G2163" t="s">
        <v>24</v>
      </c>
      <c r="H2163" t="s">
        <v>16</v>
      </c>
      <c r="I2163">
        <v>2543.75</v>
      </c>
      <c r="J2163">
        <v>1017.5</v>
      </c>
      <c r="K2163">
        <v>1526.25</v>
      </c>
    </row>
    <row r="2164" spans="1:11" x14ac:dyDescent="0.25">
      <c r="A2164" t="s">
        <v>2204</v>
      </c>
      <c r="B2164" s="1">
        <v>45790.205127314817</v>
      </c>
      <c r="C2164" s="2" t="s">
        <v>29</v>
      </c>
      <c r="D2164" t="s">
        <v>19</v>
      </c>
      <c r="E2164">
        <v>68387</v>
      </c>
      <c r="F2164" t="s">
        <v>14</v>
      </c>
      <c r="G2164" t="s">
        <v>51</v>
      </c>
      <c r="H2164" t="s">
        <v>16</v>
      </c>
      <c r="I2164">
        <v>5</v>
      </c>
      <c r="J2164">
        <v>0</v>
      </c>
      <c r="K2164">
        <v>5</v>
      </c>
    </row>
    <row r="2165" spans="1:11" x14ac:dyDescent="0.25">
      <c r="A2165" t="s">
        <v>2205</v>
      </c>
      <c r="B2165" s="1">
        <v>46115.216585648152</v>
      </c>
      <c r="C2165" s="2" t="s">
        <v>26</v>
      </c>
      <c r="D2165" t="s">
        <v>13</v>
      </c>
      <c r="E2165">
        <v>187000</v>
      </c>
      <c r="F2165" t="s">
        <v>14</v>
      </c>
      <c r="G2165" t="s">
        <v>30</v>
      </c>
      <c r="H2165" t="s">
        <v>16</v>
      </c>
      <c r="I2165">
        <v>3459.5</v>
      </c>
      <c r="J2165">
        <v>1383.8</v>
      </c>
      <c r="K2165">
        <v>2075.6999999999998</v>
      </c>
    </row>
    <row r="2166" spans="1:11" x14ac:dyDescent="0.25">
      <c r="A2166" t="s">
        <v>2206</v>
      </c>
      <c r="B2166" s="1">
        <v>45852.963796296295</v>
      </c>
      <c r="C2166" s="2" t="s">
        <v>18</v>
      </c>
      <c r="D2166" t="s">
        <v>45</v>
      </c>
      <c r="E2166">
        <v>90546</v>
      </c>
      <c r="F2166" t="s">
        <v>14</v>
      </c>
      <c r="G2166" t="s">
        <v>30</v>
      </c>
      <c r="H2166" t="s">
        <v>178</v>
      </c>
      <c r="I2166">
        <v>905.46</v>
      </c>
      <c r="J2166">
        <v>0</v>
      </c>
      <c r="K2166">
        <v>905.46</v>
      </c>
    </row>
    <row r="2167" spans="1:11" x14ac:dyDescent="0.25">
      <c r="A2167" t="s">
        <v>2207</v>
      </c>
      <c r="B2167" s="1">
        <v>45981.624861111108</v>
      </c>
      <c r="C2167" s="2" t="s">
        <v>41</v>
      </c>
      <c r="D2167" t="s">
        <v>45</v>
      </c>
      <c r="E2167">
        <v>103887</v>
      </c>
      <c r="F2167" t="s">
        <v>14</v>
      </c>
      <c r="G2167" t="s">
        <v>58</v>
      </c>
      <c r="H2167" t="s">
        <v>46</v>
      </c>
      <c r="I2167">
        <v>1038.8699999999999</v>
      </c>
      <c r="J2167">
        <v>0</v>
      </c>
      <c r="K2167">
        <v>1038.8699999999999</v>
      </c>
    </row>
    <row r="2168" spans="1:11" x14ac:dyDescent="0.25">
      <c r="A2168" t="s">
        <v>2208</v>
      </c>
      <c r="B2168" s="1">
        <v>45933.076469907406</v>
      </c>
      <c r="C2168" s="2" t="s">
        <v>41</v>
      </c>
      <c r="D2168" t="s">
        <v>19</v>
      </c>
      <c r="E2168">
        <v>110441</v>
      </c>
      <c r="F2168" t="s">
        <v>14</v>
      </c>
      <c r="G2168" t="s">
        <v>51</v>
      </c>
      <c r="H2168" t="s">
        <v>16</v>
      </c>
      <c r="I2168">
        <v>5</v>
      </c>
      <c r="J2168">
        <v>0</v>
      </c>
      <c r="K2168">
        <v>5</v>
      </c>
    </row>
    <row r="2169" spans="1:11" x14ac:dyDescent="0.25">
      <c r="A2169" t="s">
        <v>2209</v>
      </c>
      <c r="B2169" s="1">
        <v>45839.390960648147</v>
      </c>
      <c r="C2169" s="2" t="s">
        <v>12</v>
      </c>
      <c r="D2169" t="s">
        <v>23</v>
      </c>
      <c r="E2169">
        <v>430</v>
      </c>
      <c r="F2169" t="s">
        <v>14</v>
      </c>
      <c r="G2169" t="s">
        <v>30</v>
      </c>
      <c r="H2169" t="s">
        <v>16</v>
      </c>
      <c r="I2169">
        <v>0</v>
      </c>
      <c r="J2169">
        <v>0</v>
      </c>
      <c r="K2169">
        <v>0</v>
      </c>
    </row>
    <row r="2170" spans="1:11" x14ac:dyDescent="0.25">
      <c r="A2170" t="s">
        <v>2210</v>
      </c>
      <c r="B2170" s="1">
        <v>45975.412615740737</v>
      </c>
      <c r="C2170" s="2" t="s">
        <v>18</v>
      </c>
      <c r="D2170" t="s">
        <v>33</v>
      </c>
      <c r="E2170">
        <v>96291</v>
      </c>
      <c r="F2170" t="s">
        <v>14</v>
      </c>
      <c r="G2170" t="s">
        <v>84</v>
      </c>
      <c r="H2170" t="s">
        <v>16</v>
      </c>
      <c r="I2170">
        <v>0</v>
      </c>
      <c r="J2170">
        <v>0</v>
      </c>
      <c r="K2170">
        <v>0</v>
      </c>
    </row>
    <row r="2171" spans="1:11" x14ac:dyDescent="0.25">
      <c r="A2171" t="s">
        <v>2211</v>
      </c>
      <c r="B2171" s="1">
        <v>45916.861828703702</v>
      </c>
      <c r="C2171" s="2" t="s">
        <v>18</v>
      </c>
      <c r="D2171" t="s">
        <v>13</v>
      </c>
      <c r="E2171">
        <v>26500</v>
      </c>
      <c r="F2171" t="s">
        <v>14</v>
      </c>
      <c r="G2171" t="s">
        <v>34</v>
      </c>
      <c r="H2171" t="s">
        <v>16</v>
      </c>
      <c r="I2171">
        <v>490.25</v>
      </c>
      <c r="J2171">
        <v>196.1</v>
      </c>
      <c r="K2171">
        <v>294.14999999999998</v>
      </c>
    </row>
    <row r="2172" spans="1:11" x14ac:dyDescent="0.25">
      <c r="A2172" t="s">
        <v>2212</v>
      </c>
      <c r="B2172" s="1">
        <v>45986.103622685187</v>
      </c>
      <c r="C2172" s="2" t="s">
        <v>29</v>
      </c>
      <c r="D2172" t="s">
        <v>13</v>
      </c>
      <c r="E2172">
        <v>102000</v>
      </c>
      <c r="F2172" t="s">
        <v>14</v>
      </c>
      <c r="G2172" t="s">
        <v>27</v>
      </c>
      <c r="H2172" t="s">
        <v>16</v>
      </c>
      <c r="I2172">
        <v>1887</v>
      </c>
      <c r="J2172">
        <v>754.8</v>
      </c>
      <c r="K2172">
        <v>1132.2</v>
      </c>
    </row>
    <row r="2173" spans="1:11" x14ac:dyDescent="0.25">
      <c r="A2173" t="s">
        <v>2213</v>
      </c>
      <c r="B2173" s="1">
        <v>45830.728576388887</v>
      </c>
      <c r="C2173" s="2" t="s">
        <v>32</v>
      </c>
      <c r="D2173" t="s">
        <v>13</v>
      </c>
      <c r="E2173">
        <v>87000</v>
      </c>
      <c r="F2173" t="s">
        <v>14</v>
      </c>
      <c r="G2173" t="s">
        <v>15</v>
      </c>
      <c r="H2173" t="s">
        <v>16</v>
      </c>
      <c r="I2173">
        <v>1609.5</v>
      </c>
      <c r="J2173">
        <v>643.79999999999995</v>
      </c>
      <c r="K2173">
        <v>965.7</v>
      </c>
    </row>
    <row r="2174" spans="1:11" x14ac:dyDescent="0.25">
      <c r="A2174" t="s">
        <v>2214</v>
      </c>
      <c r="B2174" s="1">
        <v>45786.586817129632</v>
      </c>
      <c r="C2174" s="2" t="s">
        <v>26</v>
      </c>
      <c r="D2174" t="s">
        <v>23</v>
      </c>
      <c r="E2174">
        <v>1434</v>
      </c>
      <c r="F2174" t="s">
        <v>14</v>
      </c>
      <c r="G2174" t="s">
        <v>30</v>
      </c>
      <c r="H2174" t="s">
        <v>16</v>
      </c>
      <c r="I2174">
        <v>0</v>
      </c>
      <c r="J2174">
        <v>0</v>
      </c>
      <c r="K2174">
        <v>0</v>
      </c>
    </row>
    <row r="2175" spans="1:11" x14ac:dyDescent="0.25">
      <c r="A2175" t="s">
        <v>2215</v>
      </c>
      <c r="B2175" s="1">
        <v>46084.862222222226</v>
      </c>
      <c r="C2175" s="2" t="s">
        <v>29</v>
      </c>
      <c r="D2175" t="s">
        <v>45</v>
      </c>
      <c r="E2175">
        <v>113792</v>
      </c>
      <c r="F2175" t="s">
        <v>14</v>
      </c>
      <c r="G2175" t="s">
        <v>34</v>
      </c>
      <c r="H2175" t="s">
        <v>71</v>
      </c>
      <c r="I2175">
        <v>1137.92</v>
      </c>
      <c r="J2175">
        <v>0</v>
      </c>
      <c r="K2175">
        <v>1137.92</v>
      </c>
    </row>
    <row r="2176" spans="1:11" x14ac:dyDescent="0.25">
      <c r="A2176" t="s">
        <v>2216</v>
      </c>
      <c r="B2176" s="1">
        <v>46068.833518518521</v>
      </c>
      <c r="C2176" s="2" t="s">
        <v>39</v>
      </c>
      <c r="D2176" t="s">
        <v>45</v>
      </c>
      <c r="E2176">
        <v>73142</v>
      </c>
      <c r="F2176" t="s">
        <v>14</v>
      </c>
      <c r="G2176" t="s">
        <v>15</v>
      </c>
      <c r="H2176" t="s">
        <v>71</v>
      </c>
      <c r="I2176">
        <v>731.42</v>
      </c>
      <c r="J2176">
        <v>0</v>
      </c>
      <c r="K2176">
        <v>731.42</v>
      </c>
    </row>
    <row r="2177" spans="1:11" x14ac:dyDescent="0.25">
      <c r="A2177" t="s">
        <v>2217</v>
      </c>
      <c r="B2177" s="1">
        <v>45824.355902777781</v>
      </c>
      <c r="C2177" s="2" t="s">
        <v>18</v>
      </c>
      <c r="D2177" t="s">
        <v>19</v>
      </c>
      <c r="E2177">
        <v>79889</v>
      </c>
      <c r="F2177" t="s">
        <v>14</v>
      </c>
      <c r="G2177" t="s">
        <v>84</v>
      </c>
      <c r="H2177" t="s">
        <v>16</v>
      </c>
      <c r="I2177">
        <v>5</v>
      </c>
      <c r="J2177">
        <v>0</v>
      </c>
      <c r="K2177">
        <v>5</v>
      </c>
    </row>
    <row r="2178" spans="1:11" x14ac:dyDescent="0.25">
      <c r="A2178" t="s">
        <v>2218</v>
      </c>
      <c r="B2178" s="1">
        <v>46001.083171296297</v>
      </c>
      <c r="C2178" s="2" t="s">
        <v>41</v>
      </c>
      <c r="D2178" t="s">
        <v>19</v>
      </c>
      <c r="E2178">
        <v>148800</v>
      </c>
      <c r="F2178" t="s">
        <v>14</v>
      </c>
      <c r="G2178" t="s">
        <v>34</v>
      </c>
      <c r="H2178" t="s">
        <v>16</v>
      </c>
      <c r="I2178">
        <v>5</v>
      </c>
      <c r="J2178">
        <v>0</v>
      </c>
      <c r="K2178">
        <v>5</v>
      </c>
    </row>
    <row r="2179" spans="1:11" x14ac:dyDescent="0.25">
      <c r="A2179" t="s">
        <v>2219</v>
      </c>
      <c r="B2179" s="1">
        <v>45969.640717592592</v>
      </c>
      <c r="C2179" s="2" t="s">
        <v>39</v>
      </c>
      <c r="D2179" t="s">
        <v>19</v>
      </c>
      <c r="E2179">
        <v>53097</v>
      </c>
      <c r="F2179" t="s">
        <v>14</v>
      </c>
      <c r="G2179" t="s">
        <v>24</v>
      </c>
      <c r="H2179" t="s">
        <v>16</v>
      </c>
      <c r="I2179">
        <v>5</v>
      </c>
      <c r="J2179">
        <v>0</v>
      </c>
      <c r="K2179">
        <v>5</v>
      </c>
    </row>
    <row r="2180" spans="1:11" x14ac:dyDescent="0.25">
      <c r="A2180" t="s">
        <v>2220</v>
      </c>
      <c r="B2180" s="1">
        <v>45845.460370370369</v>
      </c>
      <c r="C2180" s="2" t="s">
        <v>39</v>
      </c>
      <c r="D2180" t="s">
        <v>13</v>
      </c>
      <c r="E2180">
        <v>137500</v>
      </c>
      <c r="F2180" t="s">
        <v>50</v>
      </c>
      <c r="G2180" t="s">
        <v>30</v>
      </c>
      <c r="H2180" t="s">
        <v>16</v>
      </c>
      <c r="I2180">
        <v>2543.75</v>
      </c>
      <c r="J2180">
        <v>1017.5</v>
      </c>
      <c r="K2180">
        <v>1526.25</v>
      </c>
    </row>
    <row r="2181" spans="1:11" x14ac:dyDescent="0.25">
      <c r="A2181" t="s">
        <v>2221</v>
      </c>
      <c r="B2181" s="1">
        <v>45960.489988425928</v>
      </c>
      <c r="C2181" s="2" t="s">
        <v>32</v>
      </c>
      <c r="D2181" t="s">
        <v>13</v>
      </c>
      <c r="E2181">
        <v>215000</v>
      </c>
      <c r="F2181" t="s">
        <v>14</v>
      </c>
      <c r="G2181" t="s">
        <v>27</v>
      </c>
      <c r="H2181" t="s">
        <v>16</v>
      </c>
      <c r="I2181">
        <v>3977.5</v>
      </c>
      <c r="J2181">
        <v>1591</v>
      </c>
      <c r="K2181">
        <v>2386.5</v>
      </c>
    </row>
    <row r="2182" spans="1:11" x14ac:dyDescent="0.25">
      <c r="A2182" t="s">
        <v>2222</v>
      </c>
      <c r="B2182" s="1">
        <v>46008.810300925928</v>
      </c>
      <c r="C2182" s="2" t="s">
        <v>18</v>
      </c>
      <c r="D2182" t="s">
        <v>33</v>
      </c>
      <c r="E2182">
        <v>27191</v>
      </c>
      <c r="F2182" t="s">
        <v>14</v>
      </c>
      <c r="G2182" t="s">
        <v>20</v>
      </c>
      <c r="H2182" t="s">
        <v>16</v>
      </c>
      <c r="I2182">
        <v>0</v>
      </c>
      <c r="J2182">
        <v>0</v>
      </c>
      <c r="K2182">
        <v>0</v>
      </c>
    </row>
    <row r="2183" spans="1:11" x14ac:dyDescent="0.25">
      <c r="A2183" t="s">
        <v>2223</v>
      </c>
      <c r="B2183" s="1">
        <v>45960.831145833334</v>
      </c>
      <c r="C2183" s="2" t="s">
        <v>22</v>
      </c>
      <c r="D2183" t="s">
        <v>33</v>
      </c>
      <c r="E2183">
        <v>59674</v>
      </c>
      <c r="F2183" t="s">
        <v>14</v>
      </c>
      <c r="G2183" t="s">
        <v>20</v>
      </c>
      <c r="H2183" t="s">
        <v>16</v>
      </c>
      <c r="I2183">
        <v>0</v>
      </c>
      <c r="J2183">
        <v>0</v>
      </c>
      <c r="K2183">
        <v>0</v>
      </c>
    </row>
    <row r="2184" spans="1:11" x14ac:dyDescent="0.25">
      <c r="A2184" t="s">
        <v>2224</v>
      </c>
      <c r="B2184" s="1">
        <v>45791.895162037035</v>
      </c>
      <c r="C2184" s="2" t="s">
        <v>26</v>
      </c>
      <c r="D2184" t="s">
        <v>45</v>
      </c>
      <c r="E2184">
        <v>7951</v>
      </c>
      <c r="F2184" t="s">
        <v>14</v>
      </c>
      <c r="G2184" t="s">
        <v>20</v>
      </c>
      <c r="H2184" t="s">
        <v>178</v>
      </c>
      <c r="I2184">
        <v>79.510000000000005</v>
      </c>
      <c r="J2184">
        <v>0</v>
      </c>
      <c r="K2184">
        <v>79.510000000000005</v>
      </c>
    </row>
    <row r="2185" spans="1:11" x14ac:dyDescent="0.25">
      <c r="A2185" t="s">
        <v>2225</v>
      </c>
      <c r="B2185" s="1">
        <v>46003.380567129629</v>
      </c>
      <c r="C2185" s="2" t="s">
        <v>12</v>
      </c>
      <c r="D2185" t="s">
        <v>13</v>
      </c>
      <c r="E2185">
        <v>55500</v>
      </c>
      <c r="F2185" t="s">
        <v>14</v>
      </c>
      <c r="G2185" t="s">
        <v>24</v>
      </c>
      <c r="H2185" t="s">
        <v>16</v>
      </c>
      <c r="I2185">
        <v>1026.75</v>
      </c>
      <c r="J2185">
        <v>410.7</v>
      </c>
      <c r="K2185">
        <v>616.04999999999995</v>
      </c>
    </row>
    <row r="2186" spans="1:11" x14ac:dyDescent="0.25">
      <c r="A2186" t="s">
        <v>2226</v>
      </c>
      <c r="B2186" s="1">
        <v>46026.67428240741</v>
      </c>
      <c r="C2186" s="2" t="s">
        <v>12</v>
      </c>
      <c r="D2186" t="s">
        <v>19</v>
      </c>
      <c r="E2186">
        <v>68895</v>
      </c>
      <c r="F2186" t="s">
        <v>14</v>
      </c>
      <c r="G2186" t="s">
        <v>30</v>
      </c>
      <c r="H2186" t="s">
        <v>16</v>
      </c>
      <c r="I2186">
        <v>5</v>
      </c>
      <c r="J2186">
        <v>0</v>
      </c>
      <c r="K2186">
        <v>5</v>
      </c>
    </row>
    <row r="2187" spans="1:11" x14ac:dyDescent="0.25">
      <c r="A2187" t="s">
        <v>2227</v>
      </c>
      <c r="B2187" s="1">
        <v>45970.825590277775</v>
      </c>
      <c r="C2187" s="2" t="s">
        <v>41</v>
      </c>
      <c r="D2187" t="s">
        <v>45</v>
      </c>
      <c r="E2187">
        <v>137995</v>
      </c>
      <c r="F2187" t="s">
        <v>14</v>
      </c>
      <c r="G2187" t="s">
        <v>51</v>
      </c>
      <c r="H2187" t="s">
        <v>71</v>
      </c>
      <c r="I2187">
        <v>1379.95</v>
      </c>
      <c r="J2187">
        <v>0</v>
      </c>
      <c r="K2187">
        <v>1379.95</v>
      </c>
    </row>
    <row r="2188" spans="1:11" x14ac:dyDescent="0.25">
      <c r="A2188" t="s">
        <v>2228</v>
      </c>
      <c r="B2188" s="1">
        <v>45955.686759259261</v>
      </c>
      <c r="C2188" s="2" t="s">
        <v>18</v>
      </c>
      <c r="D2188" t="s">
        <v>45</v>
      </c>
      <c r="E2188">
        <v>133386</v>
      </c>
      <c r="F2188" t="s">
        <v>14</v>
      </c>
      <c r="G2188" t="s">
        <v>24</v>
      </c>
      <c r="H2188" t="s">
        <v>71</v>
      </c>
      <c r="I2188">
        <v>1333.86</v>
      </c>
      <c r="J2188">
        <v>0</v>
      </c>
      <c r="K2188">
        <v>1333.86</v>
      </c>
    </row>
    <row r="2189" spans="1:11" x14ac:dyDescent="0.25">
      <c r="A2189" t="s">
        <v>2229</v>
      </c>
      <c r="B2189" s="1">
        <v>45974.06422453704</v>
      </c>
      <c r="C2189" s="2" t="s">
        <v>39</v>
      </c>
      <c r="D2189" t="s">
        <v>33</v>
      </c>
      <c r="E2189">
        <v>108283</v>
      </c>
      <c r="F2189" t="s">
        <v>50</v>
      </c>
      <c r="G2189" t="s">
        <v>20</v>
      </c>
      <c r="H2189" t="s">
        <v>16</v>
      </c>
      <c r="I2189">
        <v>0</v>
      </c>
      <c r="J2189">
        <v>0</v>
      </c>
      <c r="K2189">
        <v>0</v>
      </c>
    </row>
    <row r="2190" spans="1:11" x14ac:dyDescent="0.25">
      <c r="A2190" t="s">
        <v>2230</v>
      </c>
      <c r="B2190" s="1">
        <v>45850.868726851855</v>
      </c>
      <c r="C2190" s="2" t="s">
        <v>18</v>
      </c>
      <c r="D2190" t="s">
        <v>13</v>
      </c>
      <c r="E2190">
        <v>27500</v>
      </c>
      <c r="F2190" t="s">
        <v>14</v>
      </c>
      <c r="G2190" t="s">
        <v>34</v>
      </c>
      <c r="H2190" t="s">
        <v>16</v>
      </c>
      <c r="I2190">
        <v>508.75</v>
      </c>
      <c r="J2190">
        <v>203.5</v>
      </c>
      <c r="K2190">
        <v>305.25</v>
      </c>
    </row>
    <row r="2191" spans="1:11" x14ac:dyDescent="0.25">
      <c r="A2191" t="s">
        <v>2231</v>
      </c>
      <c r="B2191" s="1">
        <v>46062.988576388889</v>
      </c>
      <c r="C2191" s="2" t="s">
        <v>29</v>
      </c>
      <c r="D2191" t="s">
        <v>33</v>
      </c>
      <c r="E2191">
        <v>88336</v>
      </c>
      <c r="F2191" t="s">
        <v>14</v>
      </c>
      <c r="G2191" t="s">
        <v>15</v>
      </c>
      <c r="H2191" t="s">
        <v>16</v>
      </c>
      <c r="I2191">
        <v>0</v>
      </c>
      <c r="J2191">
        <v>0</v>
      </c>
      <c r="K2191">
        <v>0</v>
      </c>
    </row>
    <row r="2192" spans="1:11" x14ac:dyDescent="0.25">
      <c r="A2192" t="s">
        <v>2232</v>
      </c>
      <c r="B2192" s="1">
        <v>45911.716597222221</v>
      </c>
      <c r="C2192" s="2" t="s">
        <v>22</v>
      </c>
      <c r="D2192" t="s">
        <v>45</v>
      </c>
      <c r="E2192">
        <v>139939</v>
      </c>
      <c r="F2192" t="s">
        <v>50</v>
      </c>
      <c r="G2192" t="s">
        <v>51</v>
      </c>
      <c r="H2192" t="s">
        <v>71</v>
      </c>
      <c r="I2192">
        <v>1399.39</v>
      </c>
      <c r="J2192">
        <v>0</v>
      </c>
      <c r="K2192">
        <v>1399.39</v>
      </c>
    </row>
    <row r="2193" spans="1:11" x14ac:dyDescent="0.25">
      <c r="A2193" t="s">
        <v>2233</v>
      </c>
      <c r="B2193" s="1">
        <v>45975.101307870369</v>
      </c>
      <c r="C2193" s="2" t="s">
        <v>18</v>
      </c>
      <c r="D2193" t="s">
        <v>45</v>
      </c>
      <c r="E2193">
        <v>20270</v>
      </c>
      <c r="F2193" t="s">
        <v>14</v>
      </c>
      <c r="G2193" t="s">
        <v>27</v>
      </c>
      <c r="H2193" t="s">
        <v>46</v>
      </c>
      <c r="I2193">
        <v>202.7</v>
      </c>
      <c r="J2193">
        <v>0</v>
      </c>
      <c r="K2193">
        <v>202.7</v>
      </c>
    </row>
    <row r="2194" spans="1:11" x14ac:dyDescent="0.25">
      <c r="A2194" t="s">
        <v>2234</v>
      </c>
      <c r="B2194" s="1">
        <v>45988.860636574071</v>
      </c>
      <c r="C2194" s="2" t="s">
        <v>41</v>
      </c>
      <c r="D2194" t="s">
        <v>23</v>
      </c>
      <c r="E2194">
        <v>2925</v>
      </c>
      <c r="F2194" t="s">
        <v>14</v>
      </c>
      <c r="G2194" t="s">
        <v>34</v>
      </c>
      <c r="H2194" t="s">
        <v>16</v>
      </c>
      <c r="I2194">
        <v>0</v>
      </c>
      <c r="J2194">
        <v>0</v>
      </c>
      <c r="K2194">
        <v>0</v>
      </c>
    </row>
    <row r="2195" spans="1:11" x14ac:dyDescent="0.25">
      <c r="A2195" t="s">
        <v>2235</v>
      </c>
      <c r="B2195" s="1">
        <v>45847.547974537039</v>
      </c>
      <c r="C2195" s="2" t="s">
        <v>22</v>
      </c>
      <c r="D2195" t="s">
        <v>13</v>
      </c>
      <c r="E2195">
        <v>12000</v>
      </c>
      <c r="F2195" t="s">
        <v>14</v>
      </c>
      <c r="G2195" t="s">
        <v>20</v>
      </c>
      <c r="H2195" t="s">
        <v>16</v>
      </c>
      <c r="I2195">
        <v>222</v>
      </c>
      <c r="J2195">
        <v>88.8</v>
      </c>
      <c r="K2195">
        <v>133.19999999999999</v>
      </c>
    </row>
    <row r="2196" spans="1:11" x14ac:dyDescent="0.25">
      <c r="A2196" t="s">
        <v>2236</v>
      </c>
      <c r="B2196" s="1">
        <v>46137.26189814815</v>
      </c>
      <c r="C2196" s="2" t="s">
        <v>32</v>
      </c>
      <c r="D2196" t="s">
        <v>19</v>
      </c>
      <c r="E2196">
        <v>142422</v>
      </c>
      <c r="F2196" t="s">
        <v>14</v>
      </c>
      <c r="G2196" t="s">
        <v>30</v>
      </c>
      <c r="H2196" t="s">
        <v>16</v>
      </c>
      <c r="I2196">
        <v>5</v>
      </c>
      <c r="J2196">
        <v>0</v>
      </c>
      <c r="K2196">
        <v>5</v>
      </c>
    </row>
    <row r="2197" spans="1:11" x14ac:dyDescent="0.25">
      <c r="A2197" t="s">
        <v>2237</v>
      </c>
      <c r="B2197" s="1">
        <v>46100.211458333331</v>
      </c>
      <c r="C2197" s="2" t="s">
        <v>41</v>
      </c>
      <c r="D2197" t="s">
        <v>45</v>
      </c>
      <c r="E2197">
        <v>81245</v>
      </c>
      <c r="F2197" t="s">
        <v>14</v>
      </c>
      <c r="G2197" t="s">
        <v>27</v>
      </c>
      <c r="H2197" t="s">
        <v>178</v>
      </c>
      <c r="I2197">
        <v>812.45</v>
      </c>
      <c r="J2197">
        <v>0</v>
      </c>
      <c r="K2197">
        <v>812.45</v>
      </c>
    </row>
    <row r="2198" spans="1:11" x14ac:dyDescent="0.25">
      <c r="A2198" t="s">
        <v>2238</v>
      </c>
      <c r="B2198" s="1">
        <v>45933.58425925926</v>
      </c>
      <c r="C2198" s="2" t="s">
        <v>41</v>
      </c>
      <c r="D2198" t="s">
        <v>19</v>
      </c>
      <c r="E2198">
        <v>125943</v>
      </c>
      <c r="F2198" t="s">
        <v>50</v>
      </c>
      <c r="G2198" t="s">
        <v>30</v>
      </c>
      <c r="H2198" t="s">
        <v>16</v>
      </c>
      <c r="I2198">
        <v>5</v>
      </c>
      <c r="J2198">
        <v>0</v>
      </c>
      <c r="K2198">
        <v>5</v>
      </c>
    </row>
    <row r="2199" spans="1:11" x14ac:dyDescent="0.25">
      <c r="A2199" t="s">
        <v>2239</v>
      </c>
      <c r="B2199" s="1">
        <v>45818.937557870369</v>
      </c>
      <c r="C2199" s="2" t="s">
        <v>32</v>
      </c>
      <c r="D2199" t="s">
        <v>33</v>
      </c>
      <c r="E2199">
        <v>1400</v>
      </c>
      <c r="F2199" t="s">
        <v>14</v>
      </c>
      <c r="G2199" t="s">
        <v>24</v>
      </c>
      <c r="H2199" t="s">
        <v>16</v>
      </c>
      <c r="I2199">
        <v>0</v>
      </c>
      <c r="J2199">
        <v>0</v>
      </c>
      <c r="K2199">
        <v>0</v>
      </c>
    </row>
    <row r="2200" spans="1:11" x14ac:dyDescent="0.25">
      <c r="A2200" t="s">
        <v>2240</v>
      </c>
      <c r="B2200" s="1">
        <v>45787.000879629632</v>
      </c>
      <c r="C2200" s="2" t="s">
        <v>39</v>
      </c>
      <c r="D2200" t="s">
        <v>33</v>
      </c>
      <c r="E2200">
        <v>123414</v>
      </c>
      <c r="F2200" t="s">
        <v>14</v>
      </c>
      <c r="G2200" t="s">
        <v>58</v>
      </c>
      <c r="H2200" t="s">
        <v>16</v>
      </c>
      <c r="I2200">
        <v>0</v>
      </c>
      <c r="J2200">
        <v>0</v>
      </c>
      <c r="K2200">
        <v>0</v>
      </c>
    </row>
    <row r="2201" spans="1:11" x14ac:dyDescent="0.25">
      <c r="A2201" t="s">
        <v>2241</v>
      </c>
      <c r="B2201" s="1">
        <v>46083.364733796298</v>
      </c>
      <c r="C2201" s="2" t="s">
        <v>18</v>
      </c>
      <c r="D2201" t="s">
        <v>33</v>
      </c>
      <c r="E2201">
        <v>149084</v>
      </c>
      <c r="F2201" t="s">
        <v>50</v>
      </c>
      <c r="G2201" t="s">
        <v>15</v>
      </c>
      <c r="H2201" t="s">
        <v>16</v>
      </c>
      <c r="I2201">
        <v>0</v>
      </c>
      <c r="J2201">
        <v>0</v>
      </c>
      <c r="K2201">
        <v>0</v>
      </c>
    </row>
    <row r="2202" spans="1:11" x14ac:dyDescent="0.25">
      <c r="A2202" t="s">
        <v>2242</v>
      </c>
      <c r="B2202" s="1">
        <v>45867.535358796296</v>
      </c>
      <c r="C2202" s="2" t="s">
        <v>18</v>
      </c>
      <c r="D2202" t="s">
        <v>23</v>
      </c>
      <c r="E2202">
        <v>1904</v>
      </c>
      <c r="F2202" t="s">
        <v>14</v>
      </c>
      <c r="G2202" t="s">
        <v>27</v>
      </c>
      <c r="H2202" t="s">
        <v>16</v>
      </c>
      <c r="I2202">
        <v>0</v>
      </c>
      <c r="J2202">
        <v>0</v>
      </c>
      <c r="K2202">
        <v>0</v>
      </c>
    </row>
    <row r="2203" spans="1:11" x14ac:dyDescent="0.25">
      <c r="A2203" t="s">
        <v>2243</v>
      </c>
      <c r="B2203" s="1">
        <v>45911.25577546296</v>
      </c>
      <c r="C2203" s="2" t="s">
        <v>32</v>
      </c>
      <c r="D2203" t="s">
        <v>13</v>
      </c>
      <c r="E2203">
        <v>225000</v>
      </c>
      <c r="F2203" t="s">
        <v>50</v>
      </c>
      <c r="G2203" t="s">
        <v>15</v>
      </c>
      <c r="H2203" t="s">
        <v>16</v>
      </c>
      <c r="I2203">
        <v>4162.5</v>
      </c>
      <c r="J2203">
        <v>1665</v>
      </c>
      <c r="K2203">
        <v>2497.5</v>
      </c>
    </row>
    <row r="2204" spans="1:11" x14ac:dyDescent="0.25">
      <c r="A2204" t="s">
        <v>2244</v>
      </c>
      <c r="B2204" s="1">
        <v>46010.888171296298</v>
      </c>
      <c r="C2204" s="2" t="s">
        <v>18</v>
      </c>
      <c r="D2204" t="s">
        <v>33</v>
      </c>
      <c r="E2204">
        <v>36863</v>
      </c>
      <c r="F2204" t="s">
        <v>14</v>
      </c>
      <c r="G2204" t="s">
        <v>27</v>
      </c>
      <c r="H2204" t="s">
        <v>16</v>
      </c>
      <c r="I2204">
        <v>0</v>
      </c>
      <c r="J2204">
        <v>0</v>
      </c>
      <c r="K2204">
        <v>0</v>
      </c>
    </row>
    <row r="2205" spans="1:11" x14ac:dyDescent="0.25">
      <c r="A2205" t="s">
        <v>2245</v>
      </c>
      <c r="B2205" s="1">
        <v>45809.934027777781</v>
      </c>
      <c r="C2205" s="2" t="s">
        <v>41</v>
      </c>
      <c r="D2205" t="s">
        <v>13</v>
      </c>
      <c r="E2205">
        <v>203000</v>
      </c>
      <c r="F2205" t="s">
        <v>14</v>
      </c>
      <c r="G2205" t="s">
        <v>27</v>
      </c>
      <c r="H2205" t="s">
        <v>16</v>
      </c>
      <c r="I2205">
        <v>3755.5</v>
      </c>
      <c r="J2205">
        <v>1502.2</v>
      </c>
      <c r="K2205">
        <v>2253.3000000000002</v>
      </c>
    </row>
    <row r="2206" spans="1:11" x14ac:dyDescent="0.25">
      <c r="A2206" t="s">
        <v>2246</v>
      </c>
      <c r="B2206" s="1">
        <v>46067.501585648148</v>
      </c>
      <c r="C2206" s="2" t="s">
        <v>41</v>
      </c>
      <c r="D2206" t="s">
        <v>23</v>
      </c>
      <c r="E2206">
        <v>3999</v>
      </c>
      <c r="F2206" t="s">
        <v>14</v>
      </c>
      <c r="G2206" t="s">
        <v>30</v>
      </c>
      <c r="H2206" t="s">
        <v>16</v>
      </c>
      <c r="I2206">
        <v>0</v>
      </c>
      <c r="J2206">
        <v>0</v>
      </c>
      <c r="K2206">
        <v>0</v>
      </c>
    </row>
    <row r="2207" spans="1:11" x14ac:dyDescent="0.25">
      <c r="A2207" t="s">
        <v>2247</v>
      </c>
      <c r="B2207" s="1">
        <v>46009.939097222225</v>
      </c>
      <c r="C2207" s="2" t="s">
        <v>29</v>
      </c>
      <c r="D2207" t="s">
        <v>23</v>
      </c>
      <c r="E2207">
        <v>2893</v>
      </c>
      <c r="F2207" t="s">
        <v>14</v>
      </c>
      <c r="G2207" t="s">
        <v>58</v>
      </c>
      <c r="H2207" t="s">
        <v>16</v>
      </c>
      <c r="I2207">
        <v>0</v>
      </c>
      <c r="J2207">
        <v>0</v>
      </c>
      <c r="K2207">
        <v>0</v>
      </c>
    </row>
    <row r="2208" spans="1:11" x14ac:dyDescent="0.25">
      <c r="A2208" t="s">
        <v>2248</v>
      </c>
      <c r="B2208" s="1">
        <v>45825.361458333333</v>
      </c>
      <c r="C2208" s="2" t="s">
        <v>29</v>
      </c>
      <c r="D2208" t="s">
        <v>33</v>
      </c>
      <c r="E2208">
        <v>24215</v>
      </c>
      <c r="F2208" t="s">
        <v>14</v>
      </c>
      <c r="G2208" t="s">
        <v>84</v>
      </c>
      <c r="H2208" t="s">
        <v>16</v>
      </c>
      <c r="I2208">
        <v>0</v>
      </c>
      <c r="J2208">
        <v>0</v>
      </c>
      <c r="K2208">
        <v>0</v>
      </c>
    </row>
    <row r="2209" spans="1:11" x14ac:dyDescent="0.25">
      <c r="A2209" t="s">
        <v>2249</v>
      </c>
      <c r="B2209" s="1">
        <v>45998.35533564815</v>
      </c>
      <c r="C2209" s="2" t="s">
        <v>22</v>
      </c>
      <c r="D2209" t="s">
        <v>45</v>
      </c>
      <c r="E2209">
        <v>68442</v>
      </c>
      <c r="F2209" t="s">
        <v>14</v>
      </c>
      <c r="G2209" t="s">
        <v>27</v>
      </c>
      <c r="H2209" t="s">
        <v>56</v>
      </c>
      <c r="I2209">
        <v>684.42</v>
      </c>
      <c r="J2209">
        <v>0</v>
      </c>
      <c r="K2209">
        <v>684.42</v>
      </c>
    </row>
    <row r="2210" spans="1:11" x14ac:dyDescent="0.25">
      <c r="A2210" t="s">
        <v>2250</v>
      </c>
      <c r="B2210" s="1">
        <v>46123.504652777781</v>
      </c>
      <c r="C2210" s="2" t="s">
        <v>22</v>
      </c>
      <c r="D2210" t="s">
        <v>19</v>
      </c>
      <c r="E2210">
        <v>89324</v>
      </c>
      <c r="F2210" t="s">
        <v>99</v>
      </c>
      <c r="G2210" t="s">
        <v>34</v>
      </c>
      <c r="H2210" t="s">
        <v>16</v>
      </c>
      <c r="I2210">
        <v>5</v>
      </c>
      <c r="J2210">
        <v>0</v>
      </c>
      <c r="K2210">
        <v>5</v>
      </c>
    </row>
    <row r="2211" spans="1:11" x14ac:dyDescent="0.25">
      <c r="A2211" t="s">
        <v>2251</v>
      </c>
      <c r="B2211" s="1">
        <v>45992.257476851853</v>
      </c>
      <c r="C2211" s="2" t="s">
        <v>29</v>
      </c>
      <c r="D2211" t="s">
        <v>33</v>
      </c>
      <c r="E2211">
        <v>84553</v>
      </c>
      <c r="F2211" t="s">
        <v>14</v>
      </c>
      <c r="G2211" t="s">
        <v>34</v>
      </c>
      <c r="H2211" t="s">
        <v>16</v>
      </c>
      <c r="I2211">
        <v>0</v>
      </c>
      <c r="J2211">
        <v>0</v>
      </c>
      <c r="K2211">
        <v>0</v>
      </c>
    </row>
    <row r="2212" spans="1:11" x14ac:dyDescent="0.25">
      <c r="A2212" t="s">
        <v>2252</v>
      </c>
      <c r="B2212" s="1">
        <v>46010.651631944442</v>
      </c>
      <c r="C2212" s="2" t="s">
        <v>41</v>
      </c>
      <c r="D2212" t="s">
        <v>45</v>
      </c>
      <c r="E2212">
        <v>125365</v>
      </c>
      <c r="F2212" t="s">
        <v>14</v>
      </c>
      <c r="G2212" t="s">
        <v>27</v>
      </c>
      <c r="H2212" t="s">
        <v>46</v>
      </c>
      <c r="I2212">
        <v>1253.6500000000001</v>
      </c>
      <c r="J2212">
        <v>0</v>
      </c>
      <c r="K2212">
        <v>1253.6500000000001</v>
      </c>
    </row>
    <row r="2213" spans="1:11" x14ac:dyDescent="0.25">
      <c r="A2213" t="s">
        <v>2253</v>
      </c>
      <c r="B2213" s="1">
        <v>45923.225810185184</v>
      </c>
      <c r="C2213" s="2" t="s">
        <v>39</v>
      </c>
      <c r="D2213" t="s">
        <v>13</v>
      </c>
      <c r="E2213">
        <v>12500</v>
      </c>
      <c r="F2213" t="s">
        <v>50</v>
      </c>
      <c r="G2213" t="s">
        <v>34</v>
      </c>
      <c r="H2213" t="s">
        <v>16</v>
      </c>
      <c r="I2213">
        <v>231.25</v>
      </c>
      <c r="J2213">
        <v>92.5</v>
      </c>
      <c r="K2213">
        <v>138.75</v>
      </c>
    </row>
    <row r="2214" spans="1:11" x14ac:dyDescent="0.25">
      <c r="A2214" t="s">
        <v>2254</v>
      </c>
      <c r="B2214" s="1">
        <v>46064.78869212963</v>
      </c>
      <c r="C2214" s="2" t="s">
        <v>26</v>
      </c>
      <c r="D2214" t="s">
        <v>45</v>
      </c>
      <c r="E2214">
        <v>111363</v>
      </c>
      <c r="F2214" t="s">
        <v>14</v>
      </c>
      <c r="G2214" t="s">
        <v>15</v>
      </c>
      <c r="H2214" t="s">
        <v>178</v>
      </c>
      <c r="I2214">
        <v>1113.6300000000001</v>
      </c>
      <c r="J2214">
        <v>0</v>
      </c>
      <c r="K2214">
        <v>1113.6300000000001</v>
      </c>
    </row>
    <row r="2215" spans="1:11" x14ac:dyDescent="0.25">
      <c r="A2215" t="s">
        <v>2255</v>
      </c>
      <c r="B2215" s="1">
        <v>45833.349062499998</v>
      </c>
      <c r="C2215" s="2" t="s">
        <v>26</v>
      </c>
      <c r="D2215" t="s">
        <v>19</v>
      </c>
      <c r="E2215">
        <v>70221</v>
      </c>
      <c r="F2215" t="s">
        <v>99</v>
      </c>
      <c r="G2215" t="s">
        <v>20</v>
      </c>
      <c r="H2215" t="s">
        <v>16</v>
      </c>
      <c r="I2215">
        <v>5</v>
      </c>
      <c r="J2215">
        <v>0</v>
      </c>
      <c r="K2215">
        <v>5</v>
      </c>
    </row>
    <row r="2216" spans="1:11" x14ac:dyDescent="0.25">
      <c r="A2216" t="s">
        <v>2256</v>
      </c>
      <c r="B2216" s="1">
        <v>45808.329722222225</v>
      </c>
      <c r="C2216" s="2" t="s">
        <v>12</v>
      </c>
      <c r="D2216" t="s">
        <v>13</v>
      </c>
      <c r="E2216">
        <v>67500</v>
      </c>
      <c r="F2216" t="s">
        <v>14</v>
      </c>
      <c r="G2216" t="s">
        <v>30</v>
      </c>
      <c r="H2216" t="s">
        <v>16</v>
      </c>
      <c r="I2216">
        <v>1248.75</v>
      </c>
      <c r="J2216">
        <v>499.5</v>
      </c>
      <c r="K2216">
        <v>749.25</v>
      </c>
    </row>
    <row r="2217" spans="1:11" x14ac:dyDescent="0.25">
      <c r="A2217" t="s">
        <v>2257</v>
      </c>
      <c r="B2217" s="1">
        <v>45964.990856481483</v>
      </c>
      <c r="C2217" s="2" t="s">
        <v>41</v>
      </c>
      <c r="D2217" t="s">
        <v>13</v>
      </c>
      <c r="E2217">
        <v>197000</v>
      </c>
      <c r="F2217" t="s">
        <v>14</v>
      </c>
      <c r="G2217" t="s">
        <v>34</v>
      </c>
      <c r="H2217" t="s">
        <v>16</v>
      </c>
      <c r="I2217">
        <v>3644.5</v>
      </c>
      <c r="J2217">
        <v>1457.8</v>
      </c>
      <c r="K2217">
        <v>2186.6999999999998</v>
      </c>
    </row>
    <row r="2218" spans="1:11" x14ac:dyDescent="0.25">
      <c r="A2218" t="s">
        <v>2258</v>
      </c>
      <c r="B2218" s="1">
        <v>45962.951284722221</v>
      </c>
      <c r="C2218" s="2" t="s">
        <v>32</v>
      </c>
      <c r="D2218" t="s">
        <v>19</v>
      </c>
      <c r="E2218">
        <v>22877</v>
      </c>
      <c r="F2218" t="s">
        <v>14</v>
      </c>
      <c r="G2218" t="s">
        <v>34</v>
      </c>
      <c r="H2218" t="s">
        <v>16</v>
      </c>
      <c r="I2218">
        <v>5</v>
      </c>
      <c r="J2218">
        <v>0</v>
      </c>
      <c r="K2218">
        <v>5</v>
      </c>
    </row>
    <row r="2219" spans="1:11" x14ac:dyDescent="0.25">
      <c r="A2219" t="s">
        <v>2259</v>
      </c>
      <c r="B2219" s="1">
        <v>46082.744837962964</v>
      </c>
      <c r="C2219" s="2" t="s">
        <v>26</v>
      </c>
      <c r="D2219" t="s">
        <v>45</v>
      </c>
      <c r="E2219">
        <v>68462</v>
      </c>
      <c r="F2219" t="s">
        <v>14</v>
      </c>
      <c r="G2219" t="s">
        <v>24</v>
      </c>
      <c r="H2219" t="s">
        <v>46</v>
      </c>
      <c r="I2219">
        <v>684.62</v>
      </c>
      <c r="J2219">
        <v>0</v>
      </c>
      <c r="K2219">
        <v>684.62</v>
      </c>
    </row>
    <row r="2220" spans="1:11" x14ac:dyDescent="0.25">
      <c r="A2220" t="s">
        <v>2260</v>
      </c>
      <c r="B2220" s="1">
        <v>45869.241574074076</v>
      </c>
      <c r="C2220" s="2" t="s">
        <v>29</v>
      </c>
      <c r="D2220" t="s">
        <v>45</v>
      </c>
      <c r="E2220">
        <v>89365</v>
      </c>
      <c r="F2220" t="s">
        <v>14</v>
      </c>
      <c r="G2220" t="s">
        <v>30</v>
      </c>
      <c r="H2220" t="s">
        <v>71</v>
      </c>
      <c r="I2220">
        <v>893.65</v>
      </c>
      <c r="J2220">
        <v>0</v>
      </c>
      <c r="K2220">
        <v>893.65</v>
      </c>
    </row>
    <row r="2221" spans="1:11" x14ac:dyDescent="0.25">
      <c r="A2221" t="s">
        <v>2261</v>
      </c>
      <c r="B2221" s="1">
        <v>45810.891597222224</v>
      </c>
      <c r="C2221" s="2" t="s">
        <v>32</v>
      </c>
      <c r="D2221" t="s">
        <v>45</v>
      </c>
      <c r="E2221">
        <v>79748</v>
      </c>
      <c r="F2221" t="s">
        <v>14</v>
      </c>
      <c r="G2221" t="s">
        <v>58</v>
      </c>
      <c r="H2221" t="s">
        <v>59</v>
      </c>
      <c r="I2221">
        <v>797.48</v>
      </c>
      <c r="J2221">
        <v>0</v>
      </c>
      <c r="K2221">
        <v>797.48</v>
      </c>
    </row>
    <row r="2222" spans="1:11" x14ac:dyDescent="0.25">
      <c r="A2222" t="s">
        <v>2262</v>
      </c>
      <c r="B2222" s="1">
        <v>46018.213194444441</v>
      </c>
      <c r="C2222" s="2" t="s">
        <v>41</v>
      </c>
      <c r="D2222" t="s">
        <v>33</v>
      </c>
      <c r="E2222">
        <v>28706</v>
      </c>
      <c r="F2222" t="s">
        <v>14</v>
      </c>
      <c r="G2222" t="s">
        <v>24</v>
      </c>
      <c r="H2222" t="s">
        <v>16</v>
      </c>
      <c r="I2222">
        <v>0</v>
      </c>
      <c r="J2222">
        <v>0</v>
      </c>
      <c r="K2222">
        <v>0</v>
      </c>
    </row>
    <row r="2223" spans="1:11" x14ac:dyDescent="0.25">
      <c r="A2223" t="s">
        <v>2263</v>
      </c>
      <c r="B2223" s="1">
        <v>46018.841504629629</v>
      </c>
      <c r="C2223" s="2" t="s">
        <v>41</v>
      </c>
      <c r="D2223" t="s">
        <v>45</v>
      </c>
      <c r="E2223">
        <v>104769</v>
      </c>
      <c r="F2223" t="s">
        <v>50</v>
      </c>
      <c r="G2223" t="s">
        <v>15</v>
      </c>
      <c r="H2223" t="s">
        <v>59</v>
      </c>
      <c r="I2223">
        <v>1047.69</v>
      </c>
      <c r="J2223">
        <v>0</v>
      </c>
      <c r="K2223">
        <v>1047.69</v>
      </c>
    </row>
    <row r="2224" spans="1:11" x14ac:dyDescent="0.25">
      <c r="A2224" t="s">
        <v>2264</v>
      </c>
      <c r="B2224" s="1">
        <v>45924.990578703706</v>
      </c>
      <c r="C2224" s="2" t="s">
        <v>39</v>
      </c>
      <c r="D2224" t="s">
        <v>33</v>
      </c>
      <c r="E2224">
        <v>91092</v>
      </c>
      <c r="F2224" t="s">
        <v>14</v>
      </c>
      <c r="G2224" t="s">
        <v>84</v>
      </c>
      <c r="H2224" t="s">
        <v>16</v>
      </c>
      <c r="I2224">
        <v>0</v>
      </c>
      <c r="J2224">
        <v>0</v>
      </c>
      <c r="K2224">
        <v>0</v>
      </c>
    </row>
    <row r="2225" spans="1:11" x14ac:dyDescent="0.25">
      <c r="A2225" t="s">
        <v>2265</v>
      </c>
      <c r="B2225" s="1">
        <v>46026.644050925926</v>
      </c>
      <c r="C2225" s="2" t="s">
        <v>29</v>
      </c>
      <c r="D2225" t="s">
        <v>13</v>
      </c>
      <c r="E2225">
        <v>52000</v>
      </c>
      <c r="F2225" t="s">
        <v>14</v>
      </c>
      <c r="G2225" t="s">
        <v>84</v>
      </c>
      <c r="H2225" t="s">
        <v>16</v>
      </c>
      <c r="I2225">
        <v>962</v>
      </c>
      <c r="J2225">
        <v>384.8</v>
      </c>
      <c r="K2225">
        <v>577.20000000000005</v>
      </c>
    </row>
    <row r="2226" spans="1:11" x14ac:dyDescent="0.25">
      <c r="A2226" t="s">
        <v>2266</v>
      </c>
      <c r="B2226" s="1">
        <v>46026.820208333331</v>
      </c>
      <c r="C2226" s="2" t="s">
        <v>22</v>
      </c>
      <c r="D2226" t="s">
        <v>33</v>
      </c>
      <c r="E2226">
        <v>458</v>
      </c>
      <c r="F2226" t="s">
        <v>14</v>
      </c>
      <c r="G2226" t="s">
        <v>27</v>
      </c>
      <c r="H2226" t="s">
        <v>16</v>
      </c>
      <c r="I2226">
        <v>0</v>
      </c>
      <c r="J2226">
        <v>0</v>
      </c>
      <c r="K2226">
        <v>0</v>
      </c>
    </row>
    <row r="2227" spans="1:11" x14ac:dyDescent="0.25">
      <c r="A2227" t="s">
        <v>2267</v>
      </c>
      <c r="B2227" s="1">
        <v>46132.606435185182</v>
      </c>
      <c r="C2227" s="2" t="s">
        <v>39</v>
      </c>
      <c r="D2227" t="s">
        <v>23</v>
      </c>
      <c r="E2227">
        <v>1956</v>
      </c>
      <c r="F2227" t="s">
        <v>14</v>
      </c>
      <c r="G2227" t="s">
        <v>84</v>
      </c>
      <c r="H2227" t="s">
        <v>16</v>
      </c>
      <c r="I2227">
        <v>0</v>
      </c>
      <c r="J2227">
        <v>0</v>
      </c>
      <c r="K2227">
        <v>0</v>
      </c>
    </row>
    <row r="2228" spans="1:11" x14ac:dyDescent="0.25">
      <c r="A2228" t="s">
        <v>2268</v>
      </c>
      <c r="B2228" s="1">
        <v>46051.229131944441</v>
      </c>
      <c r="C2228" s="2" t="s">
        <v>29</v>
      </c>
      <c r="D2228" t="s">
        <v>45</v>
      </c>
      <c r="E2228">
        <v>27475</v>
      </c>
      <c r="F2228" t="s">
        <v>14</v>
      </c>
      <c r="G2228" t="s">
        <v>20</v>
      </c>
      <c r="H2228" t="s">
        <v>56</v>
      </c>
      <c r="I2228">
        <v>274.75</v>
      </c>
      <c r="J2228">
        <v>0</v>
      </c>
      <c r="K2228">
        <v>274.75</v>
      </c>
    </row>
    <row r="2229" spans="1:11" x14ac:dyDescent="0.25">
      <c r="A2229" t="s">
        <v>2269</v>
      </c>
      <c r="B2229" s="1">
        <v>46109.938738425924</v>
      </c>
      <c r="C2229" s="2" t="s">
        <v>22</v>
      </c>
      <c r="D2229" t="s">
        <v>23</v>
      </c>
      <c r="E2229">
        <v>3416</v>
      </c>
      <c r="F2229" t="s">
        <v>14</v>
      </c>
      <c r="G2229" t="s">
        <v>30</v>
      </c>
      <c r="H2229" t="s">
        <v>16</v>
      </c>
      <c r="I2229">
        <v>0</v>
      </c>
      <c r="J2229">
        <v>0</v>
      </c>
      <c r="K2229">
        <v>0</v>
      </c>
    </row>
    <row r="2230" spans="1:11" x14ac:dyDescent="0.25">
      <c r="A2230" t="s">
        <v>2270</v>
      </c>
      <c r="B2230" s="1">
        <v>46021.65048611111</v>
      </c>
      <c r="C2230" s="2" t="s">
        <v>41</v>
      </c>
      <c r="D2230" t="s">
        <v>45</v>
      </c>
      <c r="E2230">
        <v>45090</v>
      </c>
      <c r="F2230" t="s">
        <v>14</v>
      </c>
      <c r="G2230" t="s">
        <v>30</v>
      </c>
      <c r="H2230" t="s">
        <v>71</v>
      </c>
      <c r="I2230">
        <v>450.9</v>
      </c>
      <c r="J2230">
        <v>0</v>
      </c>
      <c r="K2230">
        <v>450.9</v>
      </c>
    </row>
    <row r="2231" spans="1:11" x14ac:dyDescent="0.25">
      <c r="A2231" t="s">
        <v>2271</v>
      </c>
      <c r="B2231" s="1">
        <v>45961.742002314815</v>
      </c>
      <c r="C2231" s="2" t="s">
        <v>18</v>
      </c>
      <c r="D2231" t="s">
        <v>13</v>
      </c>
      <c r="E2231">
        <v>153500</v>
      </c>
      <c r="F2231" t="s">
        <v>14</v>
      </c>
      <c r="G2231" t="s">
        <v>34</v>
      </c>
      <c r="H2231" t="s">
        <v>16</v>
      </c>
      <c r="I2231">
        <v>2839.75</v>
      </c>
      <c r="J2231">
        <v>1135.9000000000001</v>
      </c>
      <c r="K2231">
        <v>1703.85</v>
      </c>
    </row>
    <row r="2232" spans="1:11" x14ac:dyDescent="0.25">
      <c r="A2232" t="s">
        <v>2272</v>
      </c>
      <c r="B2232" s="1">
        <v>45995.473067129627</v>
      </c>
      <c r="C2232" s="2" t="s">
        <v>26</v>
      </c>
      <c r="D2232" t="s">
        <v>45</v>
      </c>
      <c r="E2232">
        <v>50198</v>
      </c>
      <c r="F2232" t="s">
        <v>14</v>
      </c>
      <c r="G2232" t="s">
        <v>20</v>
      </c>
      <c r="H2232" t="s">
        <v>59</v>
      </c>
      <c r="I2232">
        <v>501.98</v>
      </c>
      <c r="J2232">
        <v>0</v>
      </c>
      <c r="K2232">
        <v>501.98</v>
      </c>
    </row>
    <row r="2233" spans="1:11" x14ac:dyDescent="0.25">
      <c r="A2233" t="s">
        <v>2273</v>
      </c>
      <c r="B2233" s="1">
        <v>45833.156493055554</v>
      </c>
      <c r="C2233" s="2" t="s">
        <v>22</v>
      </c>
      <c r="D2233" t="s">
        <v>13</v>
      </c>
      <c r="E2233">
        <v>176000</v>
      </c>
      <c r="F2233" t="s">
        <v>14</v>
      </c>
      <c r="G2233" t="s">
        <v>34</v>
      </c>
      <c r="H2233" t="s">
        <v>16</v>
      </c>
      <c r="I2233">
        <v>3256</v>
      </c>
      <c r="J2233">
        <v>1302.4000000000001</v>
      </c>
      <c r="K2233">
        <v>1953.6</v>
      </c>
    </row>
    <row r="2234" spans="1:11" x14ac:dyDescent="0.25">
      <c r="A2234" t="s">
        <v>2274</v>
      </c>
      <c r="B2234" s="1">
        <v>45910.413819444446</v>
      </c>
      <c r="C2234" s="2" t="s">
        <v>26</v>
      </c>
      <c r="D2234" t="s">
        <v>13</v>
      </c>
      <c r="E2234">
        <v>107500</v>
      </c>
      <c r="F2234" t="s">
        <v>99</v>
      </c>
      <c r="G2234" t="s">
        <v>20</v>
      </c>
      <c r="H2234" t="s">
        <v>16</v>
      </c>
      <c r="I2234">
        <v>1988.75</v>
      </c>
      <c r="J2234">
        <v>795.5</v>
      </c>
      <c r="K2234">
        <v>1193.25</v>
      </c>
    </row>
    <row r="2235" spans="1:11" x14ac:dyDescent="0.25">
      <c r="A2235" t="s">
        <v>2275</v>
      </c>
      <c r="B2235" s="1">
        <v>45839.934016203704</v>
      </c>
      <c r="C2235" s="2" t="s">
        <v>32</v>
      </c>
      <c r="D2235" t="s">
        <v>45</v>
      </c>
      <c r="E2235">
        <v>115845</v>
      </c>
      <c r="F2235" t="s">
        <v>50</v>
      </c>
      <c r="G2235" t="s">
        <v>34</v>
      </c>
      <c r="H2235" t="s">
        <v>71</v>
      </c>
      <c r="I2235">
        <v>1158.45</v>
      </c>
      <c r="J2235">
        <v>0</v>
      </c>
      <c r="K2235">
        <v>1158.45</v>
      </c>
    </row>
    <row r="2236" spans="1:11" x14ac:dyDescent="0.25">
      <c r="A2236" t="s">
        <v>2276</v>
      </c>
      <c r="B2236" s="1">
        <v>46049.180138888885</v>
      </c>
      <c r="C2236" s="2" t="s">
        <v>26</v>
      </c>
      <c r="D2236" t="s">
        <v>33</v>
      </c>
      <c r="E2236">
        <v>7879</v>
      </c>
      <c r="F2236" t="s">
        <v>14</v>
      </c>
      <c r="G2236" t="s">
        <v>24</v>
      </c>
      <c r="H2236" t="s">
        <v>16</v>
      </c>
      <c r="I2236">
        <v>0</v>
      </c>
      <c r="J2236">
        <v>0</v>
      </c>
      <c r="K2236">
        <v>0</v>
      </c>
    </row>
    <row r="2237" spans="1:11" x14ac:dyDescent="0.25">
      <c r="A2237" t="s">
        <v>2277</v>
      </c>
      <c r="B2237" s="1">
        <v>46021.582962962966</v>
      </c>
      <c r="C2237" s="2" t="s">
        <v>39</v>
      </c>
      <c r="D2237" t="s">
        <v>23</v>
      </c>
      <c r="E2237">
        <v>1703</v>
      </c>
      <c r="F2237" t="s">
        <v>50</v>
      </c>
      <c r="G2237" t="s">
        <v>34</v>
      </c>
      <c r="H2237" t="s">
        <v>16</v>
      </c>
      <c r="I2237">
        <v>0</v>
      </c>
      <c r="J2237">
        <v>0</v>
      </c>
      <c r="K2237">
        <v>0</v>
      </c>
    </row>
    <row r="2238" spans="1:11" x14ac:dyDescent="0.25">
      <c r="A2238" t="s">
        <v>2278</v>
      </c>
      <c r="B2238" s="1">
        <v>45983.985625000001</v>
      </c>
      <c r="C2238" s="2" t="s">
        <v>32</v>
      </c>
      <c r="D2238" t="s">
        <v>33</v>
      </c>
      <c r="E2238">
        <v>64281</v>
      </c>
      <c r="F2238" t="s">
        <v>14</v>
      </c>
      <c r="G2238" t="s">
        <v>34</v>
      </c>
      <c r="H2238" t="s">
        <v>16</v>
      </c>
      <c r="I2238">
        <v>0</v>
      </c>
      <c r="J2238">
        <v>0</v>
      </c>
      <c r="K2238">
        <v>0</v>
      </c>
    </row>
    <row r="2239" spans="1:11" x14ac:dyDescent="0.25">
      <c r="A2239" t="s">
        <v>2279</v>
      </c>
      <c r="B2239" s="1">
        <v>45922.486238425925</v>
      </c>
      <c r="C2239" s="2" t="s">
        <v>12</v>
      </c>
      <c r="D2239" t="s">
        <v>45</v>
      </c>
      <c r="E2239">
        <v>126128</v>
      </c>
      <c r="F2239" t="s">
        <v>14</v>
      </c>
      <c r="G2239" t="s">
        <v>51</v>
      </c>
      <c r="H2239" t="s">
        <v>56</v>
      </c>
      <c r="I2239">
        <v>1261.28</v>
      </c>
      <c r="J2239">
        <v>0</v>
      </c>
      <c r="K2239">
        <v>1261.28</v>
      </c>
    </row>
    <row r="2240" spans="1:11" x14ac:dyDescent="0.25">
      <c r="A2240" t="s">
        <v>2280</v>
      </c>
      <c r="B2240" s="1">
        <v>46097.577013888891</v>
      </c>
      <c r="C2240" s="2" t="s">
        <v>39</v>
      </c>
      <c r="D2240" t="s">
        <v>45</v>
      </c>
      <c r="E2240">
        <v>134304</v>
      </c>
      <c r="F2240" t="s">
        <v>14</v>
      </c>
      <c r="G2240" t="s">
        <v>15</v>
      </c>
      <c r="H2240" t="s">
        <v>46</v>
      </c>
      <c r="I2240">
        <v>1343.04</v>
      </c>
      <c r="J2240">
        <v>0</v>
      </c>
      <c r="K2240">
        <v>1343.04</v>
      </c>
    </row>
    <row r="2241" spans="1:11" x14ac:dyDescent="0.25">
      <c r="A2241" t="s">
        <v>2281</v>
      </c>
      <c r="B2241" s="1">
        <v>46120.262349537035</v>
      </c>
      <c r="C2241" s="2" t="s">
        <v>39</v>
      </c>
      <c r="D2241" t="s">
        <v>33</v>
      </c>
      <c r="E2241">
        <v>43465</v>
      </c>
      <c r="F2241" t="s">
        <v>14</v>
      </c>
      <c r="G2241" t="s">
        <v>24</v>
      </c>
      <c r="H2241" t="s">
        <v>16</v>
      </c>
      <c r="I2241">
        <v>0</v>
      </c>
      <c r="J2241">
        <v>0</v>
      </c>
      <c r="K2241">
        <v>0</v>
      </c>
    </row>
    <row r="2242" spans="1:11" x14ac:dyDescent="0.25">
      <c r="A2242" t="s">
        <v>2282</v>
      </c>
      <c r="B2242" s="1">
        <v>46123.883148148147</v>
      </c>
      <c r="C2242" s="2" t="s">
        <v>32</v>
      </c>
      <c r="D2242" t="s">
        <v>23</v>
      </c>
      <c r="E2242">
        <v>4678</v>
      </c>
      <c r="F2242" t="s">
        <v>99</v>
      </c>
      <c r="G2242" t="s">
        <v>34</v>
      </c>
      <c r="H2242" t="s">
        <v>16</v>
      </c>
      <c r="I2242">
        <v>0</v>
      </c>
      <c r="J2242">
        <v>0</v>
      </c>
      <c r="K2242">
        <v>0</v>
      </c>
    </row>
    <row r="2243" spans="1:11" x14ac:dyDescent="0.25">
      <c r="A2243" t="s">
        <v>2283</v>
      </c>
      <c r="B2243" s="1">
        <v>45872.98128472222</v>
      </c>
      <c r="C2243" s="2" t="s">
        <v>18</v>
      </c>
      <c r="D2243" t="s">
        <v>19</v>
      </c>
      <c r="E2243">
        <v>99299</v>
      </c>
      <c r="F2243" t="s">
        <v>50</v>
      </c>
      <c r="G2243" t="s">
        <v>84</v>
      </c>
      <c r="H2243" t="s">
        <v>16</v>
      </c>
      <c r="I2243">
        <v>5</v>
      </c>
      <c r="J2243">
        <v>0</v>
      </c>
      <c r="K2243">
        <v>5</v>
      </c>
    </row>
    <row r="2244" spans="1:11" x14ac:dyDescent="0.25">
      <c r="A2244" t="s">
        <v>2284</v>
      </c>
      <c r="B2244" s="1">
        <v>45822.779178240744</v>
      </c>
      <c r="C2244" s="2" t="s">
        <v>22</v>
      </c>
      <c r="D2244" t="s">
        <v>13</v>
      </c>
      <c r="E2244">
        <v>188500</v>
      </c>
      <c r="F2244" t="s">
        <v>50</v>
      </c>
      <c r="G2244" t="s">
        <v>15</v>
      </c>
      <c r="H2244" t="s">
        <v>16</v>
      </c>
      <c r="I2244">
        <v>3487.25</v>
      </c>
      <c r="J2244">
        <v>1394.9</v>
      </c>
      <c r="K2244">
        <v>2092.35</v>
      </c>
    </row>
    <row r="2245" spans="1:11" x14ac:dyDescent="0.25">
      <c r="A2245" t="s">
        <v>2285</v>
      </c>
      <c r="B2245" s="1">
        <v>46109.733819444446</v>
      </c>
      <c r="C2245" s="2" t="s">
        <v>29</v>
      </c>
      <c r="D2245" t="s">
        <v>13</v>
      </c>
      <c r="E2245">
        <v>106000</v>
      </c>
      <c r="F2245" t="s">
        <v>14</v>
      </c>
      <c r="G2245" t="s">
        <v>15</v>
      </c>
      <c r="H2245" t="s">
        <v>16</v>
      </c>
      <c r="I2245">
        <v>1961</v>
      </c>
      <c r="J2245">
        <v>784.4</v>
      </c>
      <c r="K2245">
        <v>1176.5999999999999</v>
      </c>
    </row>
    <row r="2246" spans="1:11" x14ac:dyDescent="0.25">
      <c r="A2246" t="s">
        <v>2286</v>
      </c>
      <c r="B2246" s="1">
        <v>45832.270601851851</v>
      </c>
      <c r="C2246" s="2" t="s">
        <v>26</v>
      </c>
      <c r="D2246" t="s">
        <v>19</v>
      </c>
      <c r="E2246">
        <v>108898</v>
      </c>
      <c r="F2246" t="s">
        <v>14</v>
      </c>
      <c r="G2246" t="s">
        <v>27</v>
      </c>
      <c r="H2246" t="s">
        <v>16</v>
      </c>
      <c r="I2246">
        <v>5</v>
      </c>
      <c r="J2246">
        <v>0</v>
      </c>
      <c r="K2246">
        <v>5</v>
      </c>
    </row>
    <row r="2247" spans="1:11" x14ac:dyDescent="0.25">
      <c r="A2247" t="s">
        <v>2287</v>
      </c>
      <c r="B2247" s="1">
        <v>46102.179803240739</v>
      </c>
      <c r="C2247" s="2" t="s">
        <v>22</v>
      </c>
      <c r="D2247" t="s">
        <v>33</v>
      </c>
      <c r="E2247">
        <v>46322</v>
      </c>
      <c r="F2247" t="s">
        <v>50</v>
      </c>
      <c r="G2247" t="s">
        <v>20</v>
      </c>
      <c r="H2247" t="s">
        <v>16</v>
      </c>
      <c r="I2247">
        <v>0</v>
      </c>
      <c r="J2247">
        <v>0</v>
      </c>
      <c r="K2247">
        <v>0</v>
      </c>
    </row>
    <row r="2248" spans="1:11" x14ac:dyDescent="0.25">
      <c r="A2248" t="s">
        <v>2288</v>
      </c>
      <c r="B2248" s="1">
        <v>45820.422615740739</v>
      </c>
      <c r="C2248" s="2" t="s">
        <v>22</v>
      </c>
      <c r="D2248" t="s">
        <v>45</v>
      </c>
      <c r="E2248">
        <v>66263</v>
      </c>
      <c r="F2248" t="s">
        <v>99</v>
      </c>
      <c r="G2248" t="s">
        <v>27</v>
      </c>
      <c r="H2248" t="s">
        <v>46</v>
      </c>
      <c r="I2248">
        <v>662.63</v>
      </c>
      <c r="J2248">
        <v>0</v>
      </c>
      <c r="K2248">
        <v>662.63</v>
      </c>
    </row>
    <row r="2249" spans="1:11" x14ac:dyDescent="0.25">
      <c r="A2249" t="s">
        <v>2289</v>
      </c>
      <c r="B2249" s="1">
        <v>45835.05064814815</v>
      </c>
      <c r="C2249" s="2" t="s">
        <v>29</v>
      </c>
      <c r="D2249" t="s">
        <v>19</v>
      </c>
      <c r="E2249">
        <v>101152</v>
      </c>
      <c r="F2249" t="s">
        <v>14</v>
      </c>
      <c r="G2249" t="s">
        <v>34</v>
      </c>
      <c r="H2249" t="s">
        <v>16</v>
      </c>
      <c r="I2249">
        <v>5</v>
      </c>
      <c r="J2249">
        <v>0</v>
      </c>
      <c r="K2249">
        <v>5</v>
      </c>
    </row>
    <row r="2250" spans="1:11" x14ac:dyDescent="0.25">
      <c r="A2250" t="s">
        <v>2290</v>
      </c>
      <c r="B2250" s="1">
        <v>46130.291250000002</v>
      </c>
      <c r="C2250" s="2" t="s">
        <v>41</v>
      </c>
      <c r="D2250" t="s">
        <v>19</v>
      </c>
      <c r="E2250">
        <v>42230</v>
      </c>
      <c r="F2250" t="s">
        <v>14</v>
      </c>
      <c r="G2250" t="s">
        <v>27</v>
      </c>
      <c r="H2250" t="s">
        <v>16</v>
      </c>
      <c r="I2250">
        <v>5</v>
      </c>
      <c r="J2250">
        <v>0</v>
      </c>
      <c r="K2250">
        <v>5</v>
      </c>
    </row>
    <row r="2251" spans="1:11" x14ac:dyDescent="0.25">
      <c r="A2251" t="s">
        <v>2291</v>
      </c>
      <c r="B2251" s="1">
        <v>46136.610243055555</v>
      </c>
      <c r="C2251" s="2" t="s">
        <v>18</v>
      </c>
      <c r="D2251" t="s">
        <v>23</v>
      </c>
      <c r="E2251">
        <v>1667</v>
      </c>
      <c r="F2251" t="s">
        <v>50</v>
      </c>
      <c r="G2251" t="s">
        <v>30</v>
      </c>
      <c r="H2251" t="s">
        <v>16</v>
      </c>
      <c r="I2251">
        <v>0</v>
      </c>
      <c r="J2251">
        <v>0</v>
      </c>
      <c r="K2251">
        <v>0</v>
      </c>
    </row>
    <row r="2252" spans="1:11" x14ac:dyDescent="0.25">
      <c r="A2252" t="s">
        <v>2292</v>
      </c>
      <c r="B2252" s="1">
        <v>45881.308715277781</v>
      </c>
      <c r="C2252" s="2" t="s">
        <v>26</v>
      </c>
      <c r="D2252" t="s">
        <v>13</v>
      </c>
      <c r="E2252">
        <v>81000</v>
      </c>
      <c r="F2252" t="s">
        <v>14</v>
      </c>
      <c r="G2252" t="s">
        <v>27</v>
      </c>
      <c r="H2252" t="s">
        <v>16</v>
      </c>
      <c r="I2252">
        <v>1498.5</v>
      </c>
      <c r="J2252">
        <v>599.4</v>
      </c>
      <c r="K2252">
        <v>899.1</v>
      </c>
    </row>
    <row r="2253" spans="1:11" x14ac:dyDescent="0.25">
      <c r="A2253" t="s">
        <v>2293</v>
      </c>
      <c r="B2253" s="1">
        <v>45986.709201388891</v>
      </c>
      <c r="C2253" s="2" t="s">
        <v>41</v>
      </c>
      <c r="D2253" t="s">
        <v>23</v>
      </c>
      <c r="E2253">
        <v>2571</v>
      </c>
      <c r="F2253" t="s">
        <v>14</v>
      </c>
      <c r="G2253" t="s">
        <v>51</v>
      </c>
      <c r="H2253" t="s">
        <v>16</v>
      </c>
      <c r="I2253">
        <v>0</v>
      </c>
      <c r="J2253">
        <v>0</v>
      </c>
      <c r="K2253">
        <v>0</v>
      </c>
    </row>
    <row r="2254" spans="1:11" x14ac:dyDescent="0.25">
      <c r="A2254" t="s">
        <v>2294</v>
      </c>
      <c r="B2254" s="1">
        <v>45959.593726851854</v>
      </c>
      <c r="C2254" s="2" t="s">
        <v>26</v>
      </c>
      <c r="D2254" t="s">
        <v>23</v>
      </c>
      <c r="E2254">
        <v>1441</v>
      </c>
      <c r="F2254" t="s">
        <v>50</v>
      </c>
      <c r="G2254" t="s">
        <v>34</v>
      </c>
      <c r="H2254" t="s">
        <v>16</v>
      </c>
      <c r="I2254">
        <v>0</v>
      </c>
      <c r="J2254">
        <v>0</v>
      </c>
      <c r="K2254">
        <v>0</v>
      </c>
    </row>
    <row r="2255" spans="1:11" x14ac:dyDescent="0.25">
      <c r="A2255" t="s">
        <v>2295</v>
      </c>
      <c r="B2255" s="1">
        <v>46126.197766203702</v>
      </c>
      <c r="C2255" s="2" t="s">
        <v>26</v>
      </c>
      <c r="D2255" t="s">
        <v>13</v>
      </c>
      <c r="E2255">
        <v>195000</v>
      </c>
      <c r="F2255" t="s">
        <v>50</v>
      </c>
      <c r="G2255" t="s">
        <v>34</v>
      </c>
      <c r="H2255" t="s">
        <v>16</v>
      </c>
      <c r="I2255">
        <v>3607.5</v>
      </c>
      <c r="J2255">
        <v>1443</v>
      </c>
      <c r="K2255">
        <v>2164.5</v>
      </c>
    </row>
    <row r="2256" spans="1:11" x14ac:dyDescent="0.25">
      <c r="A2256" t="s">
        <v>2296</v>
      </c>
      <c r="B2256" s="1">
        <v>46033.065879629627</v>
      </c>
      <c r="C2256" s="2" t="s">
        <v>41</v>
      </c>
      <c r="D2256" t="s">
        <v>23</v>
      </c>
      <c r="E2256">
        <v>4855</v>
      </c>
      <c r="F2256" t="s">
        <v>14</v>
      </c>
      <c r="G2256" t="s">
        <v>20</v>
      </c>
      <c r="H2256" t="s">
        <v>16</v>
      </c>
      <c r="I2256">
        <v>0</v>
      </c>
      <c r="J2256">
        <v>0</v>
      </c>
      <c r="K2256">
        <v>0</v>
      </c>
    </row>
    <row r="2257" spans="1:11" x14ac:dyDescent="0.25">
      <c r="A2257" t="s">
        <v>2297</v>
      </c>
      <c r="B2257" s="1">
        <v>46122.149652777778</v>
      </c>
      <c r="C2257" s="2" t="s">
        <v>18</v>
      </c>
      <c r="D2257" t="s">
        <v>33</v>
      </c>
      <c r="E2257">
        <v>13584</v>
      </c>
      <c r="F2257" t="s">
        <v>14</v>
      </c>
      <c r="G2257" t="s">
        <v>15</v>
      </c>
      <c r="H2257" t="s">
        <v>16</v>
      </c>
      <c r="I2257">
        <v>0</v>
      </c>
      <c r="J2257">
        <v>0</v>
      </c>
      <c r="K2257">
        <v>0</v>
      </c>
    </row>
    <row r="2258" spans="1:11" x14ac:dyDescent="0.25">
      <c r="A2258" t="s">
        <v>2298</v>
      </c>
      <c r="B2258" s="1">
        <v>45954.769375000003</v>
      </c>
      <c r="C2258" s="2" t="s">
        <v>12</v>
      </c>
      <c r="D2258" t="s">
        <v>33</v>
      </c>
      <c r="E2258">
        <v>67221</v>
      </c>
      <c r="F2258" t="s">
        <v>14</v>
      </c>
      <c r="G2258" t="s">
        <v>15</v>
      </c>
      <c r="H2258" t="s">
        <v>16</v>
      </c>
      <c r="I2258">
        <v>0</v>
      </c>
      <c r="J2258">
        <v>0</v>
      </c>
      <c r="K2258">
        <v>0</v>
      </c>
    </row>
    <row r="2259" spans="1:11" x14ac:dyDescent="0.25">
      <c r="A2259" t="s">
        <v>2299</v>
      </c>
      <c r="B2259" s="1">
        <v>46125.271736111114</v>
      </c>
      <c r="C2259" s="2" t="s">
        <v>39</v>
      </c>
      <c r="D2259" t="s">
        <v>19</v>
      </c>
      <c r="E2259">
        <v>57104</v>
      </c>
      <c r="F2259" t="s">
        <v>14</v>
      </c>
      <c r="G2259" t="s">
        <v>24</v>
      </c>
      <c r="H2259" t="s">
        <v>16</v>
      </c>
      <c r="I2259">
        <v>5</v>
      </c>
      <c r="J2259">
        <v>0</v>
      </c>
      <c r="K2259">
        <v>5</v>
      </c>
    </row>
    <row r="2260" spans="1:11" x14ac:dyDescent="0.25">
      <c r="A2260" t="s">
        <v>2300</v>
      </c>
      <c r="B2260" s="1">
        <v>45900.858761574076</v>
      </c>
      <c r="C2260" s="2" t="s">
        <v>26</v>
      </c>
      <c r="D2260" t="s">
        <v>19</v>
      </c>
      <c r="E2260">
        <v>39607</v>
      </c>
      <c r="F2260" t="s">
        <v>14</v>
      </c>
      <c r="G2260" t="s">
        <v>58</v>
      </c>
      <c r="H2260" t="s">
        <v>16</v>
      </c>
      <c r="I2260">
        <v>5</v>
      </c>
      <c r="J2260">
        <v>0</v>
      </c>
      <c r="K2260">
        <v>5</v>
      </c>
    </row>
    <row r="2261" spans="1:11" x14ac:dyDescent="0.25">
      <c r="A2261" t="s">
        <v>2301</v>
      </c>
      <c r="B2261" s="1">
        <v>46097.043981481482</v>
      </c>
      <c r="C2261" s="2" t="s">
        <v>29</v>
      </c>
      <c r="D2261" t="s">
        <v>19</v>
      </c>
      <c r="E2261">
        <v>133211</v>
      </c>
      <c r="F2261" t="s">
        <v>14</v>
      </c>
      <c r="G2261" t="s">
        <v>34</v>
      </c>
      <c r="H2261" t="s">
        <v>16</v>
      </c>
      <c r="I2261">
        <v>5</v>
      </c>
      <c r="J2261">
        <v>0</v>
      </c>
      <c r="K2261">
        <v>5</v>
      </c>
    </row>
    <row r="2262" spans="1:11" x14ac:dyDescent="0.25">
      <c r="A2262" t="s">
        <v>2302</v>
      </c>
      <c r="B2262" s="1">
        <v>45918.487453703703</v>
      </c>
      <c r="C2262" s="2" t="s">
        <v>29</v>
      </c>
      <c r="D2262" t="s">
        <v>45</v>
      </c>
      <c r="E2262">
        <v>27819</v>
      </c>
      <c r="F2262" t="s">
        <v>99</v>
      </c>
      <c r="G2262" t="s">
        <v>20</v>
      </c>
      <c r="H2262" t="s">
        <v>71</v>
      </c>
      <c r="I2262">
        <v>278.19</v>
      </c>
      <c r="J2262">
        <v>0</v>
      </c>
      <c r="K2262">
        <v>278.19</v>
      </c>
    </row>
    <row r="2263" spans="1:11" x14ac:dyDescent="0.25">
      <c r="A2263" t="s">
        <v>2303</v>
      </c>
      <c r="B2263" s="1">
        <v>46090.741481481484</v>
      </c>
      <c r="C2263" s="2" t="s">
        <v>12</v>
      </c>
      <c r="D2263" t="s">
        <v>13</v>
      </c>
      <c r="E2263">
        <v>93000</v>
      </c>
      <c r="F2263" t="s">
        <v>14</v>
      </c>
      <c r="G2263" t="s">
        <v>58</v>
      </c>
      <c r="H2263" t="s">
        <v>16</v>
      </c>
      <c r="I2263">
        <v>1720.5</v>
      </c>
      <c r="J2263">
        <v>688.2</v>
      </c>
      <c r="K2263">
        <v>1032.3</v>
      </c>
    </row>
    <row r="2264" spans="1:11" x14ac:dyDescent="0.25">
      <c r="A2264" t="s">
        <v>2304</v>
      </c>
      <c r="B2264" s="1">
        <v>45980.049444444441</v>
      </c>
      <c r="C2264" s="2" t="s">
        <v>22</v>
      </c>
      <c r="D2264" t="s">
        <v>33</v>
      </c>
      <c r="E2264">
        <v>103741</v>
      </c>
      <c r="F2264" t="s">
        <v>14</v>
      </c>
      <c r="G2264" t="s">
        <v>30</v>
      </c>
      <c r="H2264" t="s">
        <v>16</v>
      </c>
      <c r="I2264">
        <v>0</v>
      </c>
      <c r="J2264">
        <v>0</v>
      </c>
      <c r="K2264">
        <v>0</v>
      </c>
    </row>
    <row r="2265" spans="1:11" x14ac:dyDescent="0.25">
      <c r="A2265" t="s">
        <v>2305</v>
      </c>
      <c r="B2265" s="1">
        <v>46110.661909722221</v>
      </c>
      <c r="C2265" s="2" t="s">
        <v>32</v>
      </c>
      <c r="D2265" t="s">
        <v>23</v>
      </c>
      <c r="E2265">
        <v>963</v>
      </c>
      <c r="F2265" t="s">
        <v>14</v>
      </c>
      <c r="G2265" t="s">
        <v>34</v>
      </c>
      <c r="H2265" t="s">
        <v>16</v>
      </c>
      <c r="I2265">
        <v>0</v>
      </c>
      <c r="J2265">
        <v>0</v>
      </c>
      <c r="K2265">
        <v>0</v>
      </c>
    </row>
    <row r="2266" spans="1:11" x14ac:dyDescent="0.25">
      <c r="A2266" t="s">
        <v>2306</v>
      </c>
      <c r="B2266" s="1">
        <v>45975.059525462966</v>
      </c>
      <c r="C2266" s="2" t="s">
        <v>22</v>
      </c>
      <c r="D2266" t="s">
        <v>45</v>
      </c>
      <c r="E2266">
        <v>148592</v>
      </c>
      <c r="F2266" t="s">
        <v>14</v>
      </c>
      <c r="G2266" t="s">
        <v>34</v>
      </c>
      <c r="H2266" t="s">
        <v>46</v>
      </c>
      <c r="I2266">
        <v>1485.92</v>
      </c>
      <c r="J2266">
        <v>0</v>
      </c>
      <c r="K2266">
        <v>1485.92</v>
      </c>
    </row>
    <row r="2267" spans="1:11" x14ac:dyDescent="0.25">
      <c r="A2267" t="s">
        <v>2307</v>
      </c>
      <c r="B2267" s="1">
        <v>45891.575231481482</v>
      </c>
      <c r="C2267" s="2" t="s">
        <v>26</v>
      </c>
      <c r="D2267" t="s">
        <v>45</v>
      </c>
      <c r="E2267">
        <v>135228</v>
      </c>
      <c r="F2267" t="s">
        <v>14</v>
      </c>
      <c r="G2267" t="s">
        <v>24</v>
      </c>
      <c r="H2267" t="s">
        <v>46</v>
      </c>
      <c r="I2267">
        <v>1352.28</v>
      </c>
      <c r="J2267">
        <v>0</v>
      </c>
      <c r="K2267">
        <v>1352.28</v>
      </c>
    </row>
    <row r="2268" spans="1:11" x14ac:dyDescent="0.25">
      <c r="A2268" t="s">
        <v>2308</v>
      </c>
      <c r="B2268" s="1">
        <v>45804.396782407406</v>
      </c>
      <c r="C2268" s="2" t="s">
        <v>18</v>
      </c>
      <c r="D2268" t="s">
        <v>33</v>
      </c>
      <c r="E2268">
        <v>49467</v>
      </c>
      <c r="F2268" t="s">
        <v>14</v>
      </c>
      <c r="G2268" t="s">
        <v>15</v>
      </c>
      <c r="H2268" t="s">
        <v>16</v>
      </c>
      <c r="I2268">
        <v>0</v>
      </c>
      <c r="J2268">
        <v>0</v>
      </c>
      <c r="K2268">
        <v>0</v>
      </c>
    </row>
    <row r="2269" spans="1:11" x14ac:dyDescent="0.25">
      <c r="A2269" t="s">
        <v>2309</v>
      </c>
      <c r="B2269" s="1">
        <v>45945.853726851848</v>
      </c>
      <c r="C2269" s="2" t="s">
        <v>39</v>
      </c>
      <c r="D2269" t="s">
        <v>33</v>
      </c>
      <c r="E2269">
        <v>113751</v>
      </c>
      <c r="F2269" t="s">
        <v>14</v>
      </c>
      <c r="G2269" t="s">
        <v>24</v>
      </c>
      <c r="H2269" t="s">
        <v>16</v>
      </c>
      <c r="I2269">
        <v>0</v>
      </c>
      <c r="J2269">
        <v>0</v>
      </c>
      <c r="K2269">
        <v>0</v>
      </c>
    </row>
    <row r="2270" spans="1:11" x14ac:dyDescent="0.25">
      <c r="A2270" t="s">
        <v>2310</v>
      </c>
      <c r="B2270" s="1">
        <v>46113.974027777775</v>
      </c>
      <c r="C2270" s="2" t="s">
        <v>12</v>
      </c>
      <c r="D2270" t="s">
        <v>19</v>
      </c>
      <c r="E2270">
        <v>63373</v>
      </c>
      <c r="F2270" t="s">
        <v>14</v>
      </c>
      <c r="G2270" t="s">
        <v>27</v>
      </c>
      <c r="H2270" t="s">
        <v>16</v>
      </c>
      <c r="I2270">
        <v>5</v>
      </c>
      <c r="J2270">
        <v>0</v>
      </c>
      <c r="K2270">
        <v>5</v>
      </c>
    </row>
    <row r="2271" spans="1:11" x14ac:dyDescent="0.25">
      <c r="A2271" t="s">
        <v>2311</v>
      </c>
      <c r="B2271" s="1">
        <v>45886.492488425924</v>
      </c>
      <c r="C2271" s="2" t="s">
        <v>41</v>
      </c>
      <c r="D2271" t="s">
        <v>19</v>
      </c>
      <c r="E2271">
        <v>41838</v>
      </c>
      <c r="F2271" t="s">
        <v>14</v>
      </c>
      <c r="G2271" t="s">
        <v>27</v>
      </c>
      <c r="H2271" t="s">
        <v>16</v>
      </c>
      <c r="I2271">
        <v>5</v>
      </c>
      <c r="J2271">
        <v>0</v>
      </c>
      <c r="K2271">
        <v>5</v>
      </c>
    </row>
    <row r="2272" spans="1:11" x14ac:dyDescent="0.25">
      <c r="A2272" t="s">
        <v>2312</v>
      </c>
      <c r="B2272" s="1">
        <v>46124.418923611112</v>
      </c>
      <c r="C2272" s="2" t="s">
        <v>29</v>
      </c>
      <c r="D2272" t="s">
        <v>13</v>
      </c>
      <c r="E2272">
        <v>215000</v>
      </c>
      <c r="F2272" t="s">
        <v>14</v>
      </c>
      <c r="G2272" t="s">
        <v>20</v>
      </c>
      <c r="H2272" t="s">
        <v>16</v>
      </c>
      <c r="I2272">
        <v>3977.5</v>
      </c>
      <c r="J2272">
        <v>1591</v>
      </c>
      <c r="K2272">
        <v>2386.5</v>
      </c>
    </row>
    <row r="2273" spans="1:11" x14ac:dyDescent="0.25">
      <c r="A2273" t="s">
        <v>2313</v>
      </c>
      <c r="B2273" s="1">
        <v>45832.031087962961</v>
      </c>
      <c r="C2273" s="2" t="s">
        <v>29</v>
      </c>
      <c r="D2273" t="s">
        <v>45</v>
      </c>
      <c r="E2273">
        <v>44034</v>
      </c>
      <c r="F2273" t="s">
        <v>14</v>
      </c>
      <c r="G2273" t="s">
        <v>51</v>
      </c>
      <c r="H2273" t="s">
        <v>56</v>
      </c>
      <c r="I2273">
        <v>440.34</v>
      </c>
      <c r="J2273">
        <v>0</v>
      </c>
      <c r="K2273">
        <v>440.34</v>
      </c>
    </row>
    <row r="2274" spans="1:11" x14ac:dyDescent="0.25">
      <c r="A2274" t="s">
        <v>2314</v>
      </c>
      <c r="B2274" s="1">
        <v>45916.157222222224</v>
      </c>
      <c r="C2274" s="2" t="s">
        <v>18</v>
      </c>
      <c r="D2274" t="s">
        <v>45</v>
      </c>
      <c r="E2274">
        <v>139572</v>
      </c>
      <c r="F2274" t="s">
        <v>14</v>
      </c>
      <c r="G2274" t="s">
        <v>20</v>
      </c>
      <c r="H2274" t="s">
        <v>71</v>
      </c>
      <c r="I2274">
        <v>1395.72</v>
      </c>
      <c r="J2274">
        <v>0</v>
      </c>
      <c r="K2274">
        <v>1395.72</v>
      </c>
    </row>
    <row r="2275" spans="1:11" x14ac:dyDescent="0.25">
      <c r="A2275" t="s">
        <v>2315</v>
      </c>
      <c r="B2275" s="1">
        <v>45857.987650462965</v>
      </c>
      <c r="C2275" s="2" t="s">
        <v>12</v>
      </c>
      <c r="D2275" t="s">
        <v>45</v>
      </c>
      <c r="E2275">
        <v>27112</v>
      </c>
      <c r="F2275" t="s">
        <v>50</v>
      </c>
      <c r="G2275" t="s">
        <v>27</v>
      </c>
      <c r="H2275" t="s">
        <v>59</v>
      </c>
      <c r="I2275">
        <v>271.12</v>
      </c>
      <c r="J2275">
        <v>0</v>
      </c>
      <c r="K2275">
        <v>271.12</v>
      </c>
    </row>
    <row r="2276" spans="1:11" x14ac:dyDescent="0.25">
      <c r="A2276" t="s">
        <v>2316</v>
      </c>
      <c r="B2276" s="1">
        <v>45947.671886574077</v>
      </c>
      <c r="C2276" s="2" t="s">
        <v>41</v>
      </c>
      <c r="D2276" t="s">
        <v>19</v>
      </c>
      <c r="E2276">
        <v>111832</v>
      </c>
      <c r="F2276" t="s">
        <v>50</v>
      </c>
      <c r="G2276" t="s">
        <v>51</v>
      </c>
      <c r="H2276" t="s">
        <v>16</v>
      </c>
      <c r="I2276">
        <v>5</v>
      </c>
      <c r="J2276">
        <v>0</v>
      </c>
      <c r="K2276">
        <v>5</v>
      </c>
    </row>
    <row r="2277" spans="1:11" x14ac:dyDescent="0.25">
      <c r="A2277" t="s">
        <v>2317</v>
      </c>
      <c r="B2277" s="1">
        <v>46077.162835648145</v>
      </c>
      <c r="C2277" s="2" t="s">
        <v>39</v>
      </c>
      <c r="D2277" t="s">
        <v>23</v>
      </c>
      <c r="E2277">
        <v>426</v>
      </c>
      <c r="F2277" t="s">
        <v>14</v>
      </c>
      <c r="G2277" t="s">
        <v>24</v>
      </c>
      <c r="H2277" t="s">
        <v>16</v>
      </c>
      <c r="I2277">
        <v>0</v>
      </c>
      <c r="J2277">
        <v>0</v>
      </c>
      <c r="K2277">
        <v>0</v>
      </c>
    </row>
    <row r="2278" spans="1:11" x14ac:dyDescent="0.25">
      <c r="A2278" t="s">
        <v>2318</v>
      </c>
      <c r="B2278" s="1">
        <v>45950.703333333331</v>
      </c>
      <c r="C2278" s="2" t="s">
        <v>29</v>
      </c>
      <c r="D2278" t="s">
        <v>23</v>
      </c>
      <c r="E2278">
        <v>4768</v>
      </c>
      <c r="F2278" t="s">
        <v>14</v>
      </c>
      <c r="G2278" t="s">
        <v>51</v>
      </c>
      <c r="H2278" t="s">
        <v>16</v>
      </c>
      <c r="I2278">
        <v>0</v>
      </c>
      <c r="J2278">
        <v>0</v>
      </c>
      <c r="K2278">
        <v>0</v>
      </c>
    </row>
    <row r="2279" spans="1:11" x14ac:dyDescent="0.25">
      <c r="A2279" t="s">
        <v>2319</v>
      </c>
      <c r="B2279" s="1">
        <v>45781.865763888891</v>
      </c>
      <c r="C2279" s="2" t="s">
        <v>29</v>
      </c>
      <c r="D2279" t="s">
        <v>33</v>
      </c>
      <c r="E2279">
        <v>19841</v>
      </c>
      <c r="F2279" t="s">
        <v>14</v>
      </c>
      <c r="G2279" t="s">
        <v>15</v>
      </c>
      <c r="H2279" t="s">
        <v>16</v>
      </c>
      <c r="I2279">
        <v>0</v>
      </c>
      <c r="J2279">
        <v>0</v>
      </c>
      <c r="K2279">
        <v>0</v>
      </c>
    </row>
    <row r="2280" spans="1:11" x14ac:dyDescent="0.25">
      <c r="A2280" t="s">
        <v>2320</v>
      </c>
      <c r="B2280" s="1">
        <v>46006.789571759262</v>
      </c>
      <c r="C2280" s="2" t="s">
        <v>32</v>
      </c>
      <c r="D2280" t="s">
        <v>19</v>
      </c>
      <c r="E2280">
        <v>122362</v>
      </c>
      <c r="F2280" t="s">
        <v>14</v>
      </c>
      <c r="G2280" t="s">
        <v>20</v>
      </c>
      <c r="H2280" t="s">
        <v>16</v>
      </c>
      <c r="I2280">
        <v>5</v>
      </c>
      <c r="J2280">
        <v>0</v>
      </c>
      <c r="K2280">
        <v>5</v>
      </c>
    </row>
    <row r="2281" spans="1:11" x14ac:dyDescent="0.25">
      <c r="A2281" t="s">
        <v>2321</v>
      </c>
      <c r="B2281" s="1">
        <v>45878.246018518519</v>
      </c>
      <c r="C2281" s="2" t="s">
        <v>12</v>
      </c>
      <c r="D2281" t="s">
        <v>13</v>
      </c>
      <c r="E2281">
        <v>164000</v>
      </c>
      <c r="F2281" t="s">
        <v>14</v>
      </c>
      <c r="G2281" t="s">
        <v>20</v>
      </c>
      <c r="H2281" t="s">
        <v>16</v>
      </c>
      <c r="I2281">
        <v>3034</v>
      </c>
      <c r="J2281">
        <v>1213.5999999999999</v>
      </c>
      <c r="K2281">
        <v>1820.4</v>
      </c>
    </row>
    <row r="2282" spans="1:11" x14ac:dyDescent="0.25">
      <c r="A2282" t="s">
        <v>2322</v>
      </c>
      <c r="B2282" s="1">
        <v>45856.379988425928</v>
      </c>
      <c r="C2282" s="2" t="s">
        <v>26</v>
      </c>
      <c r="D2282" t="s">
        <v>19</v>
      </c>
      <c r="E2282">
        <v>99917</v>
      </c>
      <c r="F2282" t="s">
        <v>14</v>
      </c>
      <c r="G2282" t="s">
        <v>58</v>
      </c>
      <c r="H2282" t="s">
        <v>16</v>
      </c>
      <c r="I2282">
        <v>5</v>
      </c>
      <c r="J2282">
        <v>0</v>
      </c>
      <c r="K2282">
        <v>5</v>
      </c>
    </row>
    <row r="2283" spans="1:11" x14ac:dyDescent="0.25">
      <c r="A2283" t="s">
        <v>2323</v>
      </c>
      <c r="B2283" s="1">
        <v>45830.167523148149</v>
      </c>
      <c r="C2283" s="2" t="s">
        <v>39</v>
      </c>
      <c r="D2283" t="s">
        <v>33</v>
      </c>
      <c r="E2283">
        <v>6657</v>
      </c>
      <c r="F2283" t="s">
        <v>14</v>
      </c>
      <c r="G2283" t="s">
        <v>27</v>
      </c>
      <c r="H2283" t="s">
        <v>16</v>
      </c>
      <c r="I2283">
        <v>0</v>
      </c>
      <c r="J2283">
        <v>0</v>
      </c>
      <c r="K2283">
        <v>0</v>
      </c>
    </row>
    <row r="2284" spans="1:11" x14ac:dyDescent="0.25">
      <c r="A2284" t="s">
        <v>2324</v>
      </c>
      <c r="B2284" s="1">
        <v>45937.420752314814</v>
      </c>
      <c r="C2284" s="2" t="s">
        <v>12</v>
      </c>
      <c r="D2284" t="s">
        <v>45</v>
      </c>
      <c r="E2284">
        <v>120280</v>
      </c>
      <c r="F2284" t="s">
        <v>14</v>
      </c>
      <c r="G2284" t="s">
        <v>27</v>
      </c>
      <c r="H2284" t="s">
        <v>178</v>
      </c>
      <c r="I2284">
        <v>1202.8</v>
      </c>
      <c r="J2284">
        <v>0</v>
      </c>
      <c r="K2284">
        <v>1202.8</v>
      </c>
    </row>
    <row r="2285" spans="1:11" x14ac:dyDescent="0.25">
      <c r="A2285" t="s">
        <v>2325</v>
      </c>
      <c r="B2285" s="1">
        <v>45843.15215277778</v>
      </c>
      <c r="C2285" s="2" t="s">
        <v>39</v>
      </c>
      <c r="D2285" t="s">
        <v>33</v>
      </c>
      <c r="E2285">
        <v>134613</v>
      </c>
      <c r="F2285" t="s">
        <v>14</v>
      </c>
      <c r="G2285" t="s">
        <v>20</v>
      </c>
      <c r="H2285" t="s">
        <v>16</v>
      </c>
      <c r="I2285">
        <v>0</v>
      </c>
      <c r="J2285">
        <v>0</v>
      </c>
      <c r="K2285">
        <v>0</v>
      </c>
    </row>
    <row r="2286" spans="1:11" x14ac:dyDescent="0.25">
      <c r="A2286" t="s">
        <v>2326</v>
      </c>
      <c r="B2286" s="1">
        <v>45915.246655092589</v>
      </c>
      <c r="C2286" s="2" t="s">
        <v>32</v>
      </c>
      <c r="D2286" t="s">
        <v>19</v>
      </c>
      <c r="E2286">
        <v>112967</v>
      </c>
      <c r="F2286" t="s">
        <v>14</v>
      </c>
      <c r="G2286" t="s">
        <v>24</v>
      </c>
      <c r="H2286" t="s">
        <v>16</v>
      </c>
      <c r="I2286">
        <v>5</v>
      </c>
      <c r="J2286">
        <v>0</v>
      </c>
      <c r="K2286">
        <v>5</v>
      </c>
    </row>
    <row r="2287" spans="1:11" x14ac:dyDescent="0.25">
      <c r="A2287" t="s">
        <v>2327</v>
      </c>
      <c r="B2287" s="1">
        <v>45972.140856481485</v>
      </c>
      <c r="C2287" s="2" t="s">
        <v>32</v>
      </c>
      <c r="D2287" t="s">
        <v>13</v>
      </c>
      <c r="E2287">
        <v>48500</v>
      </c>
      <c r="F2287" t="s">
        <v>14</v>
      </c>
      <c r="G2287" t="s">
        <v>34</v>
      </c>
      <c r="H2287" t="s">
        <v>16</v>
      </c>
      <c r="I2287">
        <v>897.25</v>
      </c>
      <c r="J2287">
        <v>358.9</v>
      </c>
      <c r="K2287">
        <v>538.35</v>
      </c>
    </row>
    <row r="2288" spans="1:11" x14ac:dyDescent="0.25">
      <c r="A2288" t="s">
        <v>2328</v>
      </c>
      <c r="B2288" s="1">
        <v>46060.067245370374</v>
      </c>
      <c r="C2288" s="2" t="s">
        <v>18</v>
      </c>
      <c r="D2288" t="s">
        <v>45</v>
      </c>
      <c r="E2288">
        <v>29206</v>
      </c>
      <c r="F2288" t="s">
        <v>14</v>
      </c>
      <c r="G2288" t="s">
        <v>20</v>
      </c>
      <c r="H2288" t="s">
        <v>71</v>
      </c>
      <c r="I2288">
        <v>292.06</v>
      </c>
      <c r="J2288">
        <v>0</v>
      </c>
      <c r="K2288">
        <v>292.06</v>
      </c>
    </row>
    <row r="2289" spans="1:11" x14ac:dyDescent="0.25">
      <c r="A2289" t="s">
        <v>2329</v>
      </c>
      <c r="B2289" s="1">
        <v>46076.521597222221</v>
      </c>
      <c r="C2289" s="2" t="s">
        <v>29</v>
      </c>
      <c r="D2289" t="s">
        <v>13</v>
      </c>
      <c r="E2289">
        <v>215500</v>
      </c>
      <c r="F2289" t="s">
        <v>14</v>
      </c>
      <c r="G2289" t="s">
        <v>20</v>
      </c>
      <c r="H2289" t="s">
        <v>16</v>
      </c>
      <c r="I2289">
        <v>3986.75</v>
      </c>
      <c r="J2289">
        <v>1594.7</v>
      </c>
      <c r="K2289">
        <v>2392.0500000000002</v>
      </c>
    </row>
    <row r="2290" spans="1:11" x14ac:dyDescent="0.25">
      <c r="A2290" t="s">
        <v>2330</v>
      </c>
      <c r="B2290" s="1">
        <v>45822.159398148149</v>
      </c>
      <c r="C2290" s="2" t="s">
        <v>22</v>
      </c>
      <c r="D2290" t="s">
        <v>33</v>
      </c>
      <c r="E2290">
        <v>23948</v>
      </c>
      <c r="F2290" t="s">
        <v>14</v>
      </c>
      <c r="G2290" t="s">
        <v>24</v>
      </c>
      <c r="H2290" t="s">
        <v>16</v>
      </c>
      <c r="I2290">
        <v>0</v>
      </c>
      <c r="J2290">
        <v>0</v>
      </c>
      <c r="K2290">
        <v>0</v>
      </c>
    </row>
    <row r="2291" spans="1:11" x14ac:dyDescent="0.25">
      <c r="A2291" t="s">
        <v>2331</v>
      </c>
      <c r="B2291" s="1">
        <v>46085.952418981484</v>
      </c>
      <c r="C2291" s="2" t="s">
        <v>41</v>
      </c>
      <c r="D2291" t="s">
        <v>13</v>
      </c>
      <c r="E2291">
        <v>69000</v>
      </c>
      <c r="F2291" t="s">
        <v>14</v>
      </c>
      <c r="G2291" t="s">
        <v>20</v>
      </c>
      <c r="H2291" t="s">
        <v>16</v>
      </c>
      <c r="I2291">
        <v>1276.5</v>
      </c>
      <c r="J2291">
        <v>510.6</v>
      </c>
      <c r="K2291">
        <v>765.9</v>
      </c>
    </row>
    <row r="2292" spans="1:11" x14ac:dyDescent="0.25">
      <c r="A2292" t="s">
        <v>2332</v>
      </c>
      <c r="B2292" s="1">
        <v>46041.701527777775</v>
      </c>
      <c r="C2292" s="2" t="s">
        <v>39</v>
      </c>
      <c r="D2292" t="s">
        <v>13</v>
      </c>
      <c r="E2292">
        <v>49500</v>
      </c>
      <c r="F2292" t="s">
        <v>50</v>
      </c>
      <c r="G2292" t="s">
        <v>24</v>
      </c>
      <c r="H2292" t="s">
        <v>16</v>
      </c>
      <c r="I2292">
        <v>915.75</v>
      </c>
      <c r="J2292">
        <v>366.3</v>
      </c>
      <c r="K2292">
        <v>549.45000000000005</v>
      </c>
    </row>
    <row r="2293" spans="1:11" x14ac:dyDescent="0.25">
      <c r="A2293" t="s">
        <v>2333</v>
      </c>
      <c r="B2293" s="1">
        <v>45792.363888888889</v>
      </c>
      <c r="C2293" s="2" t="s">
        <v>12</v>
      </c>
      <c r="D2293" t="s">
        <v>33</v>
      </c>
      <c r="E2293">
        <v>106099</v>
      </c>
      <c r="F2293" t="s">
        <v>14</v>
      </c>
      <c r="G2293" t="s">
        <v>27</v>
      </c>
      <c r="H2293" t="s">
        <v>16</v>
      </c>
      <c r="I2293">
        <v>0</v>
      </c>
      <c r="J2293">
        <v>0</v>
      </c>
      <c r="K2293">
        <v>0</v>
      </c>
    </row>
    <row r="2294" spans="1:11" x14ac:dyDescent="0.25">
      <c r="A2294" t="s">
        <v>2334</v>
      </c>
      <c r="B2294" s="1">
        <v>45917.71</v>
      </c>
      <c r="C2294" s="2" t="s">
        <v>18</v>
      </c>
      <c r="D2294" t="s">
        <v>13</v>
      </c>
      <c r="E2294">
        <v>235000</v>
      </c>
      <c r="F2294" t="s">
        <v>14</v>
      </c>
      <c r="G2294" t="s">
        <v>15</v>
      </c>
      <c r="H2294" t="s">
        <v>16</v>
      </c>
      <c r="I2294">
        <v>4347.5</v>
      </c>
      <c r="J2294">
        <v>1739</v>
      </c>
      <c r="K2294">
        <v>2608.5</v>
      </c>
    </row>
    <row r="2295" spans="1:11" x14ac:dyDescent="0.25">
      <c r="A2295" t="s">
        <v>2335</v>
      </c>
      <c r="B2295" s="1">
        <v>45971.000115740739</v>
      </c>
      <c r="C2295" s="2" t="s">
        <v>18</v>
      </c>
      <c r="D2295" t="s">
        <v>45</v>
      </c>
      <c r="E2295">
        <v>50559</v>
      </c>
      <c r="F2295" t="s">
        <v>14</v>
      </c>
      <c r="G2295" t="s">
        <v>34</v>
      </c>
      <c r="H2295" t="s">
        <v>59</v>
      </c>
      <c r="I2295">
        <v>505.59</v>
      </c>
      <c r="J2295">
        <v>0</v>
      </c>
      <c r="K2295">
        <v>505.59</v>
      </c>
    </row>
    <row r="2296" spans="1:11" x14ac:dyDescent="0.25">
      <c r="A2296" t="s">
        <v>2336</v>
      </c>
      <c r="B2296" s="1">
        <v>45812.085173611114</v>
      </c>
      <c r="C2296" s="2" t="s">
        <v>41</v>
      </c>
      <c r="D2296" t="s">
        <v>19</v>
      </c>
      <c r="E2296">
        <v>90934</v>
      </c>
      <c r="F2296" t="s">
        <v>14</v>
      </c>
      <c r="G2296" t="s">
        <v>20</v>
      </c>
      <c r="H2296" t="s">
        <v>16</v>
      </c>
      <c r="I2296">
        <v>5</v>
      </c>
      <c r="J2296">
        <v>0</v>
      </c>
      <c r="K2296">
        <v>5</v>
      </c>
    </row>
    <row r="2297" spans="1:11" x14ac:dyDescent="0.25">
      <c r="A2297" t="s">
        <v>2337</v>
      </c>
      <c r="B2297" s="1">
        <v>46118.330949074072</v>
      </c>
      <c r="C2297" s="2" t="s">
        <v>22</v>
      </c>
      <c r="D2297" t="s">
        <v>23</v>
      </c>
      <c r="E2297">
        <v>455</v>
      </c>
      <c r="F2297" t="s">
        <v>14</v>
      </c>
      <c r="G2297" t="s">
        <v>24</v>
      </c>
      <c r="H2297" t="s">
        <v>16</v>
      </c>
      <c r="I2297">
        <v>0</v>
      </c>
      <c r="J2297">
        <v>0</v>
      </c>
      <c r="K2297">
        <v>0</v>
      </c>
    </row>
    <row r="2298" spans="1:11" x14ac:dyDescent="0.25">
      <c r="A2298" t="s">
        <v>2338</v>
      </c>
      <c r="B2298" s="1">
        <v>45978.785300925927</v>
      </c>
      <c r="C2298" s="2" t="s">
        <v>12</v>
      </c>
      <c r="D2298" t="s">
        <v>19</v>
      </c>
      <c r="E2298">
        <v>57251</v>
      </c>
      <c r="F2298" t="s">
        <v>50</v>
      </c>
      <c r="G2298" t="s">
        <v>58</v>
      </c>
      <c r="H2298" t="s">
        <v>16</v>
      </c>
      <c r="I2298">
        <v>5</v>
      </c>
      <c r="J2298">
        <v>0</v>
      </c>
      <c r="K2298">
        <v>5</v>
      </c>
    </row>
    <row r="2299" spans="1:11" x14ac:dyDescent="0.25">
      <c r="A2299" t="s">
        <v>2339</v>
      </c>
      <c r="B2299" s="1">
        <v>46098.431458333333</v>
      </c>
      <c r="C2299" s="2" t="s">
        <v>18</v>
      </c>
      <c r="D2299" t="s">
        <v>33</v>
      </c>
      <c r="E2299">
        <v>137201</v>
      </c>
      <c r="F2299" t="s">
        <v>14</v>
      </c>
      <c r="G2299" t="s">
        <v>34</v>
      </c>
      <c r="H2299" t="s">
        <v>16</v>
      </c>
      <c r="I2299">
        <v>0</v>
      </c>
      <c r="J2299">
        <v>0</v>
      </c>
      <c r="K2299">
        <v>0</v>
      </c>
    </row>
    <row r="2300" spans="1:11" x14ac:dyDescent="0.25">
      <c r="A2300" t="s">
        <v>2340</v>
      </c>
      <c r="B2300" s="1">
        <v>45911.993530092594</v>
      </c>
      <c r="C2300" s="2" t="s">
        <v>22</v>
      </c>
      <c r="D2300" t="s">
        <v>19</v>
      </c>
      <c r="E2300">
        <v>33058</v>
      </c>
      <c r="F2300" t="s">
        <v>14</v>
      </c>
      <c r="G2300" t="s">
        <v>27</v>
      </c>
      <c r="H2300" t="s">
        <v>16</v>
      </c>
      <c r="I2300">
        <v>5</v>
      </c>
      <c r="J2300">
        <v>0</v>
      </c>
      <c r="K2300">
        <v>5</v>
      </c>
    </row>
    <row r="2301" spans="1:11" x14ac:dyDescent="0.25">
      <c r="A2301" t="s">
        <v>2341</v>
      </c>
      <c r="B2301" s="1">
        <v>45921.964837962965</v>
      </c>
      <c r="C2301" s="2" t="s">
        <v>12</v>
      </c>
      <c r="D2301" t="s">
        <v>45</v>
      </c>
      <c r="E2301">
        <v>102718</v>
      </c>
      <c r="F2301" t="s">
        <v>14</v>
      </c>
      <c r="G2301" t="s">
        <v>34</v>
      </c>
      <c r="H2301" t="s">
        <v>59</v>
      </c>
      <c r="I2301">
        <v>1027.18</v>
      </c>
      <c r="J2301">
        <v>0</v>
      </c>
      <c r="K2301">
        <v>1027.18</v>
      </c>
    </row>
    <row r="2302" spans="1:11" x14ac:dyDescent="0.25">
      <c r="A2302" t="s">
        <v>2342</v>
      </c>
      <c r="B2302" s="1">
        <v>45971.612581018519</v>
      </c>
      <c r="C2302" s="2" t="s">
        <v>39</v>
      </c>
      <c r="D2302" t="s">
        <v>45</v>
      </c>
      <c r="E2302">
        <v>47377</v>
      </c>
      <c r="F2302" t="s">
        <v>99</v>
      </c>
      <c r="G2302" t="s">
        <v>34</v>
      </c>
      <c r="H2302" t="s">
        <v>46</v>
      </c>
      <c r="I2302">
        <v>473.77</v>
      </c>
      <c r="J2302">
        <v>0</v>
      </c>
      <c r="K2302">
        <v>473.77</v>
      </c>
    </row>
    <row r="2303" spans="1:11" x14ac:dyDescent="0.25">
      <c r="A2303" t="s">
        <v>2343</v>
      </c>
      <c r="B2303" s="1">
        <v>46104.249155092592</v>
      </c>
      <c r="C2303" s="2" t="s">
        <v>18</v>
      </c>
      <c r="D2303" t="s">
        <v>13</v>
      </c>
      <c r="E2303">
        <v>23000</v>
      </c>
      <c r="F2303" t="s">
        <v>14</v>
      </c>
      <c r="G2303" t="s">
        <v>34</v>
      </c>
      <c r="H2303" t="s">
        <v>16</v>
      </c>
      <c r="I2303">
        <v>425.5</v>
      </c>
      <c r="J2303">
        <v>170.2</v>
      </c>
      <c r="K2303">
        <v>255.3</v>
      </c>
    </row>
    <row r="2304" spans="1:11" x14ac:dyDescent="0.25">
      <c r="A2304" t="s">
        <v>2344</v>
      </c>
      <c r="B2304" s="1">
        <v>45795.615601851852</v>
      </c>
      <c r="C2304" s="2" t="s">
        <v>22</v>
      </c>
      <c r="D2304" t="s">
        <v>23</v>
      </c>
      <c r="E2304">
        <v>1306</v>
      </c>
      <c r="F2304" t="s">
        <v>14</v>
      </c>
      <c r="G2304" t="s">
        <v>51</v>
      </c>
      <c r="H2304" t="s">
        <v>16</v>
      </c>
      <c r="I2304">
        <v>0</v>
      </c>
      <c r="J2304">
        <v>0</v>
      </c>
      <c r="K2304">
        <v>0</v>
      </c>
    </row>
    <row r="2305" spans="1:11" x14ac:dyDescent="0.25">
      <c r="A2305" t="s">
        <v>2345</v>
      </c>
      <c r="B2305" s="1">
        <v>45831.448750000003</v>
      </c>
      <c r="C2305" s="2" t="s">
        <v>26</v>
      </c>
      <c r="D2305" t="s">
        <v>23</v>
      </c>
      <c r="E2305">
        <v>764</v>
      </c>
      <c r="F2305" t="s">
        <v>14</v>
      </c>
      <c r="G2305" t="s">
        <v>27</v>
      </c>
      <c r="H2305" t="s">
        <v>16</v>
      </c>
      <c r="I2305">
        <v>0</v>
      </c>
      <c r="J2305">
        <v>0</v>
      </c>
      <c r="K2305">
        <v>0</v>
      </c>
    </row>
    <row r="2306" spans="1:11" x14ac:dyDescent="0.25">
      <c r="A2306" t="s">
        <v>2346</v>
      </c>
      <c r="B2306" s="1">
        <v>46101.344409722224</v>
      </c>
      <c r="C2306" s="2" t="s">
        <v>41</v>
      </c>
      <c r="D2306" t="s">
        <v>13</v>
      </c>
      <c r="E2306">
        <v>24500</v>
      </c>
      <c r="F2306" t="s">
        <v>14</v>
      </c>
      <c r="G2306" t="s">
        <v>34</v>
      </c>
      <c r="H2306" t="s">
        <v>16</v>
      </c>
      <c r="I2306">
        <v>453.25</v>
      </c>
      <c r="J2306">
        <v>181.3</v>
      </c>
      <c r="K2306">
        <v>271.95</v>
      </c>
    </row>
    <row r="2307" spans="1:11" x14ac:dyDescent="0.25">
      <c r="A2307" t="s">
        <v>2347</v>
      </c>
      <c r="B2307" s="1">
        <v>45970.080208333333</v>
      </c>
      <c r="C2307" s="2" t="s">
        <v>32</v>
      </c>
      <c r="D2307" t="s">
        <v>23</v>
      </c>
      <c r="E2307">
        <v>360</v>
      </c>
      <c r="F2307" t="s">
        <v>14</v>
      </c>
      <c r="G2307" t="s">
        <v>20</v>
      </c>
      <c r="H2307" t="s">
        <v>16</v>
      </c>
      <c r="I2307">
        <v>0</v>
      </c>
      <c r="J2307">
        <v>0</v>
      </c>
      <c r="K2307">
        <v>0</v>
      </c>
    </row>
    <row r="2308" spans="1:11" x14ac:dyDescent="0.25">
      <c r="A2308" t="s">
        <v>2348</v>
      </c>
      <c r="B2308" s="1">
        <v>46004.465648148151</v>
      </c>
      <c r="C2308" s="2" t="s">
        <v>18</v>
      </c>
      <c r="D2308" t="s">
        <v>19</v>
      </c>
      <c r="E2308">
        <v>75386</v>
      </c>
      <c r="F2308" t="s">
        <v>50</v>
      </c>
      <c r="G2308" t="s">
        <v>34</v>
      </c>
      <c r="H2308" t="s">
        <v>16</v>
      </c>
      <c r="I2308">
        <v>5</v>
      </c>
      <c r="J2308">
        <v>0</v>
      </c>
      <c r="K2308">
        <v>5</v>
      </c>
    </row>
    <row r="2309" spans="1:11" x14ac:dyDescent="0.25">
      <c r="A2309" t="s">
        <v>2349</v>
      </c>
      <c r="B2309" s="1">
        <v>46024.224606481483</v>
      </c>
      <c r="C2309" s="2" t="s">
        <v>41</v>
      </c>
      <c r="D2309" t="s">
        <v>13</v>
      </c>
      <c r="E2309">
        <v>190500</v>
      </c>
      <c r="F2309" t="s">
        <v>14</v>
      </c>
      <c r="G2309" t="s">
        <v>51</v>
      </c>
      <c r="H2309" t="s">
        <v>16</v>
      </c>
      <c r="I2309">
        <v>3524.25</v>
      </c>
      <c r="J2309">
        <v>1409.7</v>
      </c>
      <c r="K2309">
        <v>2114.5500000000002</v>
      </c>
    </row>
    <row r="2310" spans="1:11" x14ac:dyDescent="0.25">
      <c r="A2310" t="s">
        <v>2350</v>
      </c>
      <c r="B2310" s="1">
        <v>45922.051261574074</v>
      </c>
      <c r="C2310" s="2" t="s">
        <v>22</v>
      </c>
      <c r="D2310" t="s">
        <v>13</v>
      </c>
      <c r="E2310">
        <v>39500</v>
      </c>
      <c r="F2310" t="s">
        <v>14</v>
      </c>
      <c r="G2310" t="s">
        <v>84</v>
      </c>
      <c r="H2310" t="s">
        <v>16</v>
      </c>
      <c r="I2310">
        <v>730.75</v>
      </c>
      <c r="J2310">
        <v>292.3</v>
      </c>
      <c r="K2310">
        <v>438.45</v>
      </c>
    </row>
    <row r="2311" spans="1:11" x14ac:dyDescent="0.25">
      <c r="A2311" t="s">
        <v>2351</v>
      </c>
      <c r="B2311" s="1">
        <v>45846.391111111108</v>
      </c>
      <c r="C2311" s="2" t="s">
        <v>39</v>
      </c>
      <c r="D2311" t="s">
        <v>13</v>
      </c>
      <c r="E2311">
        <v>56500</v>
      </c>
      <c r="F2311" t="s">
        <v>14</v>
      </c>
      <c r="G2311" t="s">
        <v>24</v>
      </c>
      <c r="H2311" t="s">
        <v>16</v>
      </c>
      <c r="I2311">
        <v>1045.25</v>
      </c>
      <c r="J2311">
        <v>418.1</v>
      </c>
      <c r="K2311">
        <v>627.15</v>
      </c>
    </row>
    <row r="2312" spans="1:11" x14ac:dyDescent="0.25">
      <c r="A2312" t="s">
        <v>2352</v>
      </c>
      <c r="B2312" s="1">
        <v>45852.379467592589</v>
      </c>
      <c r="C2312" s="2" t="s">
        <v>18</v>
      </c>
      <c r="D2312" t="s">
        <v>19</v>
      </c>
      <c r="E2312">
        <v>149711</v>
      </c>
      <c r="F2312" t="s">
        <v>14</v>
      </c>
      <c r="G2312" t="s">
        <v>27</v>
      </c>
      <c r="H2312" t="s">
        <v>16</v>
      </c>
      <c r="I2312">
        <v>5</v>
      </c>
      <c r="J2312">
        <v>0</v>
      </c>
      <c r="K2312">
        <v>5</v>
      </c>
    </row>
    <row r="2313" spans="1:11" x14ac:dyDescent="0.25">
      <c r="A2313" t="s">
        <v>2353</v>
      </c>
      <c r="B2313" s="1">
        <v>45818.809074074074</v>
      </c>
      <c r="C2313" s="2" t="s">
        <v>29</v>
      </c>
      <c r="D2313" t="s">
        <v>33</v>
      </c>
      <c r="E2313">
        <v>147544</v>
      </c>
      <c r="F2313" t="s">
        <v>14</v>
      </c>
      <c r="G2313" t="s">
        <v>30</v>
      </c>
      <c r="H2313" t="s">
        <v>16</v>
      </c>
      <c r="I2313">
        <v>0</v>
      </c>
      <c r="J2313">
        <v>0</v>
      </c>
      <c r="K2313">
        <v>0</v>
      </c>
    </row>
    <row r="2314" spans="1:11" x14ac:dyDescent="0.25">
      <c r="A2314" t="s">
        <v>2354</v>
      </c>
      <c r="B2314" s="1">
        <v>46063.203680555554</v>
      </c>
      <c r="C2314" s="2" t="s">
        <v>41</v>
      </c>
      <c r="D2314" t="s">
        <v>23</v>
      </c>
      <c r="E2314">
        <v>3712</v>
      </c>
      <c r="F2314" t="s">
        <v>14</v>
      </c>
      <c r="G2314" t="s">
        <v>51</v>
      </c>
      <c r="H2314" t="s">
        <v>16</v>
      </c>
      <c r="I2314">
        <v>0</v>
      </c>
      <c r="J2314">
        <v>0</v>
      </c>
      <c r="K2314">
        <v>0</v>
      </c>
    </row>
    <row r="2315" spans="1:11" x14ac:dyDescent="0.25">
      <c r="A2315" t="s">
        <v>2355</v>
      </c>
      <c r="B2315" s="1">
        <v>46005.297060185185</v>
      </c>
      <c r="C2315" s="2" t="s">
        <v>32</v>
      </c>
      <c r="D2315" t="s">
        <v>13</v>
      </c>
      <c r="E2315">
        <v>38000</v>
      </c>
      <c r="F2315" t="s">
        <v>14</v>
      </c>
      <c r="G2315" t="s">
        <v>20</v>
      </c>
      <c r="H2315" t="s">
        <v>16</v>
      </c>
      <c r="I2315">
        <v>703</v>
      </c>
      <c r="J2315">
        <v>281.2</v>
      </c>
      <c r="K2315">
        <v>421.8</v>
      </c>
    </row>
    <row r="2316" spans="1:11" x14ac:dyDescent="0.25">
      <c r="A2316" t="s">
        <v>2356</v>
      </c>
      <c r="B2316" s="1">
        <v>45778.965752314813</v>
      </c>
      <c r="C2316" s="2" t="s">
        <v>18</v>
      </c>
      <c r="D2316" t="s">
        <v>45</v>
      </c>
      <c r="E2316">
        <v>102165</v>
      </c>
      <c r="F2316" t="s">
        <v>14</v>
      </c>
      <c r="G2316" t="s">
        <v>24</v>
      </c>
      <c r="H2316" t="s">
        <v>59</v>
      </c>
      <c r="I2316">
        <v>1021.65</v>
      </c>
      <c r="J2316">
        <v>0</v>
      </c>
      <c r="K2316">
        <v>1021.65</v>
      </c>
    </row>
    <row r="2317" spans="1:11" x14ac:dyDescent="0.25">
      <c r="A2317" t="s">
        <v>2357</v>
      </c>
      <c r="B2317" s="1">
        <v>45814.142013888886</v>
      </c>
      <c r="C2317" s="2" t="s">
        <v>18</v>
      </c>
      <c r="D2317" t="s">
        <v>33</v>
      </c>
      <c r="E2317">
        <v>40344</v>
      </c>
      <c r="F2317" t="s">
        <v>50</v>
      </c>
      <c r="G2317" t="s">
        <v>20</v>
      </c>
      <c r="H2317" t="s">
        <v>16</v>
      </c>
      <c r="I2317">
        <v>0</v>
      </c>
      <c r="J2317">
        <v>0</v>
      </c>
      <c r="K2317">
        <v>0</v>
      </c>
    </row>
    <row r="2318" spans="1:11" x14ac:dyDescent="0.25">
      <c r="A2318" t="s">
        <v>2358</v>
      </c>
      <c r="B2318" s="1">
        <v>45817.407175925924</v>
      </c>
      <c r="C2318" s="2" t="s">
        <v>12</v>
      </c>
      <c r="D2318" t="s">
        <v>33</v>
      </c>
      <c r="E2318">
        <v>37254</v>
      </c>
      <c r="F2318" t="s">
        <v>14</v>
      </c>
      <c r="G2318" t="s">
        <v>51</v>
      </c>
      <c r="H2318" t="s">
        <v>16</v>
      </c>
      <c r="I2318">
        <v>0</v>
      </c>
      <c r="J2318">
        <v>0</v>
      </c>
      <c r="K2318">
        <v>0</v>
      </c>
    </row>
    <row r="2319" spans="1:11" x14ac:dyDescent="0.25">
      <c r="A2319" t="s">
        <v>2359</v>
      </c>
      <c r="B2319" s="1">
        <v>45957.414421296293</v>
      </c>
      <c r="C2319" s="2" t="s">
        <v>12</v>
      </c>
      <c r="D2319" t="s">
        <v>19</v>
      </c>
      <c r="E2319">
        <v>45866</v>
      </c>
      <c r="F2319" t="s">
        <v>50</v>
      </c>
      <c r="G2319" t="s">
        <v>20</v>
      </c>
      <c r="H2319" t="s">
        <v>16</v>
      </c>
      <c r="I2319">
        <v>5</v>
      </c>
      <c r="J2319">
        <v>0</v>
      </c>
      <c r="K2319">
        <v>5</v>
      </c>
    </row>
    <row r="2320" spans="1:11" x14ac:dyDescent="0.25">
      <c r="A2320" t="s">
        <v>2360</v>
      </c>
      <c r="B2320" s="1">
        <v>46108.884247685186</v>
      </c>
      <c r="C2320" s="2" t="s">
        <v>22</v>
      </c>
      <c r="D2320" t="s">
        <v>13</v>
      </c>
      <c r="E2320">
        <v>138000</v>
      </c>
      <c r="F2320" t="s">
        <v>14</v>
      </c>
      <c r="G2320" t="s">
        <v>27</v>
      </c>
      <c r="H2320" t="s">
        <v>16</v>
      </c>
      <c r="I2320">
        <v>2553</v>
      </c>
      <c r="J2320">
        <v>1021.2</v>
      </c>
      <c r="K2320">
        <v>1531.8</v>
      </c>
    </row>
    <row r="2321" spans="1:11" x14ac:dyDescent="0.25">
      <c r="A2321" t="s">
        <v>2361</v>
      </c>
      <c r="B2321" s="1">
        <v>46007.919930555552</v>
      </c>
      <c r="C2321" s="2" t="s">
        <v>39</v>
      </c>
      <c r="D2321" t="s">
        <v>23</v>
      </c>
      <c r="E2321">
        <v>983</v>
      </c>
      <c r="F2321" t="s">
        <v>14</v>
      </c>
      <c r="G2321" t="s">
        <v>27</v>
      </c>
      <c r="H2321" t="s">
        <v>16</v>
      </c>
      <c r="I2321">
        <v>0</v>
      </c>
      <c r="J2321">
        <v>0</v>
      </c>
      <c r="K2321">
        <v>0</v>
      </c>
    </row>
    <row r="2322" spans="1:11" x14ac:dyDescent="0.25">
      <c r="A2322" t="s">
        <v>2362</v>
      </c>
      <c r="B2322" s="1">
        <v>46115.02039351852</v>
      </c>
      <c r="C2322" s="2" t="s">
        <v>12</v>
      </c>
      <c r="D2322" t="s">
        <v>13</v>
      </c>
      <c r="E2322">
        <v>52500</v>
      </c>
      <c r="F2322" t="s">
        <v>50</v>
      </c>
      <c r="G2322" t="s">
        <v>51</v>
      </c>
      <c r="H2322" t="s">
        <v>16</v>
      </c>
      <c r="I2322">
        <v>971.25</v>
      </c>
      <c r="J2322">
        <v>388.5</v>
      </c>
      <c r="K2322">
        <v>582.75</v>
      </c>
    </row>
    <row r="2323" spans="1:11" x14ac:dyDescent="0.25">
      <c r="A2323" t="s">
        <v>2363</v>
      </c>
      <c r="B2323" s="1">
        <v>46085.348599537036</v>
      </c>
      <c r="C2323" s="2" t="s">
        <v>41</v>
      </c>
      <c r="D2323" t="s">
        <v>23</v>
      </c>
      <c r="E2323">
        <v>1034</v>
      </c>
      <c r="F2323" t="s">
        <v>14</v>
      </c>
      <c r="G2323" t="s">
        <v>15</v>
      </c>
      <c r="H2323" t="s">
        <v>16</v>
      </c>
      <c r="I2323">
        <v>0</v>
      </c>
      <c r="J2323">
        <v>0</v>
      </c>
      <c r="K2323">
        <v>0</v>
      </c>
    </row>
    <row r="2324" spans="1:11" x14ac:dyDescent="0.25">
      <c r="A2324" t="s">
        <v>2364</v>
      </c>
      <c r="B2324" s="1">
        <v>45824.631736111114</v>
      </c>
      <c r="C2324" s="2" t="s">
        <v>12</v>
      </c>
      <c r="D2324" t="s">
        <v>33</v>
      </c>
      <c r="E2324">
        <v>17040</v>
      </c>
      <c r="F2324" t="s">
        <v>14</v>
      </c>
      <c r="G2324" t="s">
        <v>34</v>
      </c>
      <c r="H2324" t="s">
        <v>16</v>
      </c>
      <c r="I2324">
        <v>0</v>
      </c>
      <c r="J2324">
        <v>0</v>
      </c>
      <c r="K2324">
        <v>0</v>
      </c>
    </row>
    <row r="2325" spans="1:11" x14ac:dyDescent="0.25">
      <c r="A2325" t="s">
        <v>2365</v>
      </c>
      <c r="B2325" s="1">
        <v>46115.716273148151</v>
      </c>
      <c r="C2325" s="2" t="s">
        <v>32</v>
      </c>
      <c r="D2325" t="s">
        <v>23</v>
      </c>
      <c r="E2325">
        <v>1841</v>
      </c>
      <c r="F2325" t="s">
        <v>50</v>
      </c>
      <c r="G2325" t="s">
        <v>27</v>
      </c>
      <c r="H2325" t="s">
        <v>16</v>
      </c>
      <c r="I2325">
        <v>0</v>
      </c>
      <c r="J2325">
        <v>0</v>
      </c>
      <c r="K2325">
        <v>0</v>
      </c>
    </row>
    <row r="2326" spans="1:11" x14ac:dyDescent="0.25">
      <c r="A2326" t="s">
        <v>2366</v>
      </c>
      <c r="B2326" s="1">
        <v>45843.320347222223</v>
      </c>
      <c r="C2326" s="2" t="s">
        <v>26</v>
      </c>
      <c r="D2326" t="s">
        <v>19</v>
      </c>
      <c r="E2326">
        <v>75088</v>
      </c>
      <c r="F2326" t="s">
        <v>14</v>
      </c>
      <c r="G2326" t="s">
        <v>15</v>
      </c>
      <c r="H2326" t="s">
        <v>16</v>
      </c>
      <c r="I2326">
        <v>5</v>
      </c>
      <c r="J2326">
        <v>0</v>
      </c>
      <c r="K2326">
        <v>5</v>
      </c>
    </row>
    <row r="2327" spans="1:11" x14ac:dyDescent="0.25">
      <c r="A2327" t="s">
        <v>2367</v>
      </c>
      <c r="B2327" s="1">
        <v>46020.043935185182</v>
      </c>
      <c r="C2327" s="2" t="s">
        <v>12</v>
      </c>
      <c r="D2327" t="s">
        <v>45</v>
      </c>
      <c r="E2327">
        <v>78024</v>
      </c>
      <c r="F2327" t="s">
        <v>50</v>
      </c>
      <c r="G2327" t="s">
        <v>20</v>
      </c>
      <c r="H2327" t="s">
        <v>56</v>
      </c>
      <c r="I2327">
        <v>780.24</v>
      </c>
      <c r="J2327">
        <v>0</v>
      </c>
      <c r="K2327">
        <v>780.24</v>
      </c>
    </row>
    <row r="2328" spans="1:11" x14ac:dyDescent="0.25">
      <c r="A2328" t="s">
        <v>2368</v>
      </c>
      <c r="B2328" s="1">
        <v>46130.093182870369</v>
      </c>
      <c r="C2328" s="2" t="s">
        <v>39</v>
      </c>
      <c r="D2328" t="s">
        <v>13</v>
      </c>
      <c r="E2328">
        <v>229000</v>
      </c>
      <c r="F2328" t="s">
        <v>99</v>
      </c>
      <c r="G2328" t="s">
        <v>34</v>
      </c>
      <c r="H2328" t="s">
        <v>16</v>
      </c>
      <c r="I2328">
        <v>4236.5</v>
      </c>
      <c r="J2328">
        <v>1694.6</v>
      </c>
      <c r="K2328">
        <v>2541.9</v>
      </c>
    </row>
    <row r="2329" spans="1:11" x14ac:dyDescent="0.25">
      <c r="A2329" t="s">
        <v>2369</v>
      </c>
      <c r="B2329" s="1">
        <v>46028.248831018522</v>
      </c>
      <c r="C2329" s="2" t="s">
        <v>41</v>
      </c>
      <c r="D2329" t="s">
        <v>19</v>
      </c>
      <c r="E2329">
        <v>1393</v>
      </c>
      <c r="F2329" t="s">
        <v>14</v>
      </c>
      <c r="G2329" t="s">
        <v>34</v>
      </c>
      <c r="H2329" t="s">
        <v>16</v>
      </c>
      <c r="I2329">
        <v>5</v>
      </c>
      <c r="J2329">
        <v>0</v>
      </c>
      <c r="K2329">
        <v>5</v>
      </c>
    </row>
    <row r="2330" spans="1:11" x14ac:dyDescent="0.25">
      <c r="A2330" t="s">
        <v>2370</v>
      </c>
      <c r="B2330" s="1">
        <v>45979.534814814811</v>
      </c>
      <c r="C2330" s="2" t="s">
        <v>18</v>
      </c>
      <c r="D2330" t="s">
        <v>23</v>
      </c>
      <c r="E2330">
        <v>3998</v>
      </c>
      <c r="F2330" t="s">
        <v>14</v>
      </c>
      <c r="G2330" t="s">
        <v>34</v>
      </c>
      <c r="H2330" t="s">
        <v>16</v>
      </c>
      <c r="I2330">
        <v>0</v>
      </c>
      <c r="J2330">
        <v>0</v>
      </c>
      <c r="K2330">
        <v>0</v>
      </c>
    </row>
    <row r="2331" spans="1:11" x14ac:dyDescent="0.25">
      <c r="A2331" t="s">
        <v>2371</v>
      </c>
      <c r="B2331" s="1">
        <v>46012.282858796294</v>
      </c>
      <c r="C2331" s="2" t="s">
        <v>41</v>
      </c>
      <c r="D2331" t="s">
        <v>45</v>
      </c>
      <c r="E2331">
        <v>26141</v>
      </c>
      <c r="F2331" t="s">
        <v>14</v>
      </c>
      <c r="G2331" t="s">
        <v>34</v>
      </c>
      <c r="H2331" t="s">
        <v>46</v>
      </c>
      <c r="I2331">
        <v>261.41000000000003</v>
      </c>
      <c r="J2331">
        <v>0</v>
      </c>
      <c r="K2331">
        <v>261.41000000000003</v>
      </c>
    </row>
    <row r="2332" spans="1:11" x14ac:dyDescent="0.25">
      <c r="A2332" t="s">
        <v>2372</v>
      </c>
      <c r="B2332" s="1">
        <v>45931.273564814815</v>
      </c>
      <c r="C2332" s="2" t="s">
        <v>32</v>
      </c>
      <c r="D2332" t="s">
        <v>23</v>
      </c>
      <c r="E2332">
        <v>3150</v>
      </c>
      <c r="F2332" t="s">
        <v>14</v>
      </c>
      <c r="G2332" t="s">
        <v>27</v>
      </c>
      <c r="H2332" t="s">
        <v>16</v>
      </c>
      <c r="I2332">
        <v>0</v>
      </c>
      <c r="J2332">
        <v>0</v>
      </c>
      <c r="K2332">
        <v>0</v>
      </c>
    </row>
    <row r="2333" spans="1:11" x14ac:dyDescent="0.25">
      <c r="A2333" t="s">
        <v>2373</v>
      </c>
      <c r="B2333" s="1">
        <v>45818.838206018518</v>
      </c>
      <c r="C2333" s="2" t="s">
        <v>41</v>
      </c>
      <c r="D2333" t="s">
        <v>19</v>
      </c>
      <c r="E2333">
        <v>122452</v>
      </c>
      <c r="F2333" t="s">
        <v>14</v>
      </c>
      <c r="G2333" t="s">
        <v>20</v>
      </c>
      <c r="H2333" t="s">
        <v>16</v>
      </c>
      <c r="I2333">
        <v>5</v>
      </c>
      <c r="J2333">
        <v>0</v>
      </c>
      <c r="K2333">
        <v>5</v>
      </c>
    </row>
    <row r="2334" spans="1:11" x14ac:dyDescent="0.25">
      <c r="A2334" t="s">
        <v>2374</v>
      </c>
      <c r="B2334" s="1">
        <v>46047.412627314814</v>
      </c>
      <c r="C2334" s="2" t="s">
        <v>18</v>
      </c>
      <c r="D2334" t="s">
        <v>45</v>
      </c>
      <c r="E2334">
        <v>2066</v>
      </c>
      <c r="F2334" t="s">
        <v>14</v>
      </c>
      <c r="G2334" t="s">
        <v>58</v>
      </c>
      <c r="H2334" t="s">
        <v>71</v>
      </c>
      <c r="I2334">
        <v>20.66</v>
      </c>
      <c r="J2334">
        <v>0</v>
      </c>
      <c r="K2334">
        <v>20.66</v>
      </c>
    </row>
    <row r="2335" spans="1:11" x14ac:dyDescent="0.25">
      <c r="A2335" t="s">
        <v>2375</v>
      </c>
      <c r="B2335" s="1">
        <v>45960.724386574075</v>
      </c>
      <c r="C2335" s="2" t="s">
        <v>32</v>
      </c>
      <c r="D2335" t="s">
        <v>19</v>
      </c>
      <c r="E2335">
        <v>120835</v>
      </c>
      <c r="F2335" t="s">
        <v>14</v>
      </c>
      <c r="G2335" t="s">
        <v>20</v>
      </c>
      <c r="H2335" t="s">
        <v>16</v>
      </c>
      <c r="I2335">
        <v>5</v>
      </c>
      <c r="J2335">
        <v>0</v>
      </c>
      <c r="K2335">
        <v>5</v>
      </c>
    </row>
    <row r="2336" spans="1:11" x14ac:dyDescent="0.25">
      <c r="A2336" t="s">
        <v>2376</v>
      </c>
      <c r="B2336" s="1">
        <v>46114.300335648149</v>
      </c>
      <c r="C2336" s="2" t="s">
        <v>39</v>
      </c>
      <c r="D2336" t="s">
        <v>45</v>
      </c>
      <c r="E2336">
        <v>62039</v>
      </c>
      <c r="F2336" t="s">
        <v>14</v>
      </c>
      <c r="G2336" t="s">
        <v>30</v>
      </c>
      <c r="H2336" t="s">
        <v>56</v>
      </c>
      <c r="I2336">
        <v>620.39</v>
      </c>
      <c r="J2336">
        <v>0</v>
      </c>
      <c r="K2336">
        <v>620.39</v>
      </c>
    </row>
    <row r="2337" spans="1:11" x14ac:dyDescent="0.25">
      <c r="A2337" t="s">
        <v>2377</v>
      </c>
      <c r="B2337" s="1">
        <v>45959.226585648146</v>
      </c>
      <c r="C2337" s="2" t="s">
        <v>22</v>
      </c>
      <c r="D2337" t="s">
        <v>45</v>
      </c>
      <c r="E2337">
        <v>52540</v>
      </c>
      <c r="F2337" t="s">
        <v>14</v>
      </c>
      <c r="G2337" t="s">
        <v>58</v>
      </c>
      <c r="H2337" t="s">
        <v>59</v>
      </c>
      <c r="I2337">
        <v>525.4</v>
      </c>
      <c r="J2337">
        <v>0</v>
      </c>
      <c r="K2337">
        <v>525.4</v>
      </c>
    </row>
    <row r="2338" spans="1:11" x14ac:dyDescent="0.25">
      <c r="A2338" t="s">
        <v>2378</v>
      </c>
      <c r="B2338" s="1">
        <v>45970.016539351855</v>
      </c>
      <c r="C2338" s="2" t="s">
        <v>32</v>
      </c>
      <c r="D2338" t="s">
        <v>23</v>
      </c>
      <c r="E2338">
        <v>2446</v>
      </c>
      <c r="F2338" t="s">
        <v>14</v>
      </c>
      <c r="G2338" t="s">
        <v>51</v>
      </c>
      <c r="H2338" t="s">
        <v>16</v>
      </c>
      <c r="I2338">
        <v>0</v>
      </c>
      <c r="J2338">
        <v>0</v>
      </c>
      <c r="K2338">
        <v>0</v>
      </c>
    </row>
    <row r="2339" spans="1:11" x14ac:dyDescent="0.25">
      <c r="A2339" t="s">
        <v>2379</v>
      </c>
      <c r="B2339" s="1">
        <v>46005.948125000003</v>
      </c>
      <c r="C2339" s="2" t="s">
        <v>26</v>
      </c>
      <c r="D2339" t="s">
        <v>33</v>
      </c>
      <c r="E2339">
        <v>109388</v>
      </c>
      <c r="F2339" t="s">
        <v>14</v>
      </c>
      <c r="G2339" t="s">
        <v>20</v>
      </c>
      <c r="H2339" t="s">
        <v>16</v>
      </c>
      <c r="I2339">
        <v>0</v>
      </c>
      <c r="J2339">
        <v>0</v>
      </c>
      <c r="K2339">
        <v>0</v>
      </c>
    </row>
    <row r="2340" spans="1:11" x14ac:dyDescent="0.25">
      <c r="A2340" t="s">
        <v>2380</v>
      </c>
      <c r="B2340" s="1">
        <v>45919.327210648145</v>
      </c>
      <c r="C2340" s="2" t="s">
        <v>18</v>
      </c>
      <c r="D2340" t="s">
        <v>19</v>
      </c>
      <c r="E2340">
        <v>49009</v>
      </c>
      <c r="F2340" t="s">
        <v>14</v>
      </c>
      <c r="G2340" t="s">
        <v>15</v>
      </c>
      <c r="H2340" t="s">
        <v>16</v>
      </c>
      <c r="I2340">
        <v>5</v>
      </c>
      <c r="J2340">
        <v>0</v>
      </c>
      <c r="K2340">
        <v>5</v>
      </c>
    </row>
    <row r="2341" spans="1:11" x14ac:dyDescent="0.25">
      <c r="A2341" t="s">
        <v>2381</v>
      </c>
      <c r="B2341" s="1">
        <v>45812.004826388889</v>
      </c>
      <c r="C2341" s="2" t="s">
        <v>26</v>
      </c>
      <c r="D2341" t="s">
        <v>19</v>
      </c>
      <c r="E2341">
        <v>52356</v>
      </c>
      <c r="F2341" t="s">
        <v>14</v>
      </c>
      <c r="G2341" t="s">
        <v>34</v>
      </c>
      <c r="H2341" t="s">
        <v>16</v>
      </c>
      <c r="I2341">
        <v>5</v>
      </c>
      <c r="J2341">
        <v>0</v>
      </c>
      <c r="K2341">
        <v>5</v>
      </c>
    </row>
    <row r="2342" spans="1:11" x14ac:dyDescent="0.25">
      <c r="A2342" t="s">
        <v>2382</v>
      </c>
      <c r="B2342" s="1">
        <v>45847.835972222223</v>
      </c>
      <c r="C2342" s="2" t="s">
        <v>22</v>
      </c>
      <c r="D2342" t="s">
        <v>19</v>
      </c>
      <c r="E2342">
        <v>141654</v>
      </c>
      <c r="F2342" t="s">
        <v>14</v>
      </c>
      <c r="G2342" t="s">
        <v>15</v>
      </c>
      <c r="H2342" t="s">
        <v>16</v>
      </c>
      <c r="I2342">
        <v>5</v>
      </c>
      <c r="J2342">
        <v>0</v>
      </c>
      <c r="K2342">
        <v>5</v>
      </c>
    </row>
    <row r="2343" spans="1:11" x14ac:dyDescent="0.25">
      <c r="A2343" t="s">
        <v>2383</v>
      </c>
      <c r="B2343" s="1">
        <v>46113.359432870369</v>
      </c>
      <c r="C2343" s="2" t="s">
        <v>26</v>
      </c>
      <c r="D2343" t="s">
        <v>23</v>
      </c>
      <c r="E2343">
        <v>1814</v>
      </c>
      <c r="F2343" t="s">
        <v>14</v>
      </c>
      <c r="G2343" t="s">
        <v>84</v>
      </c>
      <c r="H2343" t="s">
        <v>16</v>
      </c>
      <c r="I2343">
        <v>0</v>
      </c>
      <c r="J2343">
        <v>0</v>
      </c>
      <c r="K2343">
        <v>0</v>
      </c>
    </row>
    <row r="2344" spans="1:11" x14ac:dyDescent="0.25">
      <c r="A2344" t="s">
        <v>2384</v>
      </c>
      <c r="B2344" s="1">
        <v>45995.678541666668</v>
      </c>
      <c r="C2344" s="2" t="s">
        <v>22</v>
      </c>
      <c r="D2344" t="s">
        <v>23</v>
      </c>
      <c r="E2344">
        <v>163</v>
      </c>
      <c r="F2344" t="s">
        <v>14</v>
      </c>
      <c r="G2344" t="s">
        <v>20</v>
      </c>
      <c r="H2344" t="s">
        <v>16</v>
      </c>
      <c r="I2344">
        <v>0</v>
      </c>
      <c r="J2344">
        <v>0</v>
      </c>
      <c r="K2344">
        <v>0</v>
      </c>
    </row>
    <row r="2345" spans="1:11" x14ac:dyDescent="0.25">
      <c r="A2345" t="s">
        <v>2385</v>
      </c>
      <c r="B2345" s="1">
        <v>46083.096759259257</v>
      </c>
      <c r="C2345" s="2" t="s">
        <v>12</v>
      </c>
      <c r="D2345" t="s">
        <v>45</v>
      </c>
      <c r="E2345">
        <v>20136</v>
      </c>
      <c r="F2345" t="s">
        <v>50</v>
      </c>
      <c r="G2345" t="s">
        <v>27</v>
      </c>
      <c r="H2345" t="s">
        <v>46</v>
      </c>
      <c r="I2345">
        <v>201.36</v>
      </c>
      <c r="J2345">
        <v>0</v>
      </c>
      <c r="K2345">
        <v>201.36</v>
      </c>
    </row>
    <row r="2346" spans="1:11" x14ac:dyDescent="0.25">
      <c r="A2346" t="s">
        <v>2386</v>
      </c>
      <c r="B2346" s="1">
        <v>45952.914340277777</v>
      </c>
      <c r="C2346" s="2" t="s">
        <v>41</v>
      </c>
      <c r="D2346" t="s">
        <v>19</v>
      </c>
      <c r="E2346">
        <v>121880</v>
      </c>
      <c r="F2346" t="s">
        <v>50</v>
      </c>
      <c r="G2346" t="s">
        <v>34</v>
      </c>
      <c r="H2346" t="s">
        <v>16</v>
      </c>
      <c r="I2346">
        <v>5</v>
      </c>
      <c r="J2346">
        <v>0</v>
      </c>
      <c r="K2346">
        <v>5</v>
      </c>
    </row>
    <row r="2347" spans="1:11" x14ac:dyDescent="0.25">
      <c r="A2347" t="s">
        <v>2387</v>
      </c>
      <c r="B2347" s="1">
        <v>46140.376354166663</v>
      </c>
      <c r="C2347" s="2" t="s">
        <v>18</v>
      </c>
      <c r="D2347" t="s">
        <v>13</v>
      </c>
      <c r="E2347">
        <v>158000</v>
      </c>
      <c r="F2347" t="s">
        <v>50</v>
      </c>
      <c r="G2347" t="s">
        <v>27</v>
      </c>
      <c r="H2347" t="s">
        <v>16</v>
      </c>
      <c r="I2347">
        <v>2923</v>
      </c>
      <c r="J2347">
        <v>1169.2</v>
      </c>
      <c r="K2347">
        <v>1753.8</v>
      </c>
    </row>
    <row r="2348" spans="1:11" x14ac:dyDescent="0.25">
      <c r="A2348" t="s">
        <v>2388</v>
      </c>
      <c r="B2348" s="1">
        <v>46017.304988425924</v>
      </c>
      <c r="C2348" s="2" t="s">
        <v>12</v>
      </c>
      <c r="D2348" t="s">
        <v>19</v>
      </c>
      <c r="E2348">
        <v>142697</v>
      </c>
      <c r="F2348" t="s">
        <v>50</v>
      </c>
      <c r="G2348" t="s">
        <v>34</v>
      </c>
      <c r="H2348" t="s">
        <v>16</v>
      </c>
      <c r="I2348">
        <v>5</v>
      </c>
      <c r="J2348">
        <v>0</v>
      </c>
      <c r="K2348">
        <v>5</v>
      </c>
    </row>
    <row r="2349" spans="1:11" x14ac:dyDescent="0.25">
      <c r="A2349" t="s">
        <v>2389</v>
      </c>
      <c r="B2349" s="1">
        <v>46101.917997685188</v>
      </c>
      <c r="C2349" s="2" t="s">
        <v>41</v>
      </c>
      <c r="D2349" t="s">
        <v>19</v>
      </c>
      <c r="E2349">
        <v>92437</v>
      </c>
      <c r="F2349" t="s">
        <v>50</v>
      </c>
      <c r="G2349" t="s">
        <v>27</v>
      </c>
      <c r="H2349" t="s">
        <v>16</v>
      </c>
      <c r="I2349">
        <v>5</v>
      </c>
      <c r="J2349">
        <v>0</v>
      </c>
      <c r="K2349">
        <v>5</v>
      </c>
    </row>
    <row r="2350" spans="1:11" x14ac:dyDescent="0.25">
      <c r="A2350" t="s">
        <v>2390</v>
      </c>
      <c r="B2350" s="1">
        <v>46089.553611111114</v>
      </c>
      <c r="C2350" s="2" t="s">
        <v>39</v>
      </c>
      <c r="D2350" t="s">
        <v>33</v>
      </c>
      <c r="E2350">
        <v>92725</v>
      </c>
      <c r="F2350" t="s">
        <v>14</v>
      </c>
      <c r="G2350" t="s">
        <v>15</v>
      </c>
      <c r="H2350" t="s">
        <v>16</v>
      </c>
      <c r="I2350">
        <v>0</v>
      </c>
      <c r="J2350">
        <v>0</v>
      </c>
      <c r="K2350">
        <v>0</v>
      </c>
    </row>
    <row r="2351" spans="1:11" x14ac:dyDescent="0.25">
      <c r="A2351" t="s">
        <v>2391</v>
      </c>
      <c r="B2351" s="1">
        <v>45948.413055555553</v>
      </c>
      <c r="C2351" s="2" t="s">
        <v>26</v>
      </c>
      <c r="D2351" t="s">
        <v>33</v>
      </c>
      <c r="E2351">
        <v>149543</v>
      </c>
      <c r="F2351" t="s">
        <v>14</v>
      </c>
      <c r="G2351" t="s">
        <v>15</v>
      </c>
      <c r="H2351" t="s">
        <v>16</v>
      </c>
      <c r="I2351">
        <v>0</v>
      </c>
      <c r="J2351">
        <v>0</v>
      </c>
      <c r="K2351">
        <v>0</v>
      </c>
    </row>
    <row r="2352" spans="1:11" x14ac:dyDescent="0.25">
      <c r="A2352" t="s">
        <v>2392</v>
      </c>
      <c r="B2352" s="1">
        <v>45791.392650462964</v>
      </c>
      <c r="C2352" s="2" t="s">
        <v>18</v>
      </c>
      <c r="D2352" t="s">
        <v>45</v>
      </c>
      <c r="E2352">
        <v>108822</v>
      </c>
      <c r="F2352" t="s">
        <v>14</v>
      </c>
      <c r="G2352" t="s">
        <v>84</v>
      </c>
      <c r="H2352" t="s">
        <v>178</v>
      </c>
      <c r="I2352">
        <v>1088.22</v>
      </c>
      <c r="J2352">
        <v>0</v>
      </c>
      <c r="K2352">
        <v>1088.22</v>
      </c>
    </row>
    <row r="2353" spans="1:11" x14ac:dyDescent="0.25">
      <c r="A2353" t="s">
        <v>2393</v>
      </c>
      <c r="B2353" s="1">
        <v>45837.610810185186</v>
      </c>
      <c r="C2353" s="2" t="s">
        <v>39</v>
      </c>
      <c r="D2353" t="s">
        <v>45</v>
      </c>
      <c r="E2353">
        <v>4247</v>
      </c>
      <c r="F2353" t="s">
        <v>99</v>
      </c>
      <c r="G2353" t="s">
        <v>24</v>
      </c>
      <c r="H2353" t="s">
        <v>46</v>
      </c>
      <c r="I2353">
        <v>42.47</v>
      </c>
      <c r="J2353">
        <v>0</v>
      </c>
      <c r="K2353">
        <v>42.47</v>
      </c>
    </row>
    <row r="2354" spans="1:11" x14ac:dyDescent="0.25">
      <c r="A2354" t="s">
        <v>2394</v>
      </c>
      <c r="B2354" s="1">
        <v>46023.580578703702</v>
      </c>
      <c r="C2354" s="2" t="s">
        <v>12</v>
      </c>
      <c r="D2354" t="s">
        <v>13</v>
      </c>
      <c r="E2354">
        <v>188500</v>
      </c>
      <c r="F2354" t="s">
        <v>14</v>
      </c>
      <c r="G2354" t="s">
        <v>84</v>
      </c>
      <c r="H2354" t="s">
        <v>16</v>
      </c>
      <c r="I2354">
        <v>3487.25</v>
      </c>
      <c r="J2354">
        <v>1394.9</v>
      </c>
      <c r="K2354">
        <v>2092.35</v>
      </c>
    </row>
    <row r="2355" spans="1:11" x14ac:dyDescent="0.25">
      <c r="A2355" t="s">
        <v>2395</v>
      </c>
      <c r="B2355" s="1">
        <v>45932.170011574075</v>
      </c>
      <c r="C2355" s="2" t="s">
        <v>29</v>
      </c>
      <c r="D2355" t="s">
        <v>23</v>
      </c>
      <c r="E2355">
        <v>641</v>
      </c>
      <c r="F2355" t="s">
        <v>14</v>
      </c>
      <c r="G2355" t="s">
        <v>34</v>
      </c>
      <c r="H2355" t="s">
        <v>16</v>
      </c>
      <c r="I2355">
        <v>0</v>
      </c>
      <c r="J2355">
        <v>0</v>
      </c>
      <c r="K2355">
        <v>0</v>
      </c>
    </row>
    <row r="2356" spans="1:11" x14ac:dyDescent="0.25">
      <c r="A2356" t="s">
        <v>2396</v>
      </c>
      <c r="B2356" s="1">
        <v>45925.041712962964</v>
      </c>
      <c r="C2356" s="2" t="s">
        <v>26</v>
      </c>
      <c r="D2356" t="s">
        <v>19</v>
      </c>
      <c r="E2356">
        <v>6305</v>
      </c>
      <c r="F2356" t="s">
        <v>14</v>
      </c>
      <c r="G2356" t="s">
        <v>30</v>
      </c>
      <c r="H2356" t="s">
        <v>16</v>
      </c>
      <c r="I2356">
        <v>5</v>
      </c>
      <c r="J2356">
        <v>0</v>
      </c>
      <c r="K2356">
        <v>5</v>
      </c>
    </row>
    <row r="2357" spans="1:11" x14ac:dyDescent="0.25">
      <c r="A2357" t="s">
        <v>2397</v>
      </c>
      <c r="B2357" s="1">
        <v>46052.514803240738</v>
      </c>
      <c r="C2357" s="2" t="s">
        <v>32</v>
      </c>
      <c r="D2357" t="s">
        <v>33</v>
      </c>
      <c r="E2357">
        <v>144165</v>
      </c>
      <c r="F2357" t="s">
        <v>14</v>
      </c>
      <c r="G2357" t="s">
        <v>34</v>
      </c>
      <c r="H2357" t="s">
        <v>16</v>
      </c>
      <c r="I2357">
        <v>0</v>
      </c>
      <c r="J2357">
        <v>0</v>
      </c>
      <c r="K2357">
        <v>0</v>
      </c>
    </row>
    <row r="2358" spans="1:11" x14ac:dyDescent="0.25">
      <c r="A2358" t="s">
        <v>2398</v>
      </c>
      <c r="B2358" s="1">
        <v>45937.108969907407</v>
      </c>
      <c r="C2358" s="2" t="s">
        <v>12</v>
      </c>
      <c r="D2358" t="s">
        <v>45</v>
      </c>
      <c r="E2358">
        <v>15530</v>
      </c>
      <c r="F2358" t="s">
        <v>14</v>
      </c>
      <c r="G2358" t="s">
        <v>20</v>
      </c>
      <c r="H2358" t="s">
        <v>46</v>
      </c>
      <c r="I2358">
        <v>155.30000000000001</v>
      </c>
      <c r="J2358">
        <v>0</v>
      </c>
      <c r="K2358">
        <v>155.30000000000001</v>
      </c>
    </row>
    <row r="2359" spans="1:11" x14ac:dyDescent="0.25">
      <c r="A2359" t="s">
        <v>2399</v>
      </c>
      <c r="B2359" s="1">
        <v>45871.655011574076</v>
      </c>
      <c r="C2359" s="2" t="s">
        <v>12</v>
      </c>
      <c r="D2359" t="s">
        <v>13</v>
      </c>
      <c r="E2359">
        <v>154500</v>
      </c>
      <c r="F2359" t="s">
        <v>14</v>
      </c>
      <c r="G2359" t="s">
        <v>15</v>
      </c>
      <c r="H2359" t="s">
        <v>16</v>
      </c>
      <c r="I2359">
        <v>2858.25</v>
      </c>
      <c r="J2359">
        <v>1143.3</v>
      </c>
      <c r="K2359">
        <v>1714.95</v>
      </c>
    </row>
    <row r="2360" spans="1:11" x14ac:dyDescent="0.25">
      <c r="A2360" t="s">
        <v>2400</v>
      </c>
      <c r="B2360" s="1">
        <v>46091.066041666665</v>
      </c>
      <c r="C2360" s="2" t="s">
        <v>29</v>
      </c>
      <c r="D2360" t="s">
        <v>33</v>
      </c>
      <c r="E2360">
        <v>75751</v>
      </c>
      <c r="F2360" t="s">
        <v>14</v>
      </c>
      <c r="G2360" t="s">
        <v>51</v>
      </c>
      <c r="H2360" t="s">
        <v>16</v>
      </c>
      <c r="I2360">
        <v>0</v>
      </c>
      <c r="J2360">
        <v>0</v>
      </c>
      <c r="K2360">
        <v>0</v>
      </c>
    </row>
    <row r="2361" spans="1:11" x14ac:dyDescent="0.25">
      <c r="A2361" t="s">
        <v>2401</v>
      </c>
      <c r="B2361" s="1">
        <v>46024.490543981483</v>
      </c>
      <c r="C2361" s="2" t="s">
        <v>41</v>
      </c>
      <c r="D2361" t="s">
        <v>45</v>
      </c>
      <c r="E2361">
        <v>110972</v>
      </c>
      <c r="F2361" t="s">
        <v>14</v>
      </c>
      <c r="G2361" t="s">
        <v>58</v>
      </c>
      <c r="H2361" t="s">
        <v>46</v>
      </c>
      <c r="I2361">
        <v>1109.72</v>
      </c>
      <c r="J2361">
        <v>0</v>
      </c>
      <c r="K2361">
        <v>1109.72</v>
      </c>
    </row>
    <row r="2362" spans="1:11" x14ac:dyDescent="0.25">
      <c r="A2362" t="s">
        <v>2402</v>
      </c>
      <c r="B2362" s="1">
        <v>45969.338946759257</v>
      </c>
      <c r="C2362" s="2" t="s">
        <v>22</v>
      </c>
      <c r="D2362" t="s">
        <v>13</v>
      </c>
      <c r="E2362">
        <v>96500</v>
      </c>
      <c r="F2362" t="s">
        <v>14</v>
      </c>
      <c r="G2362" t="s">
        <v>34</v>
      </c>
      <c r="H2362" t="s">
        <v>16</v>
      </c>
      <c r="I2362">
        <v>1785.25</v>
      </c>
      <c r="J2362">
        <v>714.1</v>
      </c>
      <c r="K2362">
        <v>1071.1500000000001</v>
      </c>
    </row>
    <row r="2363" spans="1:11" x14ac:dyDescent="0.25">
      <c r="A2363" t="s">
        <v>2403</v>
      </c>
      <c r="B2363" s="1">
        <v>46091.692060185182</v>
      </c>
      <c r="C2363" s="2" t="s">
        <v>22</v>
      </c>
      <c r="D2363" t="s">
        <v>45</v>
      </c>
      <c r="E2363">
        <v>129110</v>
      </c>
      <c r="F2363" t="s">
        <v>14</v>
      </c>
      <c r="G2363" t="s">
        <v>27</v>
      </c>
      <c r="H2363" t="s">
        <v>178</v>
      </c>
      <c r="I2363">
        <v>1291.0999999999999</v>
      </c>
      <c r="J2363">
        <v>0</v>
      </c>
      <c r="K2363">
        <v>1291.0999999999999</v>
      </c>
    </row>
    <row r="2364" spans="1:11" x14ac:dyDescent="0.25">
      <c r="A2364" t="s">
        <v>2404</v>
      </c>
      <c r="B2364" s="1">
        <v>46064.291631944441</v>
      </c>
      <c r="C2364" s="2" t="s">
        <v>29</v>
      </c>
      <c r="D2364" t="s">
        <v>23</v>
      </c>
      <c r="E2364">
        <v>2638</v>
      </c>
      <c r="F2364" t="s">
        <v>14</v>
      </c>
      <c r="G2364" t="s">
        <v>30</v>
      </c>
      <c r="H2364" t="s">
        <v>16</v>
      </c>
      <c r="I2364">
        <v>0</v>
      </c>
      <c r="J2364">
        <v>0</v>
      </c>
      <c r="K2364">
        <v>0</v>
      </c>
    </row>
    <row r="2365" spans="1:11" x14ac:dyDescent="0.25">
      <c r="A2365" t="s">
        <v>2405</v>
      </c>
      <c r="B2365" s="1">
        <v>46091.436064814814</v>
      </c>
      <c r="C2365" s="2" t="s">
        <v>39</v>
      </c>
      <c r="D2365" t="s">
        <v>33</v>
      </c>
      <c r="E2365">
        <v>11956</v>
      </c>
      <c r="F2365" t="s">
        <v>50</v>
      </c>
      <c r="G2365" t="s">
        <v>84</v>
      </c>
      <c r="H2365" t="s">
        <v>16</v>
      </c>
      <c r="I2365">
        <v>0</v>
      </c>
      <c r="J2365">
        <v>0</v>
      </c>
      <c r="K2365">
        <v>0</v>
      </c>
    </row>
    <row r="2366" spans="1:11" x14ac:dyDescent="0.25">
      <c r="A2366" t="s">
        <v>2406</v>
      </c>
      <c r="B2366" s="1">
        <v>46005.46435185185</v>
      </c>
      <c r="C2366" s="2" t="s">
        <v>22</v>
      </c>
      <c r="D2366" t="s">
        <v>23</v>
      </c>
      <c r="E2366">
        <v>3257</v>
      </c>
      <c r="F2366" t="s">
        <v>14</v>
      </c>
      <c r="G2366" t="s">
        <v>51</v>
      </c>
      <c r="H2366" t="s">
        <v>16</v>
      </c>
      <c r="I2366">
        <v>0</v>
      </c>
      <c r="J2366">
        <v>0</v>
      </c>
      <c r="K2366">
        <v>0</v>
      </c>
    </row>
    <row r="2367" spans="1:11" x14ac:dyDescent="0.25">
      <c r="A2367" t="s">
        <v>2407</v>
      </c>
      <c r="B2367" s="1">
        <v>45931.611724537041</v>
      </c>
      <c r="C2367" s="2" t="s">
        <v>22</v>
      </c>
      <c r="D2367" t="s">
        <v>45</v>
      </c>
      <c r="E2367">
        <v>81797</v>
      </c>
      <c r="F2367" t="s">
        <v>14</v>
      </c>
      <c r="G2367" t="s">
        <v>15</v>
      </c>
      <c r="H2367" t="s">
        <v>178</v>
      </c>
      <c r="I2367">
        <v>817.97</v>
      </c>
      <c r="J2367">
        <v>0</v>
      </c>
      <c r="K2367">
        <v>817.97</v>
      </c>
    </row>
    <row r="2368" spans="1:11" x14ac:dyDescent="0.25">
      <c r="A2368" t="s">
        <v>2408</v>
      </c>
      <c r="B2368" s="1">
        <v>45832.460648148146</v>
      </c>
      <c r="C2368" s="2" t="s">
        <v>18</v>
      </c>
      <c r="D2368" t="s">
        <v>19</v>
      </c>
      <c r="E2368">
        <v>120197</v>
      </c>
      <c r="F2368" t="s">
        <v>14</v>
      </c>
      <c r="G2368" t="s">
        <v>34</v>
      </c>
      <c r="H2368" t="s">
        <v>16</v>
      </c>
      <c r="I2368">
        <v>5</v>
      </c>
      <c r="J2368">
        <v>0</v>
      </c>
      <c r="K2368">
        <v>5</v>
      </c>
    </row>
    <row r="2369" spans="1:11" x14ac:dyDescent="0.25">
      <c r="A2369" t="s">
        <v>2409</v>
      </c>
      <c r="B2369" s="1">
        <v>45824.676319444443</v>
      </c>
      <c r="C2369" s="2" t="s">
        <v>41</v>
      </c>
      <c r="D2369" t="s">
        <v>23</v>
      </c>
      <c r="E2369">
        <v>4872</v>
      </c>
      <c r="F2369" t="s">
        <v>14</v>
      </c>
      <c r="G2369" t="s">
        <v>20</v>
      </c>
      <c r="H2369" t="s">
        <v>16</v>
      </c>
      <c r="I2369">
        <v>0</v>
      </c>
      <c r="J2369">
        <v>0</v>
      </c>
      <c r="K2369">
        <v>0</v>
      </c>
    </row>
    <row r="2370" spans="1:11" x14ac:dyDescent="0.25">
      <c r="A2370" t="s">
        <v>2410</v>
      </c>
      <c r="B2370" s="1">
        <v>45853.363888888889</v>
      </c>
      <c r="C2370" s="2" t="s">
        <v>32</v>
      </c>
      <c r="D2370" t="s">
        <v>23</v>
      </c>
      <c r="E2370">
        <v>4482</v>
      </c>
      <c r="F2370" t="s">
        <v>14</v>
      </c>
      <c r="G2370" t="s">
        <v>15</v>
      </c>
      <c r="H2370" t="s">
        <v>16</v>
      </c>
      <c r="I2370">
        <v>0</v>
      </c>
      <c r="J2370">
        <v>0</v>
      </c>
      <c r="K2370">
        <v>0</v>
      </c>
    </row>
    <row r="2371" spans="1:11" x14ac:dyDescent="0.25">
      <c r="A2371" t="s">
        <v>2411</v>
      </c>
      <c r="B2371" s="1">
        <v>46013.750740740739</v>
      </c>
      <c r="C2371" s="2" t="s">
        <v>18</v>
      </c>
      <c r="D2371" t="s">
        <v>45</v>
      </c>
      <c r="E2371">
        <v>23504</v>
      </c>
      <c r="F2371" t="s">
        <v>14</v>
      </c>
      <c r="G2371" t="s">
        <v>34</v>
      </c>
      <c r="H2371" t="s">
        <v>71</v>
      </c>
      <c r="I2371">
        <v>235.04</v>
      </c>
      <c r="J2371">
        <v>0</v>
      </c>
      <c r="K2371">
        <v>235.04</v>
      </c>
    </row>
    <row r="2372" spans="1:11" x14ac:dyDescent="0.25">
      <c r="A2372" t="s">
        <v>2412</v>
      </c>
      <c r="B2372" s="1">
        <v>45867.633368055554</v>
      </c>
      <c r="C2372" s="2" t="s">
        <v>18</v>
      </c>
      <c r="D2372" t="s">
        <v>19</v>
      </c>
      <c r="E2372">
        <v>106159</v>
      </c>
      <c r="F2372" t="s">
        <v>14</v>
      </c>
      <c r="G2372" t="s">
        <v>51</v>
      </c>
      <c r="H2372" t="s">
        <v>16</v>
      </c>
      <c r="I2372">
        <v>5</v>
      </c>
      <c r="J2372">
        <v>0</v>
      </c>
      <c r="K2372">
        <v>5</v>
      </c>
    </row>
    <row r="2373" spans="1:11" x14ac:dyDescent="0.25">
      <c r="A2373" t="s">
        <v>2413</v>
      </c>
      <c r="B2373" s="1">
        <v>45855.582337962966</v>
      </c>
      <c r="C2373" s="2" t="s">
        <v>32</v>
      </c>
      <c r="D2373" t="s">
        <v>45</v>
      </c>
      <c r="E2373">
        <v>31877</v>
      </c>
      <c r="F2373" t="s">
        <v>14</v>
      </c>
      <c r="G2373" t="s">
        <v>20</v>
      </c>
      <c r="H2373" t="s">
        <v>56</v>
      </c>
      <c r="I2373">
        <v>318.77</v>
      </c>
      <c r="J2373">
        <v>0</v>
      </c>
      <c r="K2373">
        <v>318.77</v>
      </c>
    </row>
    <row r="2374" spans="1:11" x14ac:dyDescent="0.25">
      <c r="A2374" t="s">
        <v>2414</v>
      </c>
      <c r="B2374" s="1">
        <v>45847.545613425929</v>
      </c>
      <c r="C2374" s="2" t="s">
        <v>39</v>
      </c>
      <c r="D2374" t="s">
        <v>33</v>
      </c>
      <c r="E2374">
        <v>94853</v>
      </c>
      <c r="F2374" t="s">
        <v>50</v>
      </c>
      <c r="G2374" t="s">
        <v>51</v>
      </c>
      <c r="H2374" t="s">
        <v>16</v>
      </c>
      <c r="I2374">
        <v>0</v>
      </c>
      <c r="J2374">
        <v>0</v>
      </c>
      <c r="K2374">
        <v>0</v>
      </c>
    </row>
    <row r="2375" spans="1:11" x14ac:dyDescent="0.25">
      <c r="A2375" t="s">
        <v>2415</v>
      </c>
      <c r="B2375" s="1">
        <v>45892.333124999997</v>
      </c>
      <c r="C2375" s="2" t="s">
        <v>29</v>
      </c>
      <c r="D2375" t="s">
        <v>23</v>
      </c>
      <c r="E2375">
        <v>3529</v>
      </c>
      <c r="F2375" t="s">
        <v>50</v>
      </c>
      <c r="G2375" t="s">
        <v>34</v>
      </c>
      <c r="H2375" t="s">
        <v>16</v>
      </c>
      <c r="I2375">
        <v>0</v>
      </c>
      <c r="J2375">
        <v>0</v>
      </c>
      <c r="K2375">
        <v>0</v>
      </c>
    </row>
    <row r="2376" spans="1:11" x14ac:dyDescent="0.25">
      <c r="A2376" t="s">
        <v>2416</v>
      </c>
      <c r="B2376" s="1">
        <v>45983.795856481483</v>
      </c>
      <c r="C2376" s="2" t="s">
        <v>12</v>
      </c>
      <c r="D2376" t="s">
        <v>45</v>
      </c>
      <c r="E2376">
        <v>106147</v>
      </c>
      <c r="F2376" t="s">
        <v>99</v>
      </c>
      <c r="G2376" t="s">
        <v>51</v>
      </c>
      <c r="H2376" t="s">
        <v>46</v>
      </c>
      <c r="I2376">
        <v>1061.47</v>
      </c>
      <c r="J2376">
        <v>0</v>
      </c>
      <c r="K2376">
        <v>1061.47</v>
      </c>
    </row>
    <row r="2377" spans="1:11" x14ac:dyDescent="0.25">
      <c r="A2377" t="s">
        <v>2417</v>
      </c>
      <c r="B2377" s="1">
        <v>45894.442384259259</v>
      </c>
      <c r="C2377" s="2" t="s">
        <v>26</v>
      </c>
      <c r="D2377" t="s">
        <v>23</v>
      </c>
      <c r="E2377">
        <v>1331</v>
      </c>
      <c r="F2377" t="s">
        <v>14</v>
      </c>
      <c r="G2377" t="s">
        <v>20</v>
      </c>
      <c r="H2377" t="s">
        <v>16</v>
      </c>
      <c r="I2377">
        <v>0</v>
      </c>
      <c r="J2377">
        <v>0</v>
      </c>
      <c r="K2377">
        <v>0</v>
      </c>
    </row>
    <row r="2378" spans="1:11" x14ac:dyDescent="0.25">
      <c r="A2378" t="s">
        <v>2418</v>
      </c>
      <c r="B2378" s="1">
        <v>46084.374027777776</v>
      </c>
      <c r="C2378" s="2" t="s">
        <v>41</v>
      </c>
      <c r="D2378" t="s">
        <v>13</v>
      </c>
      <c r="E2378">
        <v>144000</v>
      </c>
      <c r="F2378" t="s">
        <v>50</v>
      </c>
      <c r="G2378" t="s">
        <v>15</v>
      </c>
      <c r="H2378" t="s">
        <v>16</v>
      </c>
      <c r="I2378">
        <v>2664</v>
      </c>
      <c r="J2378">
        <v>1065.5999999999999</v>
      </c>
      <c r="K2378">
        <v>1598.4</v>
      </c>
    </row>
    <row r="2379" spans="1:11" x14ac:dyDescent="0.25">
      <c r="A2379" t="s">
        <v>2419</v>
      </c>
      <c r="B2379" s="1">
        <v>46029.920520833337</v>
      </c>
      <c r="C2379" s="2" t="s">
        <v>39</v>
      </c>
      <c r="D2379" t="s">
        <v>33</v>
      </c>
      <c r="E2379">
        <v>40150</v>
      </c>
      <c r="F2379" t="s">
        <v>50</v>
      </c>
      <c r="G2379" t="s">
        <v>34</v>
      </c>
      <c r="H2379" t="s">
        <v>16</v>
      </c>
      <c r="I2379">
        <v>0</v>
      </c>
      <c r="J2379">
        <v>0</v>
      </c>
      <c r="K2379">
        <v>0</v>
      </c>
    </row>
    <row r="2380" spans="1:11" x14ac:dyDescent="0.25">
      <c r="A2380" t="s">
        <v>2420</v>
      </c>
      <c r="B2380" s="1">
        <v>45948.543761574074</v>
      </c>
      <c r="C2380" s="2" t="s">
        <v>22</v>
      </c>
      <c r="D2380" t="s">
        <v>33</v>
      </c>
      <c r="E2380">
        <v>47399</v>
      </c>
      <c r="F2380" t="s">
        <v>99</v>
      </c>
      <c r="G2380" t="s">
        <v>58</v>
      </c>
      <c r="H2380" t="s">
        <v>16</v>
      </c>
      <c r="I2380">
        <v>0</v>
      </c>
      <c r="J2380">
        <v>0</v>
      </c>
      <c r="K2380">
        <v>0</v>
      </c>
    </row>
    <row r="2381" spans="1:11" x14ac:dyDescent="0.25">
      <c r="A2381" t="s">
        <v>2421</v>
      </c>
      <c r="B2381" s="1">
        <v>45911.204699074071</v>
      </c>
      <c r="C2381" s="2" t="s">
        <v>12</v>
      </c>
      <c r="D2381" t="s">
        <v>45</v>
      </c>
      <c r="E2381">
        <v>48727</v>
      </c>
      <c r="F2381" t="s">
        <v>99</v>
      </c>
      <c r="G2381" t="s">
        <v>84</v>
      </c>
      <c r="H2381" t="s">
        <v>178</v>
      </c>
      <c r="I2381">
        <v>487.27</v>
      </c>
      <c r="J2381">
        <v>0</v>
      </c>
      <c r="K2381">
        <v>487.27</v>
      </c>
    </row>
    <row r="2382" spans="1:11" x14ac:dyDescent="0.25">
      <c r="A2382" t="s">
        <v>2422</v>
      </c>
      <c r="B2382" s="1">
        <v>45985.617384259262</v>
      </c>
      <c r="C2382" s="2" t="s">
        <v>32</v>
      </c>
      <c r="D2382" t="s">
        <v>23</v>
      </c>
      <c r="E2382">
        <v>2092</v>
      </c>
      <c r="F2382" t="s">
        <v>14</v>
      </c>
      <c r="G2382" t="s">
        <v>84</v>
      </c>
      <c r="H2382" t="s">
        <v>16</v>
      </c>
      <c r="I2382">
        <v>0</v>
      </c>
      <c r="J2382">
        <v>0</v>
      </c>
      <c r="K2382">
        <v>0</v>
      </c>
    </row>
    <row r="2383" spans="1:11" x14ac:dyDescent="0.25">
      <c r="A2383" t="s">
        <v>2423</v>
      </c>
      <c r="B2383" s="1">
        <v>45948.122662037036</v>
      </c>
      <c r="C2383" s="2" t="s">
        <v>22</v>
      </c>
      <c r="D2383" t="s">
        <v>45</v>
      </c>
      <c r="E2383">
        <v>106640</v>
      </c>
      <c r="F2383" t="s">
        <v>14</v>
      </c>
      <c r="G2383" t="s">
        <v>84</v>
      </c>
      <c r="H2383" t="s">
        <v>71</v>
      </c>
      <c r="I2383">
        <v>1066.4000000000001</v>
      </c>
      <c r="J2383">
        <v>0</v>
      </c>
      <c r="K2383">
        <v>1066.4000000000001</v>
      </c>
    </row>
    <row r="2384" spans="1:11" x14ac:dyDescent="0.25">
      <c r="A2384" t="s">
        <v>2424</v>
      </c>
      <c r="B2384" s="1">
        <v>45822.150810185187</v>
      </c>
      <c r="C2384" s="2" t="s">
        <v>41</v>
      </c>
      <c r="D2384" t="s">
        <v>19</v>
      </c>
      <c r="E2384">
        <v>10015</v>
      </c>
      <c r="F2384" t="s">
        <v>50</v>
      </c>
      <c r="G2384" t="s">
        <v>84</v>
      </c>
      <c r="H2384" t="s">
        <v>16</v>
      </c>
      <c r="I2384">
        <v>5</v>
      </c>
      <c r="J2384">
        <v>0</v>
      </c>
      <c r="K2384">
        <v>5</v>
      </c>
    </row>
    <row r="2385" spans="1:11" x14ac:dyDescent="0.25">
      <c r="A2385" t="s">
        <v>2425</v>
      </c>
      <c r="B2385" s="1">
        <v>45792.449363425927</v>
      </c>
      <c r="C2385" s="2" t="s">
        <v>32</v>
      </c>
      <c r="D2385" t="s">
        <v>23</v>
      </c>
      <c r="E2385">
        <v>3835</v>
      </c>
      <c r="F2385" t="s">
        <v>14</v>
      </c>
      <c r="G2385" t="s">
        <v>58</v>
      </c>
      <c r="H2385" t="s">
        <v>16</v>
      </c>
      <c r="I2385">
        <v>0</v>
      </c>
      <c r="J2385">
        <v>0</v>
      </c>
      <c r="K2385">
        <v>0</v>
      </c>
    </row>
    <row r="2386" spans="1:11" x14ac:dyDescent="0.25">
      <c r="A2386" t="s">
        <v>2426</v>
      </c>
      <c r="B2386" s="1">
        <v>46100.250092592592</v>
      </c>
      <c r="C2386" s="2" t="s">
        <v>41</v>
      </c>
      <c r="D2386" t="s">
        <v>33</v>
      </c>
      <c r="E2386">
        <v>17911</v>
      </c>
      <c r="F2386" t="s">
        <v>14</v>
      </c>
      <c r="G2386" t="s">
        <v>20</v>
      </c>
      <c r="H2386" t="s">
        <v>16</v>
      </c>
      <c r="I2386">
        <v>0</v>
      </c>
      <c r="J2386">
        <v>0</v>
      </c>
      <c r="K2386">
        <v>0</v>
      </c>
    </row>
    <row r="2387" spans="1:11" x14ac:dyDescent="0.25">
      <c r="A2387" t="s">
        <v>2427</v>
      </c>
      <c r="B2387" s="1">
        <v>45900.540416666663</v>
      </c>
      <c r="C2387" s="2" t="s">
        <v>29</v>
      </c>
      <c r="D2387" t="s">
        <v>33</v>
      </c>
      <c r="E2387">
        <v>41053</v>
      </c>
      <c r="F2387" t="s">
        <v>14</v>
      </c>
      <c r="G2387" t="s">
        <v>34</v>
      </c>
      <c r="H2387" t="s">
        <v>16</v>
      </c>
      <c r="I2387">
        <v>0</v>
      </c>
      <c r="J2387">
        <v>0</v>
      </c>
      <c r="K2387">
        <v>0</v>
      </c>
    </row>
    <row r="2388" spans="1:11" x14ac:dyDescent="0.25">
      <c r="A2388" t="s">
        <v>2428</v>
      </c>
      <c r="B2388" s="1">
        <v>46122.78261574074</v>
      </c>
      <c r="C2388" s="2" t="s">
        <v>22</v>
      </c>
      <c r="D2388" t="s">
        <v>19</v>
      </c>
      <c r="E2388">
        <v>134855</v>
      </c>
      <c r="F2388" t="s">
        <v>14</v>
      </c>
      <c r="G2388" t="s">
        <v>51</v>
      </c>
      <c r="H2388" t="s">
        <v>16</v>
      </c>
      <c r="I2388">
        <v>5</v>
      </c>
      <c r="J2388">
        <v>0</v>
      </c>
      <c r="K2388">
        <v>5</v>
      </c>
    </row>
    <row r="2389" spans="1:11" x14ac:dyDescent="0.25">
      <c r="A2389" t="s">
        <v>2429</v>
      </c>
      <c r="B2389" s="1">
        <v>46074.886932870373</v>
      </c>
      <c r="C2389" s="2" t="s">
        <v>41</v>
      </c>
      <c r="D2389" t="s">
        <v>23</v>
      </c>
      <c r="E2389">
        <v>4929</v>
      </c>
      <c r="F2389" t="s">
        <v>14</v>
      </c>
      <c r="G2389" t="s">
        <v>58</v>
      </c>
      <c r="H2389" t="s">
        <v>16</v>
      </c>
      <c r="I2389">
        <v>0</v>
      </c>
      <c r="J2389">
        <v>0</v>
      </c>
      <c r="K2389">
        <v>0</v>
      </c>
    </row>
    <row r="2390" spans="1:11" x14ac:dyDescent="0.25">
      <c r="A2390" t="s">
        <v>2430</v>
      </c>
      <c r="B2390" s="1">
        <v>45879.742546296293</v>
      </c>
      <c r="C2390" s="2" t="s">
        <v>39</v>
      </c>
      <c r="D2390" t="s">
        <v>33</v>
      </c>
      <c r="E2390">
        <v>10640</v>
      </c>
      <c r="F2390" t="s">
        <v>50</v>
      </c>
      <c r="G2390" t="s">
        <v>84</v>
      </c>
      <c r="H2390" t="s">
        <v>16</v>
      </c>
      <c r="I2390">
        <v>0</v>
      </c>
      <c r="J2390">
        <v>0</v>
      </c>
      <c r="K2390">
        <v>0</v>
      </c>
    </row>
    <row r="2391" spans="1:11" x14ac:dyDescent="0.25">
      <c r="A2391" t="s">
        <v>2431</v>
      </c>
      <c r="B2391" s="1">
        <v>46108.783333333333</v>
      </c>
      <c r="C2391" s="2" t="s">
        <v>41</v>
      </c>
      <c r="D2391" t="s">
        <v>45</v>
      </c>
      <c r="E2391">
        <v>38633</v>
      </c>
      <c r="F2391" t="s">
        <v>14</v>
      </c>
      <c r="G2391" t="s">
        <v>84</v>
      </c>
      <c r="H2391" t="s">
        <v>71</v>
      </c>
      <c r="I2391">
        <v>386.33</v>
      </c>
      <c r="J2391">
        <v>0</v>
      </c>
      <c r="K2391">
        <v>386.33</v>
      </c>
    </row>
    <row r="2392" spans="1:11" x14ac:dyDescent="0.25">
      <c r="A2392" t="s">
        <v>2432</v>
      </c>
      <c r="B2392" s="1">
        <v>45786.700868055559</v>
      </c>
      <c r="C2392" s="2" t="s">
        <v>32</v>
      </c>
      <c r="D2392" t="s">
        <v>13</v>
      </c>
      <c r="E2392">
        <v>37500</v>
      </c>
      <c r="F2392" t="s">
        <v>14</v>
      </c>
      <c r="G2392" t="s">
        <v>58</v>
      </c>
      <c r="H2392" t="s">
        <v>16</v>
      </c>
      <c r="I2392">
        <v>693.75</v>
      </c>
      <c r="J2392">
        <v>277.5</v>
      </c>
      <c r="K2392">
        <v>416.25</v>
      </c>
    </row>
    <row r="2393" spans="1:11" x14ac:dyDescent="0.25">
      <c r="A2393" t="s">
        <v>2433</v>
      </c>
      <c r="B2393" s="1">
        <v>46075.30541666667</v>
      </c>
      <c r="C2393" s="2" t="s">
        <v>12</v>
      </c>
      <c r="D2393" t="s">
        <v>23</v>
      </c>
      <c r="E2393">
        <v>1782</v>
      </c>
      <c r="F2393" t="s">
        <v>14</v>
      </c>
      <c r="G2393" t="s">
        <v>30</v>
      </c>
      <c r="H2393" t="s">
        <v>16</v>
      </c>
      <c r="I2393">
        <v>0</v>
      </c>
      <c r="J2393">
        <v>0</v>
      </c>
      <c r="K2393">
        <v>0</v>
      </c>
    </row>
    <row r="2394" spans="1:11" x14ac:dyDescent="0.25">
      <c r="A2394" t="s">
        <v>2434</v>
      </c>
      <c r="B2394" s="1">
        <v>45778.31832175926</v>
      </c>
      <c r="C2394" s="2" t="s">
        <v>26</v>
      </c>
      <c r="D2394" t="s">
        <v>33</v>
      </c>
      <c r="E2394">
        <v>91726</v>
      </c>
      <c r="F2394" t="s">
        <v>14</v>
      </c>
      <c r="G2394" t="s">
        <v>15</v>
      </c>
      <c r="H2394" t="s">
        <v>16</v>
      </c>
      <c r="I2394">
        <v>0</v>
      </c>
      <c r="J2394">
        <v>0</v>
      </c>
      <c r="K2394">
        <v>0</v>
      </c>
    </row>
    <row r="2395" spans="1:11" x14ac:dyDescent="0.25">
      <c r="A2395" t="s">
        <v>2435</v>
      </c>
      <c r="B2395" s="1">
        <v>45921.521296296298</v>
      </c>
      <c r="C2395" s="2" t="s">
        <v>12</v>
      </c>
      <c r="D2395" t="s">
        <v>19</v>
      </c>
      <c r="E2395">
        <v>37476</v>
      </c>
      <c r="F2395" t="s">
        <v>14</v>
      </c>
      <c r="G2395" t="s">
        <v>51</v>
      </c>
      <c r="H2395" t="s">
        <v>16</v>
      </c>
      <c r="I2395">
        <v>5</v>
      </c>
      <c r="J2395">
        <v>0</v>
      </c>
      <c r="K2395">
        <v>5</v>
      </c>
    </row>
    <row r="2396" spans="1:11" x14ac:dyDescent="0.25">
      <c r="A2396" t="s">
        <v>2436</v>
      </c>
      <c r="B2396" s="1">
        <v>45980.84747685185</v>
      </c>
      <c r="C2396" s="2" t="s">
        <v>12</v>
      </c>
      <c r="D2396" t="s">
        <v>19</v>
      </c>
      <c r="E2396">
        <v>9100</v>
      </c>
      <c r="F2396" t="s">
        <v>14</v>
      </c>
      <c r="G2396" t="s">
        <v>27</v>
      </c>
      <c r="H2396" t="s">
        <v>16</v>
      </c>
      <c r="I2396">
        <v>5</v>
      </c>
      <c r="J2396">
        <v>0</v>
      </c>
      <c r="K2396">
        <v>5</v>
      </c>
    </row>
    <row r="2397" spans="1:11" x14ac:dyDescent="0.25">
      <c r="A2397" t="s">
        <v>2437</v>
      </c>
      <c r="B2397" s="1">
        <v>45907.359467592592</v>
      </c>
      <c r="C2397" s="2" t="s">
        <v>18</v>
      </c>
      <c r="D2397" t="s">
        <v>33</v>
      </c>
      <c r="E2397">
        <v>125645</v>
      </c>
      <c r="F2397" t="s">
        <v>14</v>
      </c>
      <c r="G2397" t="s">
        <v>27</v>
      </c>
      <c r="H2397" t="s">
        <v>16</v>
      </c>
      <c r="I2397">
        <v>0</v>
      </c>
      <c r="J2397">
        <v>0</v>
      </c>
      <c r="K2397">
        <v>0</v>
      </c>
    </row>
    <row r="2398" spans="1:11" x14ac:dyDescent="0.25">
      <c r="A2398" t="s">
        <v>2438</v>
      </c>
      <c r="B2398" s="1">
        <v>45973.099976851852</v>
      </c>
      <c r="C2398" s="2" t="s">
        <v>26</v>
      </c>
      <c r="D2398" t="s">
        <v>45</v>
      </c>
      <c r="E2398">
        <v>28783</v>
      </c>
      <c r="F2398" t="s">
        <v>14</v>
      </c>
      <c r="G2398" t="s">
        <v>30</v>
      </c>
      <c r="H2398" t="s">
        <v>56</v>
      </c>
      <c r="I2398">
        <v>287.83</v>
      </c>
      <c r="J2398">
        <v>0</v>
      </c>
      <c r="K2398">
        <v>287.83</v>
      </c>
    </row>
    <row r="2399" spans="1:11" x14ac:dyDescent="0.25">
      <c r="A2399" t="s">
        <v>2439</v>
      </c>
      <c r="B2399" s="1">
        <v>45871.32440972222</v>
      </c>
      <c r="C2399" s="2" t="s">
        <v>26</v>
      </c>
      <c r="D2399" t="s">
        <v>19</v>
      </c>
      <c r="E2399">
        <v>10586</v>
      </c>
      <c r="F2399" t="s">
        <v>14</v>
      </c>
      <c r="G2399" t="s">
        <v>51</v>
      </c>
      <c r="H2399" t="s">
        <v>16</v>
      </c>
      <c r="I2399">
        <v>5</v>
      </c>
      <c r="J2399">
        <v>0</v>
      </c>
      <c r="K2399">
        <v>5</v>
      </c>
    </row>
    <row r="2400" spans="1:11" x14ac:dyDescent="0.25">
      <c r="A2400" t="s">
        <v>2440</v>
      </c>
      <c r="B2400" s="1">
        <v>46022.060312499998</v>
      </c>
      <c r="C2400" s="2" t="s">
        <v>26</v>
      </c>
      <c r="D2400" t="s">
        <v>19</v>
      </c>
      <c r="E2400">
        <v>35929</v>
      </c>
      <c r="F2400" t="s">
        <v>14</v>
      </c>
      <c r="G2400" t="s">
        <v>15</v>
      </c>
      <c r="H2400" t="s">
        <v>16</v>
      </c>
      <c r="I2400">
        <v>5</v>
      </c>
      <c r="J2400">
        <v>0</v>
      </c>
      <c r="K2400">
        <v>5</v>
      </c>
    </row>
    <row r="2401" spans="1:11" x14ac:dyDescent="0.25">
      <c r="A2401" t="s">
        <v>2441</v>
      </c>
      <c r="B2401" s="1">
        <v>46130.020474537036</v>
      </c>
      <c r="C2401" s="2" t="s">
        <v>39</v>
      </c>
      <c r="D2401" t="s">
        <v>33</v>
      </c>
      <c r="E2401">
        <v>31331</v>
      </c>
      <c r="F2401" t="s">
        <v>14</v>
      </c>
      <c r="G2401" t="s">
        <v>20</v>
      </c>
      <c r="H2401" t="s">
        <v>16</v>
      </c>
      <c r="I2401">
        <v>0</v>
      </c>
      <c r="J2401">
        <v>0</v>
      </c>
      <c r="K2401">
        <v>0</v>
      </c>
    </row>
    <row r="2402" spans="1:11" x14ac:dyDescent="0.25">
      <c r="A2402" t="s">
        <v>2442</v>
      </c>
      <c r="B2402" s="1">
        <v>45844.380208333336</v>
      </c>
      <c r="C2402" s="2" t="s">
        <v>32</v>
      </c>
      <c r="D2402" t="s">
        <v>19</v>
      </c>
      <c r="E2402">
        <v>89789</v>
      </c>
      <c r="F2402" t="s">
        <v>99</v>
      </c>
      <c r="G2402" t="s">
        <v>34</v>
      </c>
      <c r="H2402" t="s">
        <v>16</v>
      </c>
      <c r="I2402">
        <v>5</v>
      </c>
      <c r="J2402">
        <v>0</v>
      </c>
      <c r="K2402">
        <v>5</v>
      </c>
    </row>
    <row r="2403" spans="1:11" x14ac:dyDescent="0.25">
      <c r="A2403" t="s">
        <v>2443</v>
      </c>
      <c r="B2403" s="1">
        <v>46037.672048611108</v>
      </c>
      <c r="C2403" s="2" t="s">
        <v>26</v>
      </c>
      <c r="D2403" t="s">
        <v>19</v>
      </c>
      <c r="E2403">
        <v>63574</v>
      </c>
      <c r="F2403" t="s">
        <v>14</v>
      </c>
      <c r="G2403" t="s">
        <v>20</v>
      </c>
      <c r="H2403" t="s">
        <v>16</v>
      </c>
      <c r="I2403">
        <v>5</v>
      </c>
      <c r="J2403">
        <v>0</v>
      </c>
      <c r="K2403">
        <v>5</v>
      </c>
    </row>
    <row r="2404" spans="1:11" x14ac:dyDescent="0.25">
      <c r="A2404" t="s">
        <v>2444</v>
      </c>
      <c r="B2404" s="1">
        <v>45942.32402777778</v>
      </c>
      <c r="C2404" s="2" t="s">
        <v>32</v>
      </c>
      <c r="D2404" t="s">
        <v>23</v>
      </c>
      <c r="E2404">
        <v>185</v>
      </c>
      <c r="F2404" t="s">
        <v>14</v>
      </c>
      <c r="G2404" t="s">
        <v>34</v>
      </c>
      <c r="H2404" t="s">
        <v>16</v>
      </c>
      <c r="I2404">
        <v>0</v>
      </c>
      <c r="J2404">
        <v>0</v>
      </c>
      <c r="K2404">
        <v>0</v>
      </c>
    </row>
    <row r="2405" spans="1:11" x14ac:dyDescent="0.25">
      <c r="A2405" t="s">
        <v>2445</v>
      </c>
      <c r="B2405" s="1">
        <v>45991.030868055554</v>
      </c>
      <c r="C2405" s="2" t="s">
        <v>41</v>
      </c>
      <c r="D2405" t="s">
        <v>23</v>
      </c>
      <c r="E2405">
        <v>2043</v>
      </c>
      <c r="F2405" t="s">
        <v>14</v>
      </c>
      <c r="G2405" t="s">
        <v>84</v>
      </c>
      <c r="H2405" t="s">
        <v>16</v>
      </c>
      <c r="I2405">
        <v>0</v>
      </c>
      <c r="J2405">
        <v>0</v>
      </c>
      <c r="K2405">
        <v>0</v>
      </c>
    </row>
    <row r="2406" spans="1:11" x14ac:dyDescent="0.25">
      <c r="A2406" t="s">
        <v>2446</v>
      </c>
      <c r="B2406" s="1">
        <v>46060.784918981481</v>
      </c>
      <c r="C2406" s="2" t="s">
        <v>29</v>
      </c>
      <c r="D2406" t="s">
        <v>33</v>
      </c>
      <c r="E2406">
        <v>107015</v>
      </c>
      <c r="F2406" t="s">
        <v>50</v>
      </c>
      <c r="G2406" t="s">
        <v>58</v>
      </c>
      <c r="H2406" t="s">
        <v>16</v>
      </c>
      <c r="I2406">
        <v>0</v>
      </c>
      <c r="J2406">
        <v>0</v>
      </c>
      <c r="K2406">
        <v>0</v>
      </c>
    </row>
    <row r="2407" spans="1:11" x14ac:dyDescent="0.25">
      <c r="A2407" t="s">
        <v>2447</v>
      </c>
      <c r="B2407" s="1">
        <v>45989.620196759257</v>
      </c>
      <c r="C2407" s="2" t="s">
        <v>22</v>
      </c>
      <c r="D2407" t="s">
        <v>19</v>
      </c>
      <c r="E2407">
        <v>15465</v>
      </c>
      <c r="F2407" t="s">
        <v>14</v>
      </c>
      <c r="G2407" t="s">
        <v>58</v>
      </c>
      <c r="H2407" t="s">
        <v>16</v>
      </c>
      <c r="I2407">
        <v>5</v>
      </c>
      <c r="J2407">
        <v>0</v>
      </c>
      <c r="K2407">
        <v>5</v>
      </c>
    </row>
    <row r="2408" spans="1:11" x14ac:dyDescent="0.25">
      <c r="A2408" t="s">
        <v>2448</v>
      </c>
      <c r="B2408" s="1">
        <v>45830.433553240742</v>
      </c>
      <c r="C2408" s="2" t="s">
        <v>29</v>
      </c>
      <c r="D2408" t="s">
        <v>45</v>
      </c>
      <c r="E2408">
        <v>38262</v>
      </c>
      <c r="F2408" t="s">
        <v>14</v>
      </c>
      <c r="G2408" t="s">
        <v>84</v>
      </c>
      <c r="H2408" t="s">
        <v>178</v>
      </c>
      <c r="I2408">
        <v>382.62</v>
      </c>
      <c r="J2408">
        <v>0</v>
      </c>
      <c r="K2408">
        <v>382.62</v>
      </c>
    </row>
    <row r="2409" spans="1:11" x14ac:dyDescent="0.25">
      <c r="A2409" t="s">
        <v>2449</v>
      </c>
      <c r="B2409" s="1">
        <v>45904.300717592596</v>
      </c>
      <c r="C2409" s="2" t="s">
        <v>41</v>
      </c>
      <c r="D2409" t="s">
        <v>23</v>
      </c>
      <c r="E2409">
        <v>4729</v>
      </c>
      <c r="F2409" t="s">
        <v>50</v>
      </c>
      <c r="G2409" t="s">
        <v>20</v>
      </c>
      <c r="H2409" t="s">
        <v>16</v>
      </c>
      <c r="I2409">
        <v>0</v>
      </c>
      <c r="J2409">
        <v>0</v>
      </c>
      <c r="K2409">
        <v>0</v>
      </c>
    </row>
    <row r="2410" spans="1:11" x14ac:dyDescent="0.25">
      <c r="A2410" t="s">
        <v>2450</v>
      </c>
      <c r="B2410" s="1">
        <v>45876.578981481478</v>
      </c>
      <c r="C2410" s="2" t="s">
        <v>26</v>
      </c>
      <c r="D2410" t="s">
        <v>13</v>
      </c>
      <c r="E2410">
        <v>74500</v>
      </c>
      <c r="F2410" t="s">
        <v>14</v>
      </c>
      <c r="G2410" t="s">
        <v>84</v>
      </c>
      <c r="H2410" t="s">
        <v>16</v>
      </c>
      <c r="I2410">
        <v>1378.25</v>
      </c>
      <c r="J2410">
        <v>551.29999999999995</v>
      </c>
      <c r="K2410">
        <v>826.95</v>
      </c>
    </row>
    <row r="2411" spans="1:11" x14ac:dyDescent="0.25">
      <c r="A2411" t="s">
        <v>2451</v>
      </c>
      <c r="B2411" s="1">
        <v>46018.48746527778</v>
      </c>
      <c r="C2411" s="2" t="s">
        <v>39</v>
      </c>
      <c r="D2411" t="s">
        <v>19</v>
      </c>
      <c r="E2411">
        <v>30849</v>
      </c>
      <c r="F2411" t="s">
        <v>14</v>
      </c>
      <c r="G2411" t="s">
        <v>20</v>
      </c>
      <c r="H2411" t="s">
        <v>16</v>
      </c>
      <c r="I2411">
        <v>5</v>
      </c>
      <c r="J2411">
        <v>0</v>
      </c>
      <c r="K2411">
        <v>5</v>
      </c>
    </row>
    <row r="2412" spans="1:11" x14ac:dyDescent="0.25">
      <c r="A2412" t="s">
        <v>2452</v>
      </c>
      <c r="B2412" s="1">
        <v>45963.347337962965</v>
      </c>
      <c r="C2412" s="2" t="s">
        <v>29</v>
      </c>
      <c r="D2412" t="s">
        <v>23</v>
      </c>
      <c r="E2412">
        <v>1505</v>
      </c>
      <c r="F2412" t="s">
        <v>14</v>
      </c>
      <c r="G2412" t="s">
        <v>58</v>
      </c>
      <c r="H2412" t="s">
        <v>16</v>
      </c>
      <c r="I2412">
        <v>0</v>
      </c>
      <c r="J2412">
        <v>0</v>
      </c>
      <c r="K2412">
        <v>0</v>
      </c>
    </row>
    <row r="2413" spans="1:11" x14ac:dyDescent="0.25">
      <c r="A2413" t="s">
        <v>2453</v>
      </c>
      <c r="B2413" s="1">
        <v>45780.310960648145</v>
      </c>
      <c r="C2413" s="2" t="s">
        <v>18</v>
      </c>
      <c r="D2413" t="s">
        <v>45</v>
      </c>
      <c r="E2413">
        <v>41662</v>
      </c>
      <c r="F2413" t="s">
        <v>14</v>
      </c>
      <c r="G2413" t="s">
        <v>24</v>
      </c>
      <c r="H2413" t="s">
        <v>178</v>
      </c>
      <c r="I2413">
        <v>416.62</v>
      </c>
      <c r="J2413">
        <v>0</v>
      </c>
      <c r="K2413">
        <v>416.62</v>
      </c>
    </row>
    <row r="2414" spans="1:11" x14ac:dyDescent="0.25">
      <c r="A2414" t="s">
        <v>2454</v>
      </c>
      <c r="B2414" s="1">
        <v>45866.185312499998</v>
      </c>
      <c r="C2414" s="2" t="s">
        <v>32</v>
      </c>
      <c r="D2414" t="s">
        <v>23</v>
      </c>
      <c r="E2414">
        <v>1966</v>
      </c>
      <c r="F2414" t="s">
        <v>14</v>
      </c>
      <c r="G2414" t="s">
        <v>34</v>
      </c>
      <c r="H2414" t="s">
        <v>16</v>
      </c>
      <c r="I2414">
        <v>0</v>
      </c>
      <c r="J2414">
        <v>0</v>
      </c>
      <c r="K2414">
        <v>0</v>
      </c>
    </row>
    <row r="2415" spans="1:11" x14ac:dyDescent="0.25">
      <c r="A2415" t="s">
        <v>2455</v>
      </c>
      <c r="B2415" s="1">
        <v>46046.325381944444</v>
      </c>
      <c r="C2415" s="2" t="s">
        <v>29</v>
      </c>
      <c r="D2415" t="s">
        <v>33</v>
      </c>
      <c r="E2415">
        <v>96180</v>
      </c>
      <c r="F2415" t="s">
        <v>14</v>
      </c>
      <c r="G2415" t="s">
        <v>51</v>
      </c>
      <c r="H2415" t="s">
        <v>16</v>
      </c>
      <c r="I2415">
        <v>0</v>
      </c>
      <c r="J2415">
        <v>0</v>
      </c>
      <c r="K2415">
        <v>0</v>
      </c>
    </row>
    <row r="2416" spans="1:11" x14ac:dyDescent="0.25">
      <c r="A2416" t="s">
        <v>2456</v>
      </c>
      <c r="B2416" s="1">
        <v>45821.873124999998</v>
      </c>
      <c r="C2416" s="2" t="s">
        <v>32</v>
      </c>
      <c r="D2416" t="s">
        <v>45</v>
      </c>
      <c r="E2416">
        <v>45463</v>
      </c>
      <c r="F2416" t="s">
        <v>14</v>
      </c>
      <c r="G2416" t="s">
        <v>51</v>
      </c>
      <c r="H2416" t="s">
        <v>71</v>
      </c>
      <c r="I2416">
        <v>454.63</v>
      </c>
      <c r="J2416">
        <v>0</v>
      </c>
      <c r="K2416">
        <v>454.63</v>
      </c>
    </row>
    <row r="2417" spans="1:11" x14ac:dyDescent="0.25">
      <c r="A2417" t="s">
        <v>2457</v>
      </c>
      <c r="B2417" s="1">
        <v>46028.12164351852</v>
      </c>
      <c r="C2417" s="2" t="s">
        <v>39</v>
      </c>
      <c r="D2417" t="s">
        <v>23</v>
      </c>
      <c r="E2417">
        <v>1217</v>
      </c>
      <c r="F2417" t="s">
        <v>14</v>
      </c>
      <c r="G2417" t="s">
        <v>58</v>
      </c>
      <c r="H2417" t="s">
        <v>16</v>
      </c>
      <c r="I2417">
        <v>0</v>
      </c>
      <c r="J2417">
        <v>0</v>
      </c>
      <c r="K2417">
        <v>0</v>
      </c>
    </row>
    <row r="2418" spans="1:11" x14ac:dyDescent="0.25">
      <c r="A2418" t="s">
        <v>2458</v>
      </c>
      <c r="B2418" s="1">
        <v>45790.806793981479</v>
      </c>
      <c r="C2418" s="2" t="s">
        <v>29</v>
      </c>
      <c r="D2418" t="s">
        <v>45</v>
      </c>
      <c r="E2418">
        <v>76024</v>
      </c>
      <c r="F2418" t="s">
        <v>14</v>
      </c>
      <c r="G2418" t="s">
        <v>24</v>
      </c>
      <c r="H2418" t="s">
        <v>178</v>
      </c>
      <c r="I2418">
        <v>760.24</v>
      </c>
      <c r="J2418">
        <v>0</v>
      </c>
      <c r="K2418">
        <v>760.24</v>
      </c>
    </row>
    <row r="2419" spans="1:11" x14ac:dyDescent="0.25">
      <c r="A2419" t="s">
        <v>2459</v>
      </c>
      <c r="B2419" s="1">
        <v>46142.225393518522</v>
      </c>
      <c r="C2419" s="2" t="s">
        <v>29</v>
      </c>
      <c r="D2419" t="s">
        <v>19</v>
      </c>
      <c r="E2419">
        <v>111841</v>
      </c>
      <c r="F2419" t="s">
        <v>50</v>
      </c>
      <c r="G2419" t="s">
        <v>20</v>
      </c>
      <c r="H2419" t="s">
        <v>16</v>
      </c>
      <c r="I2419">
        <v>5</v>
      </c>
      <c r="J2419">
        <v>0</v>
      </c>
      <c r="K2419">
        <v>5</v>
      </c>
    </row>
    <row r="2420" spans="1:11" x14ac:dyDescent="0.25">
      <c r="A2420" t="s">
        <v>2460</v>
      </c>
      <c r="B2420" s="1">
        <v>45801.635717592595</v>
      </c>
      <c r="C2420" s="2" t="s">
        <v>32</v>
      </c>
      <c r="D2420" t="s">
        <v>13</v>
      </c>
      <c r="E2420">
        <v>104500</v>
      </c>
      <c r="F2420" t="s">
        <v>50</v>
      </c>
      <c r="G2420" t="s">
        <v>24</v>
      </c>
      <c r="H2420" t="s">
        <v>16</v>
      </c>
      <c r="I2420">
        <v>1933.25</v>
      </c>
      <c r="J2420">
        <v>773.3</v>
      </c>
      <c r="K2420">
        <v>1159.95</v>
      </c>
    </row>
    <row r="2421" spans="1:11" x14ac:dyDescent="0.25">
      <c r="A2421" t="s">
        <v>2461</v>
      </c>
      <c r="B2421" s="1">
        <v>46013.4841087963</v>
      </c>
      <c r="C2421" s="2" t="s">
        <v>39</v>
      </c>
      <c r="D2421" t="s">
        <v>13</v>
      </c>
      <c r="E2421">
        <v>234500</v>
      </c>
      <c r="F2421" t="s">
        <v>14</v>
      </c>
      <c r="G2421" t="s">
        <v>51</v>
      </c>
      <c r="H2421" t="s">
        <v>16</v>
      </c>
      <c r="I2421">
        <v>4338.25</v>
      </c>
      <c r="J2421">
        <v>1735.3</v>
      </c>
      <c r="K2421">
        <v>2602.9499999999998</v>
      </c>
    </row>
    <row r="2422" spans="1:11" x14ac:dyDescent="0.25">
      <c r="A2422" t="s">
        <v>2462</v>
      </c>
      <c r="B2422" s="1">
        <v>45798.621122685188</v>
      </c>
      <c r="C2422" s="2" t="s">
        <v>18</v>
      </c>
      <c r="D2422" t="s">
        <v>13</v>
      </c>
      <c r="E2422">
        <v>107500</v>
      </c>
      <c r="F2422" t="s">
        <v>14</v>
      </c>
      <c r="G2422" t="s">
        <v>24</v>
      </c>
      <c r="H2422" t="s">
        <v>16</v>
      </c>
      <c r="I2422">
        <v>1988.75</v>
      </c>
      <c r="J2422">
        <v>795.5</v>
      </c>
      <c r="K2422">
        <v>1193.25</v>
      </c>
    </row>
    <row r="2423" spans="1:11" x14ac:dyDescent="0.25">
      <c r="A2423" t="s">
        <v>2463</v>
      </c>
      <c r="B2423" s="1">
        <v>45993.810289351852</v>
      </c>
      <c r="C2423" s="2" t="s">
        <v>32</v>
      </c>
      <c r="D2423" t="s">
        <v>33</v>
      </c>
      <c r="E2423">
        <v>16994</v>
      </c>
      <c r="F2423" t="s">
        <v>50</v>
      </c>
      <c r="G2423" t="s">
        <v>15</v>
      </c>
      <c r="H2423" t="s">
        <v>16</v>
      </c>
      <c r="I2423">
        <v>0</v>
      </c>
      <c r="J2423">
        <v>0</v>
      </c>
      <c r="K2423">
        <v>0</v>
      </c>
    </row>
    <row r="2424" spans="1:11" x14ac:dyDescent="0.25">
      <c r="A2424" t="s">
        <v>2464</v>
      </c>
      <c r="B2424" s="1">
        <v>45991.237442129626</v>
      </c>
      <c r="C2424" s="2" t="s">
        <v>41</v>
      </c>
      <c r="D2424" t="s">
        <v>13</v>
      </c>
      <c r="E2424">
        <v>103000</v>
      </c>
      <c r="F2424" t="s">
        <v>14</v>
      </c>
      <c r="G2424" t="s">
        <v>27</v>
      </c>
      <c r="H2424" t="s">
        <v>16</v>
      </c>
      <c r="I2424">
        <v>1905.5</v>
      </c>
      <c r="J2424">
        <v>762.2</v>
      </c>
      <c r="K2424">
        <v>1143.3</v>
      </c>
    </row>
    <row r="2425" spans="1:11" x14ac:dyDescent="0.25">
      <c r="A2425" t="s">
        <v>2465</v>
      </c>
      <c r="B2425" s="1">
        <v>45809.244479166664</v>
      </c>
      <c r="C2425" s="2" t="s">
        <v>26</v>
      </c>
      <c r="D2425" t="s">
        <v>33</v>
      </c>
      <c r="E2425">
        <v>58098</v>
      </c>
      <c r="F2425" t="s">
        <v>50</v>
      </c>
      <c r="G2425" t="s">
        <v>34</v>
      </c>
      <c r="H2425" t="s">
        <v>16</v>
      </c>
      <c r="I2425">
        <v>0</v>
      </c>
      <c r="J2425">
        <v>0</v>
      </c>
      <c r="K2425">
        <v>0</v>
      </c>
    </row>
    <row r="2426" spans="1:11" x14ac:dyDescent="0.25">
      <c r="A2426" t="s">
        <v>2466</v>
      </c>
      <c r="B2426" s="1">
        <v>45944.531909722224</v>
      </c>
      <c r="C2426" s="2" t="s">
        <v>22</v>
      </c>
      <c r="D2426" t="s">
        <v>45</v>
      </c>
      <c r="E2426">
        <v>95482</v>
      </c>
      <c r="F2426" t="s">
        <v>14</v>
      </c>
      <c r="G2426" t="s">
        <v>27</v>
      </c>
      <c r="H2426" t="s">
        <v>56</v>
      </c>
      <c r="I2426">
        <v>954.82</v>
      </c>
      <c r="J2426">
        <v>0</v>
      </c>
      <c r="K2426">
        <v>954.82</v>
      </c>
    </row>
    <row r="2427" spans="1:11" x14ac:dyDescent="0.25">
      <c r="A2427" t="s">
        <v>2467</v>
      </c>
      <c r="B2427" s="1">
        <v>45837.663842592592</v>
      </c>
      <c r="C2427" s="2" t="s">
        <v>12</v>
      </c>
      <c r="D2427" t="s">
        <v>33</v>
      </c>
      <c r="E2427">
        <v>17118</v>
      </c>
      <c r="F2427" t="s">
        <v>50</v>
      </c>
      <c r="G2427" t="s">
        <v>30</v>
      </c>
      <c r="H2427" t="s">
        <v>16</v>
      </c>
      <c r="I2427">
        <v>0</v>
      </c>
      <c r="J2427">
        <v>0</v>
      </c>
      <c r="K2427">
        <v>0</v>
      </c>
    </row>
    <row r="2428" spans="1:11" x14ac:dyDescent="0.25">
      <c r="A2428" t="s">
        <v>2468</v>
      </c>
      <c r="B2428" s="1">
        <v>46007.498437499999</v>
      </c>
      <c r="C2428" s="2" t="s">
        <v>22</v>
      </c>
      <c r="D2428" t="s">
        <v>23</v>
      </c>
      <c r="E2428">
        <v>4192</v>
      </c>
      <c r="F2428" t="s">
        <v>14</v>
      </c>
      <c r="G2428" t="s">
        <v>24</v>
      </c>
      <c r="H2428" t="s">
        <v>16</v>
      </c>
      <c r="I2428">
        <v>0</v>
      </c>
      <c r="J2428">
        <v>0</v>
      </c>
      <c r="K2428">
        <v>0</v>
      </c>
    </row>
    <row r="2429" spans="1:11" x14ac:dyDescent="0.25">
      <c r="A2429" t="s">
        <v>2469</v>
      </c>
      <c r="B2429" s="1">
        <v>45999.350462962961</v>
      </c>
      <c r="C2429" s="2" t="s">
        <v>32</v>
      </c>
      <c r="D2429" t="s">
        <v>23</v>
      </c>
      <c r="E2429">
        <v>4120</v>
      </c>
      <c r="F2429" t="s">
        <v>14</v>
      </c>
      <c r="G2429" t="s">
        <v>34</v>
      </c>
      <c r="H2429" t="s">
        <v>16</v>
      </c>
      <c r="I2429">
        <v>0</v>
      </c>
      <c r="J2429">
        <v>0</v>
      </c>
      <c r="K2429">
        <v>0</v>
      </c>
    </row>
    <row r="2430" spans="1:11" x14ac:dyDescent="0.25">
      <c r="A2430" t="s">
        <v>2470</v>
      </c>
      <c r="B2430" s="1">
        <v>46098.855358796296</v>
      </c>
      <c r="C2430" s="2" t="s">
        <v>29</v>
      </c>
      <c r="D2430" t="s">
        <v>19</v>
      </c>
      <c r="E2430">
        <v>58216</v>
      </c>
      <c r="F2430" t="s">
        <v>14</v>
      </c>
      <c r="G2430" t="s">
        <v>34</v>
      </c>
      <c r="H2430" t="s">
        <v>16</v>
      </c>
      <c r="I2430">
        <v>5</v>
      </c>
      <c r="J2430">
        <v>0</v>
      </c>
      <c r="K2430">
        <v>5</v>
      </c>
    </row>
    <row r="2431" spans="1:11" x14ac:dyDescent="0.25">
      <c r="A2431" t="s">
        <v>2471</v>
      </c>
      <c r="B2431" s="1">
        <v>45973.599988425929</v>
      </c>
      <c r="C2431" s="2" t="s">
        <v>18</v>
      </c>
      <c r="D2431" t="s">
        <v>19</v>
      </c>
      <c r="E2431">
        <v>140277</v>
      </c>
      <c r="F2431" t="s">
        <v>14</v>
      </c>
      <c r="G2431" t="s">
        <v>34</v>
      </c>
      <c r="H2431" t="s">
        <v>16</v>
      </c>
      <c r="I2431">
        <v>5</v>
      </c>
      <c r="J2431">
        <v>0</v>
      </c>
      <c r="K2431">
        <v>5</v>
      </c>
    </row>
    <row r="2432" spans="1:11" x14ac:dyDescent="0.25">
      <c r="A2432" t="s">
        <v>2472</v>
      </c>
      <c r="B2432" s="1">
        <v>46087.536944444444</v>
      </c>
      <c r="C2432" s="2" t="s">
        <v>39</v>
      </c>
      <c r="D2432" t="s">
        <v>23</v>
      </c>
      <c r="E2432">
        <v>1583</v>
      </c>
      <c r="F2432" t="s">
        <v>14</v>
      </c>
      <c r="G2432" t="s">
        <v>15</v>
      </c>
      <c r="H2432" t="s">
        <v>16</v>
      </c>
      <c r="I2432">
        <v>0</v>
      </c>
      <c r="J2432">
        <v>0</v>
      </c>
      <c r="K2432">
        <v>0</v>
      </c>
    </row>
    <row r="2433" spans="1:11" x14ac:dyDescent="0.25">
      <c r="A2433" t="s">
        <v>2473</v>
      </c>
      <c r="B2433" s="1">
        <v>45962.326296296298</v>
      </c>
      <c r="C2433" s="2" t="s">
        <v>12</v>
      </c>
      <c r="D2433" t="s">
        <v>19</v>
      </c>
      <c r="E2433">
        <v>104438</v>
      </c>
      <c r="F2433" t="s">
        <v>14</v>
      </c>
      <c r="G2433" t="s">
        <v>84</v>
      </c>
      <c r="H2433" t="s">
        <v>16</v>
      </c>
      <c r="I2433">
        <v>5</v>
      </c>
      <c r="J2433">
        <v>0</v>
      </c>
      <c r="K2433">
        <v>5</v>
      </c>
    </row>
    <row r="2434" spans="1:11" x14ac:dyDescent="0.25">
      <c r="A2434" t="s">
        <v>2474</v>
      </c>
      <c r="B2434" s="1">
        <v>45856.113055555557</v>
      </c>
      <c r="C2434" s="2" t="s">
        <v>12</v>
      </c>
      <c r="D2434" t="s">
        <v>13</v>
      </c>
      <c r="E2434">
        <v>163000</v>
      </c>
      <c r="F2434" t="s">
        <v>14</v>
      </c>
      <c r="G2434" t="s">
        <v>30</v>
      </c>
      <c r="H2434" t="s">
        <v>16</v>
      </c>
      <c r="I2434">
        <v>3015.5</v>
      </c>
      <c r="J2434">
        <v>1206.2</v>
      </c>
      <c r="K2434">
        <v>1809.3</v>
      </c>
    </row>
    <row r="2435" spans="1:11" x14ac:dyDescent="0.25">
      <c r="A2435" t="s">
        <v>2475</v>
      </c>
      <c r="B2435" s="1">
        <v>46030.825659722221</v>
      </c>
      <c r="C2435" s="2" t="s">
        <v>32</v>
      </c>
      <c r="D2435" t="s">
        <v>33</v>
      </c>
      <c r="E2435">
        <v>137467</v>
      </c>
      <c r="F2435" t="s">
        <v>50</v>
      </c>
      <c r="G2435" t="s">
        <v>51</v>
      </c>
      <c r="H2435" t="s">
        <v>16</v>
      </c>
      <c r="I2435">
        <v>0</v>
      </c>
      <c r="J2435">
        <v>0</v>
      </c>
      <c r="K2435">
        <v>0</v>
      </c>
    </row>
    <row r="2436" spans="1:11" x14ac:dyDescent="0.25">
      <c r="A2436" t="s">
        <v>2476</v>
      </c>
      <c r="B2436" s="1">
        <v>45857.173634259256</v>
      </c>
      <c r="C2436" s="2" t="s">
        <v>22</v>
      </c>
      <c r="D2436" t="s">
        <v>13</v>
      </c>
      <c r="E2436">
        <v>81500</v>
      </c>
      <c r="F2436" t="s">
        <v>14</v>
      </c>
      <c r="G2436" t="s">
        <v>51</v>
      </c>
      <c r="H2436" t="s">
        <v>16</v>
      </c>
      <c r="I2436">
        <v>1507.75</v>
      </c>
      <c r="J2436">
        <v>603.1</v>
      </c>
      <c r="K2436">
        <v>904.65</v>
      </c>
    </row>
    <row r="2437" spans="1:11" x14ac:dyDescent="0.25">
      <c r="A2437" t="s">
        <v>2477</v>
      </c>
      <c r="B2437" s="1">
        <v>46038.583101851851</v>
      </c>
      <c r="C2437" s="2" t="s">
        <v>12</v>
      </c>
      <c r="D2437" t="s">
        <v>23</v>
      </c>
      <c r="E2437">
        <v>3056</v>
      </c>
      <c r="F2437" t="s">
        <v>14</v>
      </c>
      <c r="G2437" t="s">
        <v>34</v>
      </c>
      <c r="H2437" t="s">
        <v>16</v>
      </c>
      <c r="I2437">
        <v>0</v>
      </c>
      <c r="J2437">
        <v>0</v>
      </c>
      <c r="K2437">
        <v>0</v>
      </c>
    </row>
    <row r="2438" spans="1:11" x14ac:dyDescent="0.25">
      <c r="A2438" t="s">
        <v>2478</v>
      </c>
      <c r="B2438" s="1">
        <v>45970.893807870372</v>
      </c>
      <c r="C2438" s="2" t="s">
        <v>26</v>
      </c>
      <c r="D2438" t="s">
        <v>23</v>
      </c>
      <c r="E2438">
        <v>4438</v>
      </c>
      <c r="F2438" t="s">
        <v>14</v>
      </c>
      <c r="G2438" t="s">
        <v>34</v>
      </c>
      <c r="H2438" t="s">
        <v>16</v>
      </c>
      <c r="I2438">
        <v>0</v>
      </c>
      <c r="J2438">
        <v>0</v>
      </c>
      <c r="K2438">
        <v>0</v>
      </c>
    </row>
    <row r="2439" spans="1:11" x14ac:dyDescent="0.25">
      <c r="A2439" t="s">
        <v>2479</v>
      </c>
      <c r="B2439" s="1">
        <v>45793.334548611114</v>
      </c>
      <c r="C2439" s="2" t="s">
        <v>32</v>
      </c>
      <c r="D2439" t="s">
        <v>45</v>
      </c>
      <c r="E2439">
        <v>82813</v>
      </c>
      <c r="F2439" t="s">
        <v>14</v>
      </c>
      <c r="G2439" t="s">
        <v>34</v>
      </c>
      <c r="H2439" t="s">
        <v>178</v>
      </c>
      <c r="I2439">
        <v>828.13</v>
      </c>
      <c r="J2439">
        <v>0</v>
      </c>
      <c r="K2439">
        <v>828.13</v>
      </c>
    </row>
    <row r="2440" spans="1:11" x14ac:dyDescent="0.25">
      <c r="A2440" t="s">
        <v>2480</v>
      </c>
      <c r="B2440" s="1">
        <v>46005.720358796294</v>
      </c>
      <c r="C2440" s="2" t="s">
        <v>39</v>
      </c>
      <c r="D2440" t="s">
        <v>19</v>
      </c>
      <c r="E2440">
        <v>108684</v>
      </c>
      <c r="F2440" t="s">
        <v>14</v>
      </c>
      <c r="G2440" t="s">
        <v>84</v>
      </c>
      <c r="H2440" t="s">
        <v>16</v>
      </c>
      <c r="I2440">
        <v>5</v>
      </c>
      <c r="J2440">
        <v>0</v>
      </c>
      <c r="K2440">
        <v>5</v>
      </c>
    </row>
    <row r="2441" spans="1:11" x14ac:dyDescent="0.25">
      <c r="A2441" t="s">
        <v>2481</v>
      </c>
      <c r="B2441" s="1">
        <v>45838.494872685187</v>
      </c>
      <c r="C2441" s="2" t="s">
        <v>18</v>
      </c>
      <c r="D2441" t="s">
        <v>33</v>
      </c>
      <c r="E2441">
        <v>88444</v>
      </c>
      <c r="F2441" t="s">
        <v>14</v>
      </c>
      <c r="G2441" t="s">
        <v>20</v>
      </c>
      <c r="H2441" t="s">
        <v>16</v>
      </c>
      <c r="I2441">
        <v>0</v>
      </c>
      <c r="J2441">
        <v>0</v>
      </c>
      <c r="K2441">
        <v>0</v>
      </c>
    </row>
    <row r="2442" spans="1:11" x14ac:dyDescent="0.25">
      <c r="A2442" t="s">
        <v>2482</v>
      </c>
      <c r="B2442" s="1">
        <v>46113.967418981483</v>
      </c>
      <c r="C2442" s="2" t="s">
        <v>26</v>
      </c>
      <c r="D2442" t="s">
        <v>23</v>
      </c>
      <c r="E2442">
        <v>4055</v>
      </c>
      <c r="F2442" t="s">
        <v>14</v>
      </c>
      <c r="G2442" t="s">
        <v>20</v>
      </c>
      <c r="H2442" t="s">
        <v>16</v>
      </c>
      <c r="I2442">
        <v>0</v>
      </c>
      <c r="J2442">
        <v>0</v>
      </c>
      <c r="K2442">
        <v>0</v>
      </c>
    </row>
    <row r="2443" spans="1:11" x14ac:dyDescent="0.25">
      <c r="A2443" t="s">
        <v>2483</v>
      </c>
      <c r="B2443" s="1">
        <v>45915.819930555554</v>
      </c>
      <c r="C2443" s="2" t="s">
        <v>41</v>
      </c>
      <c r="D2443" t="s">
        <v>19</v>
      </c>
      <c r="E2443">
        <v>139937</v>
      </c>
      <c r="F2443" t="s">
        <v>99</v>
      </c>
      <c r="G2443" t="s">
        <v>24</v>
      </c>
      <c r="H2443" t="s">
        <v>16</v>
      </c>
      <c r="I2443">
        <v>5</v>
      </c>
      <c r="J2443">
        <v>0</v>
      </c>
      <c r="K2443">
        <v>5</v>
      </c>
    </row>
    <row r="2444" spans="1:11" x14ac:dyDescent="0.25">
      <c r="A2444" t="s">
        <v>2484</v>
      </c>
      <c r="B2444" s="1">
        <v>45926.817777777775</v>
      </c>
      <c r="C2444" s="2" t="s">
        <v>32</v>
      </c>
      <c r="D2444" t="s">
        <v>19</v>
      </c>
      <c r="E2444">
        <v>138994</v>
      </c>
      <c r="F2444" t="s">
        <v>14</v>
      </c>
      <c r="G2444" t="s">
        <v>27</v>
      </c>
      <c r="H2444" t="s">
        <v>16</v>
      </c>
      <c r="I2444">
        <v>5</v>
      </c>
      <c r="J2444">
        <v>0</v>
      </c>
      <c r="K2444">
        <v>5</v>
      </c>
    </row>
    <row r="2445" spans="1:11" x14ac:dyDescent="0.25">
      <c r="A2445" t="s">
        <v>2485</v>
      </c>
      <c r="B2445" s="1">
        <v>45934.715752314813</v>
      </c>
      <c r="C2445" s="2" t="s">
        <v>22</v>
      </c>
      <c r="D2445" t="s">
        <v>45</v>
      </c>
      <c r="E2445">
        <v>24852</v>
      </c>
      <c r="F2445" t="s">
        <v>14</v>
      </c>
      <c r="G2445" t="s">
        <v>84</v>
      </c>
      <c r="H2445" t="s">
        <v>59</v>
      </c>
      <c r="I2445">
        <v>248.52</v>
      </c>
      <c r="J2445">
        <v>0</v>
      </c>
      <c r="K2445">
        <v>248.52</v>
      </c>
    </row>
    <row r="2446" spans="1:11" x14ac:dyDescent="0.25">
      <c r="A2446" t="s">
        <v>2486</v>
      </c>
      <c r="B2446" s="1">
        <v>45932.083240740743</v>
      </c>
      <c r="C2446" s="2" t="s">
        <v>39</v>
      </c>
      <c r="D2446" t="s">
        <v>45</v>
      </c>
      <c r="E2446">
        <v>102880</v>
      </c>
      <c r="F2446" t="s">
        <v>14</v>
      </c>
      <c r="G2446" t="s">
        <v>34</v>
      </c>
      <c r="H2446" t="s">
        <v>59</v>
      </c>
      <c r="I2446">
        <v>1028.8</v>
      </c>
      <c r="J2446">
        <v>0</v>
      </c>
      <c r="K2446">
        <v>1028.8</v>
      </c>
    </row>
    <row r="2447" spans="1:11" x14ac:dyDescent="0.25">
      <c r="A2447" t="s">
        <v>2487</v>
      </c>
      <c r="B2447" s="1">
        <v>45893.227233796293</v>
      </c>
      <c r="C2447" s="2" t="s">
        <v>29</v>
      </c>
      <c r="D2447" t="s">
        <v>33</v>
      </c>
      <c r="E2447">
        <v>138238</v>
      </c>
      <c r="F2447" t="s">
        <v>14</v>
      </c>
      <c r="G2447" t="s">
        <v>58</v>
      </c>
      <c r="H2447" t="s">
        <v>16</v>
      </c>
      <c r="I2447">
        <v>0</v>
      </c>
      <c r="J2447">
        <v>0</v>
      </c>
      <c r="K2447">
        <v>0</v>
      </c>
    </row>
    <row r="2448" spans="1:11" x14ac:dyDescent="0.25">
      <c r="A2448" t="s">
        <v>2488</v>
      </c>
      <c r="B2448" s="1">
        <v>46002.881377314814</v>
      </c>
      <c r="C2448" s="2" t="s">
        <v>39</v>
      </c>
      <c r="D2448" t="s">
        <v>33</v>
      </c>
      <c r="E2448">
        <v>54611</v>
      </c>
      <c r="F2448" t="s">
        <v>14</v>
      </c>
      <c r="G2448" t="s">
        <v>34</v>
      </c>
      <c r="H2448" t="s">
        <v>16</v>
      </c>
      <c r="I2448">
        <v>0</v>
      </c>
      <c r="J2448">
        <v>0</v>
      </c>
      <c r="K2448">
        <v>0</v>
      </c>
    </row>
    <row r="2449" spans="1:11" x14ac:dyDescent="0.25">
      <c r="A2449" t="s">
        <v>2489</v>
      </c>
      <c r="B2449" s="1">
        <v>45921.227129629631</v>
      </c>
      <c r="C2449" s="2" t="s">
        <v>18</v>
      </c>
      <c r="D2449" t="s">
        <v>33</v>
      </c>
      <c r="E2449">
        <v>106424</v>
      </c>
      <c r="F2449" t="s">
        <v>14</v>
      </c>
      <c r="G2449" t="s">
        <v>51</v>
      </c>
      <c r="H2449" t="s">
        <v>16</v>
      </c>
      <c r="I2449">
        <v>0</v>
      </c>
      <c r="J2449">
        <v>0</v>
      </c>
      <c r="K2449">
        <v>0</v>
      </c>
    </row>
    <row r="2450" spans="1:11" x14ac:dyDescent="0.25">
      <c r="A2450" t="s">
        <v>2490</v>
      </c>
      <c r="B2450" s="1">
        <v>46025.454988425925</v>
      </c>
      <c r="C2450" s="2" t="s">
        <v>32</v>
      </c>
      <c r="D2450" t="s">
        <v>33</v>
      </c>
      <c r="E2450">
        <v>146623</v>
      </c>
      <c r="F2450" t="s">
        <v>14</v>
      </c>
      <c r="G2450" t="s">
        <v>27</v>
      </c>
      <c r="H2450" t="s">
        <v>16</v>
      </c>
      <c r="I2450">
        <v>0</v>
      </c>
      <c r="J2450">
        <v>0</v>
      </c>
      <c r="K2450">
        <v>0</v>
      </c>
    </row>
    <row r="2451" spans="1:11" x14ac:dyDescent="0.25">
      <c r="A2451" t="s">
        <v>2491</v>
      </c>
      <c r="B2451" s="1">
        <v>46056.785925925928</v>
      </c>
      <c r="C2451" s="2" t="s">
        <v>29</v>
      </c>
      <c r="D2451" t="s">
        <v>19</v>
      </c>
      <c r="E2451">
        <v>86990</v>
      </c>
      <c r="F2451" t="s">
        <v>14</v>
      </c>
      <c r="G2451" t="s">
        <v>58</v>
      </c>
      <c r="H2451" t="s">
        <v>16</v>
      </c>
      <c r="I2451">
        <v>5</v>
      </c>
      <c r="J2451">
        <v>0</v>
      </c>
      <c r="K2451">
        <v>5</v>
      </c>
    </row>
    <row r="2452" spans="1:11" x14ac:dyDescent="0.25">
      <c r="A2452" t="s">
        <v>2492</v>
      </c>
      <c r="B2452" s="1">
        <v>46019.198703703703</v>
      </c>
      <c r="C2452" s="2" t="s">
        <v>29</v>
      </c>
      <c r="D2452" t="s">
        <v>33</v>
      </c>
      <c r="E2452">
        <v>149173</v>
      </c>
      <c r="F2452" t="s">
        <v>99</v>
      </c>
      <c r="G2452" t="s">
        <v>30</v>
      </c>
      <c r="H2452" t="s">
        <v>16</v>
      </c>
      <c r="I2452">
        <v>0</v>
      </c>
      <c r="J2452">
        <v>0</v>
      </c>
      <c r="K2452">
        <v>0</v>
      </c>
    </row>
    <row r="2453" spans="1:11" x14ac:dyDescent="0.25">
      <c r="A2453" t="s">
        <v>2493</v>
      </c>
      <c r="B2453" s="1">
        <v>46059.938715277778</v>
      </c>
      <c r="C2453" s="2" t="s">
        <v>39</v>
      </c>
      <c r="D2453" t="s">
        <v>45</v>
      </c>
      <c r="E2453">
        <v>124129</v>
      </c>
      <c r="F2453" t="s">
        <v>14</v>
      </c>
      <c r="G2453" t="s">
        <v>27</v>
      </c>
      <c r="H2453" t="s">
        <v>71</v>
      </c>
      <c r="I2453">
        <v>1241.29</v>
      </c>
      <c r="J2453">
        <v>0</v>
      </c>
      <c r="K2453">
        <v>1241.29</v>
      </c>
    </row>
    <row r="2454" spans="1:11" x14ac:dyDescent="0.25">
      <c r="A2454" t="s">
        <v>2494</v>
      </c>
      <c r="B2454" s="1">
        <v>46050.557743055557</v>
      </c>
      <c r="C2454" s="2" t="s">
        <v>26</v>
      </c>
      <c r="D2454" t="s">
        <v>13</v>
      </c>
      <c r="E2454">
        <v>32000</v>
      </c>
      <c r="F2454" t="s">
        <v>14</v>
      </c>
      <c r="G2454" t="s">
        <v>20</v>
      </c>
      <c r="H2454" t="s">
        <v>16</v>
      </c>
      <c r="I2454">
        <v>592</v>
      </c>
      <c r="J2454">
        <v>236.8</v>
      </c>
      <c r="K2454">
        <v>355.2</v>
      </c>
    </row>
    <row r="2455" spans="1:11" x14ac:dyDescent="0.25">
      <c r="A2455" t="s">
        <v>2495</v>
      </c>
      <c r="B2455" s="1">
        <v>46060.179722222223</v>
      </c>
      <c r="C2455" s="2" t="s">
        <v>39</v>
      </c>
      <c r="D2455" t="s">
        <v>19</v>
      </c>
      <c r="E2455">
        <v>53187</v>
      </c>
      <c r="F2455" t="s">
        <v>14</v>
      </c>
      <c r="G2455" t="s">
        <v>84</v>
      </c>
      <c r="H2455" t="s">
        <v>16</v>
      </c>
      <c r="I2455">
        <v>5</v>
      </c>
      <c r="J2455">
        <v>0</v>
      </c>
      <c r="K2455">
        <v>5</v>
      </c>
    </row>
    <row r="2456" spans="1:11" x14ac:dyDescent="0.25">
      <c r="A2456" t="s">
        <v>2496</v>
      </c>
      <c r="B2456" s="1">
        <v>45819.290879629632</v>
      </c>
      <c r="C2456" s="2" t="s">
        <v>18</v>
      </c>
      <c r="D2456" t="s">
        <v>13</v>
      </c>
      <c r="E2456">
        <v>89000</v>
      </c>
      <c r="F2456" t="s">
        <v>14</v>
      </c>
      <c r="G2456" t="s">
        <v>34</v>
      </c>
      <c r="H2456" t="s">
        <v>16</v>
      </c>
      <c r="I2456">
        <v>1646.5</v>
      </c>
      <c r="J2456">
        <v>658.6</v>
      </c>
      <c r="K2456">
        <v>987.9</v>
      </c>
    </row>
    <row r="2457" spans="1:11" x14ac:dyDescent="0.25">
      <c r="A2457" t="s">
        <v>2497</v>
      </c>
      <c r="B2457" s="1">
        <v>45921.466874999998</v>
      </c>
      <c r="C2457" s="2" t="s">
        <v>12</v>
      </c>
      <c r="D2457" t="s">
        <v>23</v>
      </c>
      <c r="E2457">
        <v>4021</v>
      </c>
      <c r="F2457" t="s">
        <v>14</v>
      </c>
      <c r="G2457" t="s">
        <v>58</v>
      </c>
      <c r="H2457" t="s">
        <v>16</v>
      </c>
      <c r="I2457">
        <v>0</v>
      </c>
      <c r="J2457">
        <v>0</v>
      </c>
      <c r="K2457">
        <v>0</v>
      </c>
    </row>
    <row r="2458" spans="1:11" x14ac:dyDescent="0.25">
      <c r="A2458" t="s">
        <v>2498</v>
      </c>
      <c r="B2458" s="1">
        <v>46098.696331018517</v>
      </c>
      <c r="C2458" s="2" t="s">
        <v>18</v>
      </c>
      <c r="D2458" t="s">
        <v>13</v>
      </c>
      <c r="E2458">
        <v>183000</v>
      </c>
      <c r="F2458" t="s">
        <v>14</v>
      </c>
      <c r="G2458" t="s">
        <v>15</v>
      </c>
      <c r="H2458" t="s">
        <v>16</v>
      </c>
      <c r="I2458">
        <v>3385.5</v>
      </c>
      <c r="J2458">
        <v>1354.2</v>
      </c>
      <c r="K2458">
        <v>2031.3</v>
      </c>
    </row>
    <row r="2459" spans="1:11" x14ac:dyDescent="0.25">
      <c r="A2459" t="s">
        <v>2499</v>
      </c>
      <c r="B2459" s="1">
        <v>45957.898449074077</v>
      </c>
      <c r="C2459" s="2" t="s">
        <v>12</v>
      </c>
      <c r="D2459" t="s">
        <v>19</v>
      </c>
      <c r="E2459">
        <v>43172</v>
      </c>
      <c r="F2459" t="s">
        <v>50</v>
      </c>
      <c r="G2459" t="s">
        <v>34</v>
      </c>
      <c r="H2459" t="s">
        <v>16</v>
      </c>
      <c r="I2459">
        <v>5</v>
      </c>
      <c r="J2459">
        <v>0</v>
      </c>
      <c r="K2459">
        <v>5</v>
      </c>
    </row>
    <row r="2460" spans="1:11" x14ac:dyDescent="0.25">
      <c r="A2460" t="s">
        <v>2500</v>
      </c>
      <c r="B2460" s="1">
        <v>46133.971388888887</v>
      </c>
      <c r="C2460" s="2" t="s">
        <v>18</v>
      </c>
      <c r="D2460" t="s">
        <v>23</v>
      </c>
      <c r="E2460">
        <v>3978</v>
      </c>
      <c r="F2460" t="s">
        <v>50</v>
      </c>
      <c r="G2460" t="s">
        <v>84</v>
      </c>
      <c r="H2460" t="s">
        <v>16</v>
      </c>
      <c r="I2460">
        <v>0</v>
      </c>
      <c r="J2460">
        <v>0</v>
      </c>
      <c r="K2460">
        <v>0</v>
      </c>
    </row>
    <row r="2461" spans="1:11" x14ac:dyDescent="0.25">
      <c r="A2461" t="s">
        <v>2501</v>
      </c>
      <c r="B2461" s="1">
        <v>45818.745555555557</v>
      </c>
      <c r="C2461" s="2" t="s">
        <v>12</v>
      </c>
      <c r="D2461" t="s">
        <v>45</v>
      </c>
      <c r="E2461">
        <v>71666</v>
      </c>
      <c r="F2461" t="s">
        <v>14</v>
      </c>
      <c r="G2461" t="s">
        <v>15</v>
      </c>
      <c r="H2461" t="s">
        <v>178</v>
      </c>
      <c r="I2461">
        <v>716.66</v>
      </c>
      <c r="J2461">
        <v>0</v>
      </c>
      <c r="K2461">
        <v>716.66</v>
      </c>
    </row>
    <row r="2462" spans="1:11" x14ac:dyDescent="0.25">
      <c r="A2462" t="s">
        <v>2502</v>
      </c>
      <c r="B2462" s="1">
        <v>45871.394062500003</v>
      </c>
      <c r="C2462" s="2" t="s">
        <v>12</v>
      </c>
      <c r="D2462" t="s">
        <v>23</v>
      </c>
      <c r="E2462">
        <v>1358</v>
      </c>
      <c r="F2462" t="s">
        <v>14</v>
      </c>
      <c r="G2462" t="s">
        <v>20</v>
      </c>
      <c r="H2462" t="s">
        <v>16</v>
      </c>
      <c r="I2462">
        <v>0</v>
      </c>
      <c r="J2462">
        <v>0</v>
      </c>
      <c r="K2462">
        <v>0</v>
      </c>
    </row>
    <row r="2463" spans="1:11" x14ac:dyDescent="0.25">
      <c r="A2463" t="s">
        <v>2503</v>
      </c>
      <c r="B2463" s="1">
        <v>46053.600185185183</v>
      </c>
      <c r="C2463" s="2" t="s">
        <v>18</v>
      </c>
      <c r="D2463" t="s">
        <v>33</v>
      </c>
      <c r="E2463">
        <v>122574</v>
      </c>
      <c r="F2463" t="s">
        <v>99</v>
      </c>
      <c r="G2463" t="s">
        <v>27</v>
      </c>
      <c r="H2463" t="s">
        <v>16</v>
      </c>
      <c r="I2463">
        <v>0</v>
      </c>
      <c r="J2463">
        <v>0</v>
      </c>
      <c r="K2463">
        <v>0</v>
      </c>
    </row>
    <row r="2464" spans="1:11" x14ac:dyDescent="0.25">
      <c r="A2464" t="s">
        <v>2504</v>
      </c>
      <c r="B2464" s="1">
        <v>45905.161145833335</v>
      </c>
      <c r="C2464" s="2" t="s">
        <v>22</v>
      </c>
      <c r="D2464" t="s">
        <v>45</v>
      </c>
      <c r="E2464">
        <v>82350</v>
      </c>
      <c r="F2464" t="s">
        <v>50</v>
      </c>
      <c r="G2464" t="s">
        <v>24</v>
      </c>
      <c r="H2464" t="s">
        <v>46</v>
      </c>
      <c r="I2464">
        <v>823.5</v>
      </c>
      <c r="J2464">
        <v>0</v>
      </c>
      <c r="K2464">
        <v>823.5</v>
      </c>
    </row>
    <row r="2465" spans="1:11" x14ac:dyDescent="0.25">
      <c r="A2465" t="s">
        <v>2505</v>
      </c>
      <c r="B2465" s="1">
        <v>45810.764814814815</v>
      </c>
      <c r="C2465" s="2" t="s">
        <v>18</v>
      </c>
      <c r="D2465" t="s">
        <v>19</v>
      </c>
      <c r="E2465">
        <v>131683</v>
      </c>
      <c r="F2465" t="s">
        <v>14</v>
      </c>
      <c r="G2465" t="s">
        <v>34</v>
      </c>
      <c r="H2465" t="s">
        <v>16</v>
      </c>
      <c r="I2465">
        <v>5</v>
      </c>
      <c r="J2465">
        <v>0</v>
      </c>
      <c r="K2465">
        <v>5</v>
      </c>
    </row>
    <row r="2466" spans="1:11" x14ac:dyDescent="0.25">
      <c r="A2466" t="s">
        <v>2506</v>
      </c>
      <c r="B2466" s="1">
        <v>46129.999467592592</v>
      </c>
      <c r="C2466" s="2" t="s">
        <v>12</v>
      </c>
      <c r="D2466" t="s">
        <v>23</v>
      </c>
      <c r="E2466">
        <v>3174</v>
      </c>
      <c r="F2466" t="s">
        <v>14</v>
      </c>
      <c r="G2466" t="s">
        <v>15</v>
      </c>
      <c r="H2466" t="s">
        <v>16</v>
      </c>
      <c r="I2466">
        <v>0</v>
      </c>
      <c r="J2466">
        <v>0</v>
      </c>
      <c r="K2466">
        <v>0</v>
      </c>
    </row>
    <row r="2467" spans="1:11" x14ac:dyDescent="0.25">
      <c r="A2467" t="s">
        <v>2507</v>
      </c>
      <c r="B2467" s="1">
        <v>45861.283425925925</v>
      </c>
      <c r="C2467" s="2" t="s">
        <v>41</v>
      </c>
      <c r="D2467" t="s">
        <v>23</v>
      </c>
      <c r="E2467">
        <v>1239</v>
      </c>
      <c r="F2467" t="s">
        <v>14</v>
      </c>
      <c r="G2467" t="s">
        <v>24</v>
      </c>
      <c r="H2467" t="s">
        <v>16</v>
      </c>
      <c r="I2467">
        <v>0</v>
      </c>
      <c r="J2467">
        <v>0</v>
      </c>
      <c r="K2467">
        <v>0</v>
      </c>
    </row>
    <row r="2468" spans="1:11" x14ac:dyDescent="0.25">
      <c r="A2468" t="s">
        <v>2508</v>
      </c>
      <c r="B2468" s="1">
        <v>45805.284780092596</v>
      </c>
      <c r="C2468" s="2" t="s">
        <v>18</v>
      </c>
      <c r="D2468" t="s">
        <v>23</v>
      </c>
      <c r="E2468">
        <v>4767</v>
      </c>
      <c r="F2468" t="s">
        <v>14</v>
      </c>
      <c r="G2468" t="s">
        <v>58</v>
      </c>
      <c r="H2468" t="s">
        <v>16</v>
      </c>
      <c r="I2468">
        <v>0</v>
      </c>
      <c r="J2468">
        <v>0</v>
      </c>
      <c r="K2468">
        <v>0</v>
      </c>
    </row>
    <row r="2469" spans="1:11" x14ac:dyDescent="0.25">
      <c r="A2469" t="s">
        <v>2509</v>
      </c>
      <c r="B2469" s="1">
        <v>45928.50273148148</v>
      </c>
      <c r="C2469" s="2" t="s">
        <v>41</v>
      </c>
      <c r="D2469" t="s">
        <v>23</v>
      </c>
      <c r="E2469">
        <v>376</v>
      </c>
      <c r="F2469" t="s">
        <v>14</v>
      </c>
      <c r="G2469" t="s">
        <v>24</v>
      </c>
      <c r="H2469" t="s">
        <v>16</v>
      </c>
      <c r="I2469">
        <v>0</v>
      </c>
      <c r="J2469">
        <v>0</v>
      </c>
      <c r="K2469">
        <v>0</v>
      </c>
    </row>
    <row r="2470" spans="1:11" x14ac:dyDescent="0.25">
      <c r="A2470" t="s">
        <v>2510</v>
      </c>
      <c r="B2470" s="1">
        <v>46097.044953703706</v>
      </c>
      <c r="C2470" s="2" t="s">
        <v>22</v>
      </c>
      <c r="D2470" t="s">
        <v>33</v>
      </c>
      <c r="E2470">
        <v>46880</v>
      </c>
      <c r="F2470" t="s">
        <v>14</v>
      </c>
      <c r="G2470" t="s">
        <v>51</v>
      </c>
      <c r="H2470" t="s">
        <v>16</v>
      </c>
      <c r="I2470">
        <v>0</v>
      </c>
      <c r="J2470">
        <v>0</v>
      </c>
      <c r="K2470">
        <v>0</v>
      </c>
    </row>
    <row r="2471" spans="1:11" x14ac:dyDescent="0.25">
      <c r="A2471" t="s">
        <v>2511</v>
      </c>
      <c r="B2471" s="1">
        <v>45803.643437500003</v>
      </c>
      <c r="C2471" s="2" t="s">
        <v>41</v>
      </c>
      <c r="D2471" t="s">
        <v>19</v>
      </c>
      <c r="E2471">
        <v>68987</v>
      </c>
      <c r="F2471" t="s">
        <v>14</v>
      </c>
      <c r="G2471" t="s">
        <v>58</v>
      </c>
      <c r="H2471" t="s">
        <v>16</v>
      </c>
      <c r="I2471">
        <v>5</v>
      </c>
      <c r="J2471">
        <v>0</v>
      </c>
      <c r="K2471">
        <v>5</v>
      </c>
    </row>
    <row r="2472" spans="1:11" x14ac:dyDescent="0.25">
      <c r="A2472" t="s">
        <v>2512</v>
      </c>
      <c r="B2472" s="1">
        <v>45847.785115740742</v>
      </c>
      <c r="C2472" s="2" t="s">
        <v>18</v>
      </c>
      <c r="D2472" t="s">
        <v>19</v>
      </c>
      <c r="E2472">
        <v>107696</v>
      </c>
      <c r="F2472" t="s">
        <v>14</v>
      </c>
      <c r="G2472" t="s">
        <v>20</v>
      </c>
      <c r="H2472" t="s">
        <v>16</v>
      </c>
      <c r="I2472">
        <v>5</v>
      </c>
      <c r="J2472">
        <v>0</v>
      </c>
      <c r="K2472">
        <v>5</v>
      </c>
    </row>
    <row r="2473" spans="1:11" x14ac:dyDescent="0.25">
      <c r="A2473" t="s">
        <v>2513</v>
      </c>
      <c r="B2473" s="1">
        <v>45784.301770833335</v>
      </c>
      <c r="C2473" s="2" t="s">
        <v>39</v>
      </c>
      <c r="D2473" t="s">
        <v>45</v>
      </c>
      <c r="E2473">
        <v>132878</v>
      </c>
      <c r="F2473" t="s">
        <v>14</v>
      </c>
      <c r="G2473" t="s">
        <v>51</v>
      </c>
      <c r="H2473" t="s">
        <v>71</v>
      </c>
      <c r="I2473">
        <v>1328.78</v>
      </c>
      <c r="J2473">
        <v>0</v>
      </c>
      <c r="K2473">
        <v>1328.78</v>
      </c>
    </row>
    <row r="2474" spans="1:11" x14ac:dyDescent="0.25">
      <c r="A2474" t="s">
        <v>2514</v>
      </c>
      <c r="B2474" s="1">
        <v>45791.625254629631</v>
      </c>
      <c r="C2474" s="2" t="s">
        <v>26</v>
      </c>
      <c r="D2474" t="s">
        <v>23</v>
      </c>
      <c r="E2474">
        <v>4895</v>
      </c>
      <c r="F2474" t="s">
        <v>50</v>
      </c>
      <c r="G2474" t="s">
        <v>20</v>
      </c>
      <c r="H2474" t="s">
        <v>16</v>
      </c>
      <c r="I2474">
        <v>0</v>
      </c>
      <c r="J2474">
        <v>0</v>
      </c>
      <c r="K2474">
        <v>0</v>
      </c>
    </row>
    <row r="2475" spans="1:11" x14ac:dyDescent="0.25">
      <c r="A2475" t="s">
        <v>2515</v>
      </c>
      <c r="B2475" s="1">
        <v>46118.335879629631</v>
      </c>
      <c r="C2475" s="2" t="s">
        <v>12</v>
      </c>
      <c r="D2475" t="s">
        <v>13</v>
      </c>
      <c r="E2475">
        <v>29000</v>
      </c>
      <c r="F2475" t="s">
        <v>14</v>
      </c>
      <c r="G2475" t="s">
        <v>51</v>
      </c>
      <c r="H2475" t="s">
        <v>16</v>
      </c>
      <c r="I2475">
        <v>536.5</v>
      </c>
      <c r="J2475">
        <v>214.6</v>
      </c>
      <c r="K2475">
        <v>321.89999999999998</v>
      </c>
    </row>
    <row r="2476" spans="1:11" x14ac:dyDescent="0.25">
      <c r="A2476" t="s">
        <v>2516</v>
      </c>
      <c r="B2476" s="1">
        <v>46106.84103009259</v>
      </c>
      <c r="C2476" s="2" t="s">
        <v>32</v>
      </c>
      <c r="D2476" t="s">
        <v>19</v>
      </c>
      <c r="E2476">
        <v>97749</v>
      </c>
      <c r="F2476" t="s">
        <v>50</v>
      </c>
      <c r="G2476" t="s">
        <v>27</v>
      </c>
      <c r="H2476" t="s">
        <v>16</v>
      </c>
      <c r="I2476">
        <v>5</v>
      </c>
      <c r="J2476">
        <v>0</v>
      </c>
      <c r="K2476">
        <v>5</v>
      </c>
    </row>
    <row r="2477" spans="1:11" x14ac:dyDescent="0.25">
      <c r="A2477" t="s">
        <v>2517</v>
      </c>
      <c r="B2477" s="1">
        <v>45971.023414351854</v>
      </c>
      <c r="C2477" s="2" t="s">
        <v>32</v>
      </c>
      <c r="D2477" t="s">
        <v>23</v>
      </c>
      <c r="E2477">
        <v>3209</v>
      </c>
      <c r="F2477" t="s">
        <v>14</v>
      </c>
      <c r="G2477" t="s">
        <v>15</v>
      </c>
      <c r="H2477" t="s">
        <v>16</v>
      </c>
      <c r="I2477">
        <v>0</v>
      </c>
      <c r="J2477">
        <v>0</v>
      </c>
      <c r="K2477">
        <v>0</v>
      </c>
    </row>
    <row r="2478" spans="1:11" x14ac:dyDescent="0.25">
      <c r="A2478" t="s">
        <v>2518</v>
      </c>
      <c r="B2478" s="1">
        <v>45949.019328703704</v>
      </c>
      <c r="C2478" s="2" t="s">
        <v>32</v>
      </c>
      <c r="D2478" t="s">
        <v>13</v>
      </c>
      <c r="E2478">
        <v>13000</v>
      </c>
      <c r="F2478" t="s">
        <v>50</v>
      </c>
      <c r="G2478" t="s">
        <v>34</v>
      </c>
      <c r="H2478" t="s">
        <v>16</v>
      </c>
      <c r="I2478">
        <v>240.5</v>
      </c>
      <c r="J2478">
        <v>96.2</v>
      </c>
      <c r="K2478">
        <v>144.30000000000001</v>
      </c>
    </row>
    <row r="2479" spans="1:11" x14ac:dyDescent="0.25">
      <c r="A2479" t="s">
        <v>2519</v>
      </c>
      <c r="B2479" s="1">
        <v>45820.001979166664</v>
      </c>
      <c r="C2479" s="2" t="s">
        <v>39</v>
      </c>
      <c r="D2479" t="s">
        <v>45</v>
      </c>
      <c r="E2479">
        <v>78223</v>
      </c>
      <c r="F2479" t="s">
        <v>14</v>
      </c>
      <c r="G2479" t="s">
        <v>34</v>
      </c>
      <c r="H2479" t="s">
        <v>56</v>
      </c>
      <c r="I2479">
        <v>782.23</v>
      </c>
      <c r="J2479">
        <v>0</v>
      </c>
      <c r="K2479">
        <v>782.23</v>
      </c>
    </row>
    <row r="2480" spans="1:11" x14ac:dyDescent="0.25">
      <c r="A2480" t="s">
        <v>2520</v>
      </c>
      <c r="B2480" s="1">
        <v>46041.017187500001</v>
      </c>
      <c r="C2480" s="2" t="s">
        <v>41</v>
      </c>
      <c r="D2480" t="s">
        <v>33</v>
      </c>
      <c r="E2480">
        <v>20945</v>
      </c>
      <c r="F2480" t="s">
        <v>99</v>
      </c>
      <c r="G2480" t="s">
        <v>30</v>
      </c>
      <c r="H2480" t="s">
        <v>16</v>
      </c>
      <c r="I2480">
        <v>0</v>
      </c>
      <c r="J2480">
        <v>0</v>
      </c>
      <c r="K2480">
        <v>0</v>
      </c>
    </row>
    <row r="2481" spans="1:11" x14ac:dyDescent="0.25">
      <c r="A2481" t="s">
        <v>2521</v>
      </c>
      <c r="B2481" s="1">
        <v>45880.203993055555</v>
      </c>
      <c r="C2481" s="2" t="s">
        <v>22</v>
      </c>
      <c r="D2481" t="s">
        <v>33</v>
      </c>
      <c r="E2481">
        <v>138279</v>
      </c>
      <c r="F2481" t="s">
        <v>14</v>
      </c>
      <c r="G2481" t="s">
        <v>24</v>
      </c>
      <c r="H2481" t="s">
        <v>16</v>
      </c>
      <c r="I2481">
        <v>0</v>
      </c>
      <c r="J2481">
        <v>0</v>
      </c>
      <c r="K2481">
        <v>0</v>
      </c>
    </row>
    <row r="2482" spans="1:11" x14ac:dyDescent="0.25">
      <c r="A2482" t="s">
        <v>2522</v>
      </c>
      <c r="B2482" s="1">
        <v>45797.713865740741</v>
      </c>
      <c r="C2482" s="2" t="s">
        <v>39</v>
      </c>
      <c r="D2482" t="s">
        <v>13</v>
      </c>
      <c r="E2482">
        <v>80500</v>
      </c>
      <c r="F2482" t="s">
        <v>14</v>
      </c>
      <c r="G2482" t="s">
        <v>34</v>
      </c>
      <c r="H2482" t="s">
        <v>16</v>
      </c>
      <c r="I2482">
        <v>1489.25</v>
      </c>
      <c r="J2482">
        <v>595.70000000000005</v>
      </c>
      <c r="K2482">
        <v>893.55</v>
      </c>
    </row>
    <row r="2483" spans="1:11" x14ac:dyDescent="0.25">
      <c r="A2483" t="s">
        <v>2523</v>
      </c>
      <c r="B2483" s="1">
        <v>45926.034074074072</v>
      </c>
      <c r="C2483" s="2" t="s">
        <v>29</v>
      </c>
      <c r="D2483" t="s">
        <v>33</v>
      </c>
      <c r="E2483">
        <v>77242</v>
      </c>
      <c r="F2483" t="s">
        <v>14</v>
      </c>
      <c r="G2483" t="s">
        <v>58</v>
      </c>
      <c r="H2483" t="s">
        <v>16</v>
      </c>
      <c r="I2483">
        <v>0</v>
      </c>
      <c r="J2483">
        <v>0</v>
      </c>
      <c r="K2483">
        <v>0</v>
      </c>
    </row>
    <row r="2484" spans="1:11" x14ac:dyDescent="0.25">
      <c r="A2484" t="s">
        <v>2524</v>
      </c>
      <c r="B2484" s="1">
        <v>46117.199629629627</v>
      </c>
      <c r="C2484" s="2" t="s">
        <v>32</v>
      </c>
      <c r="D2484" t="s">
        <v>45</v>
      </c>
      <c r="E2484">
        <v>75888</v>
      </c>
      <c r="F2484" t="s">
        <v>14</v>
      </c>
      <c r="G2484" t="s">
        <v>30</v>
      </c>
      <c r="H2484" t="s">
        <v>46</v>
      </c>
      <c r="I2484">
        <v>758.88</v>
      </c>
      <c r="J2484">
        <v>0</v>
      </c>
      <c r="K2484">
        <v>758.88</v>
      </c>
    </row>
    <row r="2485" spans="1:11" x14ac:dyDescent="0.25">
      <c r="A2485" t="s">
        <v>2525</v>
      </c>
      <c r="B2485" s="1">
        <v>45938.279479166667</v>
      </c>
      <c r="C2485" s="2" t="s">
        <v>29</v>
      </c>
      <c r="D2485" t="s">
        <v>45</v>
      </c>
      <c r="E2485">
        <v>88474</v>
      </c>
      <c r="F2485" t="s">
        <v>99</v>
      </c>
      <c r="G2485" t="s">
        <v>20</v>
      </c>
      <c r="H2485" t="s">
        <v>178</v>
      </c>
      <c r="I2485">
        <v>884.74</v>
      </c>
      <c r="J2485">
        <v>0</v>
      </c>
      <c r="K2485">
        <v>884.74</v>
      </c>
    </row>
    <row r="2486" spans="1:11" x14ac:dyDescent="0.25">
      <c r="A2486" t="s">
        <v>2526</v>
      </c>
      <c r="B2486" s="1">
        <v>45873.405613425923</v>
      </c>
      <c r="C2486" s="2" t="s">
        <v>41</v>
      </c>
      <c r="D2486" t="s">
        <v>19</v>
      </c>
      <c r="E2486">
        <v>20213</v>
      </c>
      <c r="F2486" t="s">
        <v>14</v>
      </c>
      <c r="G2486" t="s">
        <v>27</v>
      </c>
      <c r="H2486" t="s">
        <v>16</v>
      </c>
      <c r="I2486">
        <v>5</v>
      </c>
      <c r="J2486">
        <v>0</v>
      </c>
      <c r="K2486">
        <v>5</v>
      </c>
    </row>
    <row r="2487" spans="1:11" x14ac:dyDescent="0.25">
      <c r="A2487" t="s">
        <v>2527</v>
      </c>
      <c r="B2487" s="1">
        <v>46054.759050925924</v>
      </c>
      <c r="C2487" s="2" t="s">
        <v>29</v>
      </c>
      <c r="D2487" t="s">
        <v>23</v>
      </c>
      <c r="E2487">
        <v>2921</v>
      </c>
      <c r="F2487" t="s">
        <v>14</v>
      </c>
      <c r="G2487" t="s">
        <v>58</v>
      </c>
      <c r="H2487" t="s">
        <v>16</v>
      </c>
      <c r="I2487">
        <v>0</v>
      </c>
      <c r="J2487">
        <v>0</v>
      </c>
      <c r="K2487">
        <v>0</v>
      </c>
    </row>
    <row r="2488" spans="1:11" x14ac:dyDescent="0.25">
      <c r="A2488" t="s">
        <v>2528</v>
      </c>
      <c r="B2488" s="1">
        <v>45842.670706018522</v>
      </c>
      <c r="C2488" s="2" t="s">
        <v>22</v>
      </c>
      <c r="D2488" t="s">
        <v>19</v>
      </c>
      <c r="E2488">
        <v>95963</v>
      </c>
      <c r="F2488" t="s">
        <v>14</v>
      </c>
      <c r="G2488" t="s">
        <v>84</v>
      </c>
      <c r="H2488" t="s">
        <v>16</v>
      </c>
      <c r="I2488">
        <v>5</v>
      </c>
      <c r="J2488">
        <v>0</v>
      </c>
      <c r="K2488">
        <v>5</v>
      </c>
    </row>
    <row r="2489" spans="1:11" x14ac:dyDescent="0.25">
      <c r="A2489" t="s">
        <v>2529</v>
      </c>
      <c r="B2489" s="1">
        <v>46115.321759259263</v>
      </c>
      <c r="C2489" s="2" t="s">
        <v>29</v>
      </c>
      <c r="D2489" t="s">
        <v>45</v>
      </c>
      <c r="E2489">
        <v>145372</v>
      </c>
      <c r="F2489" t="s">
        <v>14</v>
      </c>
      <c r="G2489" t="s">
        <v>84</v>
      </c>
      <c r="H2489" t="s">
        <v>178</v>
      </c>
      <c r="I2489">
        <v>1453.72</v>
      </c>
      <c r="J2489">
        <v>0</v>
      </c>
      <c r="K2489">
        <v>1453.72</v>
      </c>
    </row>
    <row r="2490" spans="1:11" x14ac:dyDescent="0.25">
      <c r="A2490" t="s">
        <v>2530</v>
      </c>
      <c r="B2490" s="1">
        <v>45827.195972222224</v>
      </c>
      <c r="C2490" s="2" t="s">
        <v>39</v>
      </c>
      <c r="D2490" t="s">
        <v>13</v>
      </c>
      <c r="E2490">
        <v>177000</v>
      </c>
      <c r="F2490" t="s">
        <v>14</v>
      </c>
      <c r="G2490" t="s">
        <v>24</v>
      </c>
      <c r="H2490" t="s">
        <v>16</v>
      </c>
      <c r="I2490">
        <v>3274.5</v>
      </c>
      <c r="J2490">
        <v>1309.8</v>
      </c>
      <c r="K2490">
        <v>1964.7</v>
      </c>
    </row>
    <row r="2491" spans="1:11" x14ac:dyDescent="0.25">
      <c r="A2491" t="s">
        <v>2531</v>
      </c>
      <c r="B2491" s="1">
        <v>46033.953206018516</v>
      </c>
      <c r="C2491" s="2" t="s">
        <v>26</v>
      </c>
      <c r="D2491" t="s">
        <v>45</v>
      </c>
      <c r="E2491">
        <v>98751</v>
      </c>
      <c r="F2491" t="s">
        <v>50</v>
      </c>
      <c r="G2491" t="s">
        <v>58</v>
      </c>
      <c r="H2491" t="s">
        <v>56</v>
      </c>
      <c r="I2491">
        <v>987.51</v>
      </c>
      <c r="J2491">
        <v>0</v>
      </c>
      <c r="K2491">
        <v>987.51</v>
      </c>
    </row>
    <row r="2492" spans="1:11" x14ac:dyDescent="0.25">
      <c r="A2492" t="s">
        <v>2532</v>
      </c>
      <c r="B2492" s="1">
        <v>45893.165659722225</v>
      </c>
      <c r="C2492" s="2" t="s">
        <v>12</v>
      </c>
      <c r="D2492" t="s">
        <v>23</v>
      </c>
      <c r="E2492">
        <v>822</v>
      </c>
      <c r="F2492" t="s">
        <v>14</v>
      </c>
      <c r="G2492" t="s">
        <v>51</v>
      </c>
      <c r="H2492" t="s">
        <v>16</v>
      </c>
      <c r="I2492">
        <v>0</v>
      </c>
      <c r="J2492">
        <v>0</v>
      </c>
      <c r="K2492">
        <v>0</v>
      </c>
    </row>
    <row r="2493" spans="1:11" x14ac:dyDescent="0.25">
      <c r="A2493" t="s">
        <v>2533</v>
      </c>
      <c r="B2493" s="1">
        <v>46040.519571759258</v>
      </c>
      <c r="C2493" s="2" t="s">
        <v>22</v>
      </c>
      <c r="D2493" t="s">
        <v>33</v>
      </c>
      <c r="E2493">
        <v>128569</v>
      </c>
      <c r="F2493" t="s">
        <v>14</v>
      </c>
      <c r="G2493" t="s">
        <v>20</v>
      </c>
      <c r="H2493" t="s">
        <v>16</v>
      </c>
      <c r="I2493">
        <v>0</v>
      </c>
      <c r="J2493">
        <v>0</v>
      </c>
      <c r="K2493">
        <v>0</v>
      </c>
    </row>
    <row r="2494" spans="1:11" x14ac:dyDescent="0.25">
      <c r="A2494" t="s">
        <v>2534</v>
      </c>
      <c r="B2494" s="1">
        <v>45931.675439814811</v>
      </c>
      <c r="C2494" s="2" t="s">
        <v>41</v>
      </c>
      <c r="D2494" t="s">
        <v>13</v>
      </c>
      <c r="E2494">
        <v>31000</v>
      </c>
      <c r="F2494" t="s">
        <v>14</v>
      </c>
      <c r="G2494" t="s">
        <v>51</v>
      </c>
      <c r="H2494" t="s">
        <v>16</v>
      </c>
      <c r="I2494">
        <v>573.5</v>
      </c>
      <c r="J2494">
        <v>229.4</v>
      </c>
      <c r="K2494">
        <v>344.1</v>
      </c>
    </row>
    <row r="2495" spans="1:11" x14ac:dyDescent="0.25">
      <c r="A2495" t="s">
        <v>2535</v>
      </c>
      <c r="B2495" s="1">
        <v>46098.018194444441</v>
      </c>
      <c r="C2495" s="2" t="s">
        <v>39</v>
      </c>
      <c r="D2495" t="s">
        <v>13</v>
      </c>
      <c r="E2495">
        <v>114000</v>
      </c>
      <c r="F2495" t="s">
        <v>14</v>
      </c>
      <c r="G2495" t="s">
        <v>34</v>
      </c>
      <c r="H2495" t="s">
        <v>16</v>
      </c>
      <c r="I2495">
        <v>2109</v>
      </c>
      <c r="J2495">
        <v>843.6</v>
      </c>
      <c r="K2495">
        <v>1265.4000000000001</v>
      </c>
    </row>
    <row r="2496" spans="1:11" x14ac:dyDescent="0.25">
      <c r="A2496" t="s">
        <v>2536</v>
      </c>
      <c r="B2496" s="1">
        <v>46131.485937500001</v>
      </c>
      <c r="C2496" s="2" t="s">
        <v>12</v>
      </c>
      <c r="D2496" t="s">
        <v>13</v>
      </c>
      <c r="E2496">
        <v>172500</v>
      </c>
      <c r="F2496" t="s">
        <v>14</v>
      </c>
      <c r="G2496" t="s">
        <v>58</v>
      </c>
      <c r="H2496" t="s">
        <v>16</v>
      </c>
      <c r="I2496">
        <v>3191.25</v>
      </c>
      <c r="J2496">
        <v>1276.5</v>
      </c>
      <c r="K2496">
        <v>1914.75</v>
      </c>
    </row>
    <row r="2497" spans="1:11" x14ac:dyDescent="0.25">
      <c r="A2497" t="s">
        <v>2537</v>
      </c>
      <c r="B2497" s="1">
        <v>45831.842210648145</v>
      </c>
      <c r="C2497" s="2" t="s">
        <v>12</v>
      </c>
      <c r="D2497" t="s">
        <v>33</v>
      </c>
      <c r="E2497">
        <v>109151</v>
      </c>
      <c r="F2497" t="s">
        <v>14</v>
      </c>
      <c r="G2497" t="s">
        <v>58</v>
      </c>
      <c r="H2497" t="s">
        <v>16</v>
      </c>
      <c r="I2497">
        <v>0</v>
      </c>
      <c r="J2497">
        <v>0</v>
      </c>
      <c r="K2497">
        <v>0</v>
      </c>
    </row>
    <row r="2498" spans="1:11" x14ac:dyDescent="0.25">
      <c r="A2498" t="s">
        <v>2538</v>
      </c>
      <c r="B2498" s="1">
        <v>46030.417696759258</v>
      </c>
      <c r="C2498" s="2" t="s">
        <v>12</v>
      </c>
      <c r="D2498" t="s">
        <v>19</v>
      </c>
      <c r="E2498">
        <v>106676</v>
      </c>
      <c r="F2498" t="s">
        <v>50</v>
      </c>
      <c r="G2498" t="s">
        <v>84</v>
      </c>
      <c r="H2498" t="s">
        <v>16</v>
      </c>
      <c r="I2498">
        <v>5</v>
      </c>
      <c r="J2498">
        <v>0</v>
      </c>
      <c r="K2498">
        <v>5</v>
      </c>
    </row>
    <row r="2499" spans="1:11" x14ac:dyDescent="0.25">
      <c r="A2499" t="s">
        <v>2539</v>
      </c>
      <c r="B2499" s="1">
        <v>45783.011990740742</v>
      </c>
      <c r="C2499" s="2" t="s">
        <v>26</v>
      </c>
      <c r="D2499" t="s">
        <v>23</v>
      </c>
      <c r="E2499">
        <v>3473</v>
      </c>
      <c r="F2499" t="s">
        <v>14</v>
      </c>
      <c r="G2499" t="s">
        <v>84</v>
      </c>
      <c r="H2499" t="s">
        <v>16</v>
      </c>
      <c r="I2499">
        <v>0</v>
      </c>
      <c r="J2499">
        <v>0</v>
      </c>
      <c r="K2499">
        <v>0</v>
      </c>
    </row>
    <row r="2500" spans="1:11" x14ac:dyDescent="0.25">
      <c r="A2500" t="s">
        <v>2540</v>
      </c>
      <c r="B2500" s="1">
        <v>46089.807928240742</v>
      </c>
      <c r="C2500" s="2" t="s">
        <v>29</v>
      </c>
      <c r="D2500" t="s">
        <v>13</v>
      </c>
      <c r="E2500">
        <v>95500</v>
      </c>
      <c r="F2500" t="s">
        <v>14</v>
      </c>
      <c r="G2500" t="s">
        <v>51</v>
      </c>
      <c r="H2500" t="s">
        <v>16</v>
      </c>
      <c r="I2500">
        <v>1766.75</v>
      </c>
      <c r="J2500">
        <v>706.7</v>
      </c>
      <c r="K2500">
        <v>1060.05</v>
      </c>
    </row>
    <row r="2501" spans="1:11" x14ac:dyDescent="0.25">
      <c r="A2501" t="s">
        <v>2541</v>
      </c>
      <c r="B2501" s="1">
        <v>46077.711770833332</v>
      </c>
      <c r="C2501" s="2" t="s">
        <v>29</v>
      </c>
      <c r="D2501" t="s">
        <v>13</v>
      </c>
      <c r="E2501">
        <v>184000</v>
      </c>
      <c r="F2501" t="s">
        <v>50</v>
      </c>
      <c r="G2501" t="s">
        <v>24</v>
      </c>
      <c r="H2501" t="s">
        <v>16</v>
      </c>
      <c r="I2501">
        <v>3404</v>
      </c>
      <c r="J2501">
        <v>1361.6</v>
      </c>
      <c r="K2501">
        <v>2042.4</v>
      </c>
    </row>
    <row r="2502" spans="1:11" x14ac:dyDescent="0.25">
      <c r="A2502" t="s">
        <v>2542</v>
      </c>
      <c r="B2502" s="1">
        <v>45875.094571759262</v>
      </c>
      <c r="C2502" s="2" t="s">
        <v>18</v>
      </c>
      <c r="D2502" t="s">
        <v>45</v>
      </c>
      <c r="E2502">
        <v>63533</v>
      </c>
      <c r="F2502" t="s">
        <v>14</v>
      </c>
      <c r="G2502" t="s">
        <v>15</v>
      </c>
      <c r="H2502" t="s">
        <v>59</v>
      </c>
      <c r="I2502">
        <v>635.33000000000004</v>
      </c>
      <c r="J2502">
        <v>0</v>
      </c>
      <c r="K2502">
        <v>635.33000000000004</v>
      </c>
    </row>
    <row r="2503" spans="1:11" x14ac:dyDescent="0.25">
      <c r="A2503" t="s">
        <v>2543</v>
      </c>
      <c r="B2503" s="1">
        <v>45811.086099537039</v>
      </c>
      <c r="C2503" s="2" t="s">
        <v>39</v>
      </c>
      <c r="D2503" t="s">
        <v>45</v>
      </c>
      <c r="E2503">
        <v>141323</v>
      </c>
      <c r="F2503" t="s">
        <v>14</v>
      </c>
      <c r="G2503" t="s">
        <v>20</v>
      </c>
      <c r="H2503" t="s">
        <v>56</v>
      </c>
      <c r="I2503">
        <v>1413.23</v>
      </c>
      <c r="J2503">
        <v>0</v>
      </c>
      <c r="K2503">
        <v>1413.23</v>
      </c>
    </row>
    <row r="2504" spans="1:11" x14ac:dyDescent="0.25">
      <c r="A2504" t="s">
        <v>2544</v>
      </c>
      <c r="B2504" s="1">
        <v>46087.985509259262</v>
      </c>
      <c r="C2504" s="2" t="s">
        <v>41</v>
      </c>
      <c r="D2504" t="s">
        <v>23</v>
      </c>
      <c r="E2504">
        <v>2326</v>
      </c>
      <c r="F2504" t="s">
        <v>14</v>
      </c>
      <c r="G2504" t="s">
        <v>30</v>
      </c>
      <c r="H2504" t="s">
        <v>16</v>
      </c>
      <c r="I2504">
        <v>0</v>
      </c>
      <c r="J2504">
        <v>0</v>
      </c>
      <c r="K2504">
        <v>0</v>
      </c>
    </row>
    <row r="2505" spans="1:11" x14ac:dyDescent="0.25">
      <c r="A2505" t="s">
        <v>2545</v>
      </c>
      <c r="B2505" s="1">
        <v>45915.612824074073</v>
      </c>
      <c r="C2505" s="2" t="s">
        <v>39</v>
      </c>
      <c r="D2505" t="s">
        <v>45</v>
      </c>
      <c r="E2505">
        <v>116656</v>
      </c>
      <c r="F2505" t="s">
        <v>14</v>
      </c>
      <c r="G2505" t="s">
        <v>27</v>
      </c>
      <c r="H2505" t="s">
        <v>178</v>
      </c>
      <c r="I2505">
        <v>1166.56</v>
      </c>
      <c r="J2505">
        <v>0</v>
      </c>
      <c r="K2505">
        <v>1166.56</v>
      </c>
    </row>
    <row r="2506" spans="1:11" x14ac:dyDescent="0.25">
      <c r="A2506" t="s">
        <v>2546</v>
      </c>
      <c r="B2506" s="1">
        <v>46139.557789351849</v>
      </c>
      <c r="C2506" s="2" t="s">
        <v>26</v>
      </c>
      <c r="D2506" t="s">
        <v>33</v>
      </c>
      <c r="E2506">
        <v>98065</v>
      </c>
      <c r="F2506" t="s">
        <v>14</v>
      </c>
      <c r="G2506" t="s">
        <v>20</v>
      </c>
      <c r="H2506" t="s">
        <v>16</v>
      </c>
      <c r="I2506">
        <v>0</v>
      </c>
      <c r="J2506">
        <v>0</v>
      </c>
      <c r="K2506">
        <v>0</v>
      </c>
    </row>
    <row r="2507" spans="1:11" x14ac:dyDescent="0.25">
      <c r="A2507" t="s">
        <v>2547</v>
      </c>
      <c r="B2507" s="1">
        <v>46009.169363425928</v>
      </c>
      <c r="C2507" s="2" t="s">
        <v>41</v>
      </c>
      <c r="D2507" t="s">
        <v>13</v>
      </c>
      <c r="E2507">
        <v>211000</v>
      </c>
      <c r="F2507" t="s">
        <v>14</v>
      </c>
      <c r="G2507" t="s">
        <v>27</v>
      </c>
      <c r="H2507" t="s">
        <v>16</v>
      </c>
      <c r="I2507">
        <v>3903.5</v>
      </c>
      <c r="J2507">
        <v>1561.4</v>
      </c>
      <c r="K2507">
        <v>2342.1</v>
      </c>
    </row>
    <row r="2508" spans="1:11" x14ac:dyDescent="0.25">
      <c r="A2508" t="s">
        <v>2548</v>
      </c>
      <c r="B2508" s="1">
        <v>45842.55091435185</v>
      </c>
      <c r="C2508" s="2" t="s">
        <v>39</v>
      </c>
      <c r="D2508" t="s">
        <v>33</v>
      </c>
      <c r="E2508">
        <v>33917</v>
      </c>
      <c r="F2508" t="s">
        <v>14</v>
      </c>
      <c r="G2508" t="s">
        <v>34</v>
      </c>
      <c r="H2508" t="s">
        <v>16</v>
      </c>
      <c r="I2508">
        <v>0</v>
      </c>
      <c r="J2508">
        <v>0</v>
      </c>
      <c r="K2508">
        <v>0</v>
      </c>
    </row>
    <row r="2509" spans="1:11" x14ac:dyDescent="0.25">
      <c r="A2509" t="s">
        <v>2549</v>
      </c>
      <c r="B2509" s="1">
        <v>45939.368321759262</v>
      </c>
      <c r="C2509" s="2" t="s">
        <v>41</v>
      </c>
      <c r="D2509" t="s">
        <v>19</v>
      </c>
      <c r="E2509">
        <v>121621</v>
      </c>
      <c r="F2509" t="s">
        <v>14</v>
      </c>
      <c r="G2509" t="s">
        <v>58</v>
      </c>
      <c r="H2509" t="s">
        <v>16</v>
      </c>
      <c r="I2509">
        <v>5</v>
      </c>
      <c r="J2509">
        <v>0</v>
      </c>
      <c r="K2509">
        <v>5</v>
      </c>
    </row>
    <row r="2510" spans="1:11" x14ac:dyDescent="0.25">
      <c r="A2510" t="s">
        <v>2550</v>
      </c>
      <c r="B2510" s="1">
        <v>45807.664953703701</v>
      </c>
      <c r="C2510" s="2" t="s">
        <v>26</v>
      </c>
      <c r="D2510" t="s">
        <v>19</v>
      </c>
      <c r="E2510">
        <v>148435</v>
      </c>
      <c r="F2510" t="s">
        <v>14</v>
      </c>
      <c r="G2510" t="s">
        <v>34</v>
      </c>
      <c r="H2510" t="s">
        <v>16</v>
      </c>
      <c r="I2510">
        <v>5</v>
      </c>
      <c r="J2510">
        <v>0</v>
      </c>
      <c r="K2510">
        <v>5</v>
      </c>
    </row>
    <row r="2511" spans="1:11" x14ac:dyDescent="0.25">
      <c r="A2511" t="s">
        <v>2551</v>
      </c>
      <c r="B2511" s="1">
        <v>45898.613425925927</v>
      </c>
      <c r="C2511" s="2" t="s">
        <v>29</v>
      </c>
      <c r="D2511" t="s">
        <v>33</v>
      </c>
      <c r="E2511">
        <v>104309</v>
      </c>
      <c r="F2511" t="s">
        <v>14</v>
      </c>
      <c r="G2511" t="s">
        <v>15</v>
      </c>
      <c r="H2511" t="s">
        <v>16</v>
      </c>
      <c r="I2511">
        <v>0</v>
      </c>
      <c r="J2511">
        <v>0</v>
      </c>
      <c r="K2511">
        <v>0</v>
      </c>
    </row>
    <row r="2512" spans="1:11" x14ac:dyDescent="0.25">
      <c r="A2512" t="s">
        <v>2552</v>
      </c>
      <c r="B2512" s="1">
        <v>46051.384247685186</v>
      </c>
      <c r="C2512" s="2" t="s">
        <v>41</v>
      </c>
      <c r="D2512" t="s">
        <v>19</v>
      </c>
      <c r="E2512">
        <v>65964</v>
      </c>
      <c r="F2512" t="s">
        <v>50</v>
      </c>
      <c r="G2512" t="s">
        <v>58</v>
      </c>
      <c r="H2512" t="s">
        <v>16</v>
      </c>
      <c r="I2512">
        <v>5</v>
      </c>
      <c r="J2512">
        <v>0</v>
      </c>
      <c r="K2512">
        <v>5</v>
      </c>
    </row>
    <row r="2513" spans="1:11" x14ac:dyDescent="0.25">
      <c r="A2513" t="s">
        <v>2553</v>
      </c>
      <c r="B2513" s="1">
        <v>45822.198981481481</v>
      </c>
      <c r="C2513" s="2" t="s">
        <v>29</v>
      </c>
      <c r="D2513" t="s">
        <v>23</v>
      </c>
      <c r="E2513">
        <v>2331</v>
      </c>
      <c r="F2513" t="s">
        <v>14</v>
      </c>
      <c r="G2513" t="s">
        <v>58</v>
      </c>
      <c r="H2513" t="s">
        <v>16</v>
      </c>
      <c r="I2513">
        <v>0</v>
      </c>
      <c r="J2513">
        <v>0</v>
      </c>
      <c r="K2513">
        <v>0</v>
      </c>
    </row>
    <row r="2514" spans="1:11" x14ac:dyDescent="0.25">
      <c r="A2514" t="s">
        <v>2554</v>
      </c>
      <c r="B2514" s="1">
        <v>45851.460798611108</v>
      </c>
      <c r="C2514" s="2" t="s">
        <v>39</v>
      </c>
      <c r="D2514" t="s">
        <v>19</v>
      </c>
      <c r="E2514">
        <v>51121</v>
      </c>
      <c r="F2514" t="s">
        <v>14</v>
      </c>
      <c r="G2514" t="s">
        <v>84</v>
      </c>
      <c r="H2514" t="s">
        <v>16</v>
      </c>
      <c r="I2514">
        <v>5</v>
      </c>
      <c r="J2514">
        <v>0</v>
      </c>
      <c r="K2514">
        <v>5</v>
      </c>
    </row>
    <row r="2515" spans="1:11" x14ac:dyDescent="0.25">
      <c r="A2515" t="s">
        <v>2555</v>
      </c>
      <c r="B2515" s="1">
        <v>46068.914270833331</v>
      </c>
      <c r="C2515" s="2" t="s">
        <v>18</v>
      </c>
      <c r="D2515" t="s">
        <v>33</v>
      </c>
      <c r="E2515">
        <v>15776</v>
      </c>
      <c r="F2515" t="s">
        <v>14</v>
      </c>
      <c r="G2515" t="s">
        <v>30</v>
      </c>
      <c r="H2515" t="s">
        <v>16</v>
      </c>
      <c r="I2515">
        <v>0</v>
      </c>
      <c r="J2515">
        <v>0</v>
      </c>
      <c r="K2515">
        <v>0</v>
      </c>
    </row>
    <row r="2516" spans="1:11" x14ac:dyDescent="0.25">
      <c r="A2516" t="s">
        <v>2556</v>
      </c>
      <c r="B2516" s="1">
        <v>45822.961782407408</v>
      </c>
      <c r="C2516" s="2" t="s">
        <v>26</v>
      </c>
      <c r="D2516" t="s">
        <v>33</v>
      </c>
      <c r="E2516">
        <v>81484</v>
      </c>
      <c r="F2516" t="s">
        <v>14</v>
      </c>
      <c r="G2516" t="s">
        <v>84</v>
      </c>
      <c r="H2516" t="s">
        <v>16</v>
      </c>
      <c r="I2516">
        <v>0</v>
      </c>
      <c r="J2516">
        <v>0</v>
      </c>
      <c r="K2516">
        <v>0</v>
      </c>
    </row>
    <row r="2517" spans="1:11" x14ac:dyDescent="0.25">
      <c r="A2517" t="s">
        <v>2557</v>
      </c>
      <c r="B2517" s="1">
        <v>46101.810995370368</v>
      </c>
      <c r="C2517" s="2" t="s">
        <v>39</v>
      </c>
      <c r="D2517" t="s">
        <v>33</v>
      </c>
      <c r="E2517">
        <v>99153</v>
      </c>
      <c r="F2517" t="s">
        <v>14</v>
      </c>
      <c r="G2517" t="s">
        <v>34</v>
      </c>
      <c r="H2517" t="s">
        <v>16</v>
      </c>
      <c r="I2517">
        <v>0</v>
      </c>
      <c r="J2517">
        <v>0</v>
      </c>
      <c r="K2517">
        <v>0</v>
      </c>
    </row>
    <row r="2518" spans="1:11" x14ac:dyDescent="0.25">
      <c r="A2518" t="s">
        <v>2558</v>
      </c>
      <c r="B2518" s="1">
        <v>45992.778217592589</v>
      </c>
      <c r="C2518" s="2" t="s">
        <v>26</v>
      </c>
      <c r="D2518" t="s">
        <v>45</v>
      </c>
      <c r="E2518">
        <v>36883</v>
      </c>
      <c r="F2518" t="s">
        <v>14</v>
      </c>
      <c r="G2518" t="s">
        <v>51</v>
      </c>
      <c r="H2518" t="s">
        <v>59</v>
      </c>
      <c r="I2518">
        <v>368.83</v>
      </c>
      <c r="J2518">
        <v>0</v>
      </c>
      <c r="K2518">
        <v>368.83</v>
      </c>
    </row>
    <row r="2519" spans="1:11" x14ac:dyDescent="0.25">
      <c r="A2519" t="s">
        <v>2559</v>
      </c>
      <c r="B2519" s="1">
        <v>46096.40729166667</v>
      </c>
      <c r="C2519" s="2" t="s">
        <v>39</v>
      </c>
      <c r="D2519" t="s">
        <v>45</v>
      </c>
      <c r="E2519">
        <v>33490</v>
      </c>
      <c r="F2519" t="s">
        <v>14</v>
      </c>
      <c r="G2519" t="s">
        <v>15</v>
      </c>
      <c r="H2519" t="s">
        <v>178</v>
      </c>
      <c r="I2519">
        <v>334.9</v>
      </c>
      <c r="J2519">
        <v>0</v>
      </c>
      <c r="K2519">
        <v>334.9</v>
      </c>
    </row>
    <row r="2520" spans="1:11" x14ac:dyDescent="0.25">
      <c r="A2520" t="s">
        <v>2560</v>
      </c>
      <c r="B2520" s="1">
        <v>45797.980740740742</v>
      </c>
      <c r="C2520" s="2" t="s">
        <v>12</v>
      </c>
      <c r="D2520" t="s">
        <v>45</v>
      </c>
      <c r="E2520">
        <v>33338</v>
      </c>
      <c r="F2520" t="s">
        <v>14</v>
      </c>
      <c r="G2520" t="s">
        <v>34</v>
      </c>
      <c r="H2520" t="s">
        <v>46</v>
      </c>
      <c r="I2520">
        <v>333.38</v>
      </c>
      <c r="J2520">
        <v>0</v>
      </c>
      <c r="K2520">
        <v>333.38</v>
      </c>
    </row>
    <row r="2521" spans="1:11" x14ac:dyDescent="0.25">
      <c r="A2521" t="s">
        <v>2561</v>
      </c>
      <c r="B2521" s="1">
        <v>46077.957685185182</v>
      </c>
      <c r="C2521" s="2" t="s">
        <v>29</v>
      </c>
      <c r="D2521" t="s">
        <v>33</v>
      </c>
      <c r="E2521">
        <v>105510</v>
      </c>
      <c r="F2521" t="s">
        <v>14</v>
      </c>
      <c r="G2521" t="s">
        <v>51</v>
      </c>
      <c r="H2521" t="s">
        <v>16</v>
      </c>
      <c r="I2521">
        <v>0</v>
      </c>
      <c r="J2521">
        <v>0</v>
      </c>
      <c r="K2521">
        <v>0</v>
      </c>
    </row>
    <row r="2522" spans="1:11" x14ac:dyDescent="0.25">
      <c r="A2522" t="s">
        <v>2562</v>
      </c>
      <c r="B2522" s="1">
        <v>45838.34034722222</v>
      </c>
      <c r="C2522" s="2" t="s">
        <v>29</v>
      </c>
      <c r="D2522" t="s">
        <v>33</v>
      </c>
      <c r="E2522">
        <v>113383</v>
      </c>
      <c r="F2522" t="s">
        <v>14</v>
      </c>
      <c r="G2522" t="s">
        <v>15</v>
      </c>
      <c r="H2522" t="s">
        <v>16</v>
      </c>
      <c r="I2522">
        <v>0</v>
      </c>
      <c r="J2522">
        <v>0</v>
      </c>
      <c r="K2522">
        <v>0</v>
      </c>
    </row>
    <row r="2523" spans="1:11" x14ac:dyDescent="0.25">
      <c r="A2523" t="s">
        <v>2563</v>
      </c>
      <c r="B2523" s="1">
        <v>45966.731342592589</v>
      </c>
      <c r="C2523" s="2" t="s">
        <v>26</v>
      </c>
      <c r="D2523" t="s">
        <v>45</v>
      </c>
      <c r="E2523">
        <v>13826</v>
      </c>
      <c r="F2523" t="s">
        <v>14</v>
      </c>
      <c r="G2523" t="s">
        <v>58</v>
      </c>
      <c r="H2523" t="s">
        <v>178</v>
      </c>
      <c r="I2523">
        <v>138.26</v>
      </c>
      <c r="J2523">
        <v>0</v>
      </c>
      <c r="K2523">
        <v>138.26</v>
      </c>
    </row>
    <row r="2524" spans="1:11" x14ac:dyDescent="0.25">
      <c r="A2524" t="s">
        <v>2564</v>
      </c>
      <c r="B2524" s="1">
        <v>46016.390625</v>
      </c>
      <c r="C2524" s="2" t="s">
        <v>39</v>
      </c>
      <c r="D2524" t="s">
        <v>19</v>
      </c>
      <c r="E2524">
        <v>130733</v>
      </c>
      <c r="F2524" t="s">
        <v>14</v>
      </c>
      <c r="G2524" t="s">
        <v>15</v>
      </c>
      <c r="H2524" t="s">
        <v>16</v>
      </c>
      <c r="I2524">
        <v>5</v>
      </c>
      <c r="J2524">
        <v>0</v>
      </c>
      <c r="K2524">
        <v>5</v>
      </c>
    </row>
    <row r="2525" spans="1:11" x14ac:dyDescent="0.25">
      <c r="A2525" t="s">
        <v>2565</v>
      </c>
      <c r="B2525" s="1">
        <v>45828.114756944444</v>
      </c>
      <c r="C2525" s="2" t="s">
        <v>12</v>
      </c>
      <c r="D2525" t="s">
        <v>13</v>
      </c>
      <c r="E2525">
        <v>55500</v>
      </c>
      <c r="F2525" t="s">
        <v>14</v>
      </c>
      <c r="G2525" t="s">
        <v>51</v>
      </c>
      <c r="H2525" t="s">
        <v>16</v>
      </c>
      <c r="I2525">
        <v>1026.75</v>
      </c>
      <c r="J2525">
        <v>410.7</v>
      </c>
      <c r="K2525">
        <v>616.04999999999995</v>
      </c>
    </row>
    <row r="2526" spans="1:11" x14ac:dyDescent="0.25">
      <c r="A2526" t="s">
        <v>2566</v>
      </c>
      <c r="B2526" s="1">
        <v>46006.373148148145</v>
      </c>
      <c r="C2526" s="2" t="s">
        <v>32</v>
      </c>
      <c r="D2526" t="s">
        <v>19</v>
      </c>
      <c r="E2526">
        <v>144208</v>
      </c>
      <c r="F2526" t="s">
        <v>99</v>
      </c>
      <c r="G2526" t="s">
        <v>27</v>
      </c>
      <c r="H2526" t="s">
        <v>16</v>
      </c>
      <c r="I2526">
        <v>5</v>
      </c>
      <c r="J2526">
        <v>0</v>
      </c>
      <c r="K2526">
        <v>5</v>
      </c>
    </row>
    <row r="2527" spans="1:11" x14ac:dyDescent="0.25">
      <c r="A2527" t="s">
        <v>2567</v>
      </c>
      <c r="B2527" s="1">
        <v>45924.311273148145</v>
      </c>
      <c r="C2527" s="2" t="s">
        <v>12</v>
      </c>
      <c r="D2527" t="s">
        <v>19</v>
      </c>
      <c r="E2527">
        <v>29606</v>
      </c>
      <c r="F2527" t="s">
        <v>14</v>
      </c>
      <c r="G2527" t="s">
        <v>51</v>
      </c>
      <c r="H2527" t="s">
        <v>16</v>
      </c>
      <c r="I2527">
        <v>5</v>
      </c>
      <c r="J2527">
        <v>0</v>
      </c>
      <c r="K2527">
        <v>5</v>
      </c>
    </row>
    <row r="2528" spans="1:11" x14ac:dyDescent="0.25">
      <c r="A2528" t="s">
        <v>2568</v>
      </c>
      <c r="B2528" s="1">
        <v>46046.969768518517</v>
      </c>
      <c r="C2528" s="2" t="s">
        <v>41</v>
      </c>
      <c r="D2528" t="s">
        <v>13</v>
      </c>
      <c r="E2528">
        <v>168000</v>
      </c>
      <c r="F2528" t="s">
        <v>14</v>
      </c>
      <c r="G2528" t="s">
        <v>84</v>
      </c>
      <c r="H2528" t="s">
        <v>16</v>
      </c>
      <c r="I2528">
        <v>3108</v>
      </c>
      <c r="J2528">
        <v>1243.2</v>
      </c>
      <c r="K2528">
        <v>1864.8</v>
      </c>
    </row>
    <row r="2529" spans="1:11" x14ac:dyDescent="0.25">
      <c r="A2529" t="s">
        <v>2569</v>
      </c>
      <c r="B2529" s="1">
        <v>45780.939444444448</v>
      </c>
      <c r="C2529" s="2" t="s">
        <v>32</v>
      </c>
      <c r="D2529" t="s">
        <v>45</v>
      </c>
      <c r="E2529">
        <v>139013</v>
      </c>
      <c r="F2529" t="s">
        <v>14</v>
      </c>
      <c r="G2529" t="s">
        <v>51</v>
      </c>
      <c r="H2529" t="s">
        <v>56</v>
      </c>
      <c r="I2529">
        <v>1390.13</v>
      </c>
      <c r="J2529">
        <v>0</v>
      </c>
      <c r="K2529">
        <v>1390.13</v>
      </c>
    </row>
    <row r="2530" spans="1:11" x14ac:dyDescent="0.25">
      <c r="A2530" t="s">
        <v>2570</v>
      </c>
      <c r="B2530" s="1">
        <v>45982.817326388889</v>
      </c>
      <c r="C2530" s="2" t="s">
        <v>29</v>
      </c>
      <c r="D2530" t="s">
        <v>23</v>
      </c>
      <c r="E2530">
        <v>2547</v>
      </c>
      <c r="F2530" t="s">
        <v>14</v>
      </c>
      <c r="G2530" t="s">
        <v>34</v>
      </c>
      <c r="H2530" t="s">
        <v>16</v>
      </c>
      <c r="I2530">
        <v>0</v>
      </c>
      <c r="J2530">
        <v>0</v>
      </c>
      <c r="K2530">
        <v>0</v>
      </c>
    </row>
    <row r="2531" spans="1:11" x14ac:dyDescent="0.25">
      <c r="A2531" t="s">
        <v>2571</v>
      </c>
      <c r="B2531" s="1">
        <v>46087.314942129633</v>
      </c>
      <c r="C2531" s="2" t="s">
        <v>41</v>
      </c>
      <c r="D2531" t="s">
        <v>19</v>
      </c>
      <c r="E2531">
        <v>122892</v>
      </c>
      <c r="F2531" t="s">
        <v>14</v>
      </c>
      <c r="G2531" t="s">
        <v>34</v>
      </c>
      <c r="H2531" t="s">
        <v>16</v>
      </c>
      <c r="I2531">
        <v>5</v>
      </c>
      <c r="J2531">
        <v>0</v>
      </c>
      <c r="K2531">
        <v>5</v>
      </c>
    </row>
    <row r="2532" spans="1:11" x14ac:dyDescent="0.25">
      <c r="A2532" t="s">
        <v>2572</v>
      </c>
      <c r="B2532" s="1">
        <v>45778.973020833335</v>
      </c>
      <c r="C2532" s="2" t="s">
        <v>18</v>
      </c>
      <c r="D2532" t="s">
        <v>45</v>
      </c>
      <c r="E2532">
        <v>23072</v>
      </c>
      <c r="F2532" t="s">
        <v>50</v>
      </c>
      <c r="G2532" t="s">
        <v>51</v>
      </c>
      <c r="H2532" t="s">
        <v>178</v>
      </c>
      <c r="I2532">
        <v>230.72</v>
      </c>
      <c r="J2532">
        <v>0</v>
      </c>
      <c r="K2532">
        <v>230.72</v>
      </c>
    </row>
    <row r="2533" spans="1:11" x14ac:dyDescent="0.25">
      <c r="A2533" t="s">
        <v>2573</v>
      </c>
      <c r="B2533" s="1">
        <v>45956.259340277778</v>
      </c>
      <c r="C2533" s="2" t="s">
        <v>12</v>
      </c>
      <c r="D2533" t="s">
        <v>45</v>
      </c>
      <c r="E2533">
        <v>103635</v>
      </c>
      <c r="F2533" t="s">
        <v>14</v>
      </c>
      <c r="G2533" t="s">
        <v>30</v>
      </c>
      <c r="H2533" t="s">
        <v>59</v>
      </c>
      <c r="I2533">
        <v>1036.3499999999999</v>
      </c>
      <c r="J2533">
        <v>0</v>
      </c>
      <c r="K2533">
        <v>1036.3499999999999</v>
      </c>
    </row>
    <row r="2534" spans="1:11" x14ac:dyDescent="0.25">
      <c r="A2534" t="s">
        <v>2574</v>
      </c>
      <c r="B2534" s="1">
        <v>45904.969097222223</v>
      </c>
      <c r="C2534" s="2" t="s">
        <v>12</v>
      </c>
      <c r="D2534" t="s">
        <v>19</v>
      </c>
      <c r="E2534">
        <v>120235</v>
      </c>
      <c r="F2534" t="s">
        <v>14</v>
      </c>
      <c r="G2534" t="s">
        <v>27</v>
      </c>
      <c r="H2534" t="s">
        <v>16</v>
      </c>
      <c r="I2534">
        <v>5</v>
      </c>
      <c r="J2534">
        <v>0</v>
      </c>
      <c r="K2534">
        <v>5</v>
      </c>
    </row>
    <row r="2535" spans="1:11" x14ac:dyDescent="0.25">
      <c r="A2535" t="s">
        <v>2575</v>
      </c>
      <c r="B2535" s="1">
        <v>46048.19295138889</v>
      </c>
      <c r="C2535" s="2" t="s">
        <v>41</v>
      </c>
      <c r="D2535" t="s">
        <v>19</v>
      </c>
      <c r="E2535">
        <v>12350</v>
      </c>
      <c r="F2535" t="s">
        <v>14</v>
      </c>
      <c r="G2535" t="s">
        <v>30</v>
      </c>
      <c r="H2535" t="s">
        <v>16</v>
      </c>
      <c r="I2535">
        <v>5</v>
      </c>
      <c r="J2535">
        <v>0</v>
      </c>
      <c r="K2535">
        <v>5</v>
      </c>
    </row>
    <row r="2536" spans="1:11" x14ac:dyDescent="0.25">
      <c r="A2536" t="s">
        <v>2576</v>
      </c>
      <c r="B2536" s="1">
        <v>45837.959606481483</v>
      </c>
      <c r="C2536" s="2" t="s">
        <v>26</v>
      </c>
      <c r="D2536" t="s">
        <v>45</v>
      </c>
      <c r="E2536">
        <v>64884</v>
      </c>
      <c r="F2536" t="s">
        <v>14</v>
      </c>
      <c r="G2536" t="s">
        <v>15</v>
      </c>
      <c r="H2536" t="s">
        <v>178</v>
      </c>
      <c r="I2536">
        <v>648.84</v>
      </c>
      <c r="J2536">
        <v>0</v>
      </c>
      <c r="K2536">
        <v>648.84</v>
      </c>
    </row>
    <row r="2537" spans="1:11" x14ac:dyDescent="0.25">
      <c r="A2537" t="s">
        <v>2577</v>
      </c>
      <c r="B2537" s="1">
        <v>45883.092997685184</v>
      </c>
      <c r="C2537" s="2" t="s">
        <v>26</v>
      </c>
      <c r="D2537" t="s">
        <v>13</v>
      </c>
      <c r="E2537">
        <v>188500</v>
      </c>
      <c r="F2537" t="s">
        <v>14</v>
      </c>
      <c r="G2537" t="s">
        <v>34</v>
      </c>
      <c r="H2537" t="s">
        <v>16</v>
      </c>
      <c r="I2537">
        <v>3487.25</v>
      </c>
      <c r="J2537">
        <v>1394.9</v>
      </c>
      <c r="K2537">
        <v>2092.35</v>
      </c>
    </row>
    <row r="2538" spans="1:11" x14ac:dyDescent="0.25">
      <c r="A2538" t="s">
        <v>2578</v>
      </c>
      <c r="B2538" s="1">
        <v>45992.991342592592</v>
      </c>
      <c r="C2538" s="2" t="s">
        <v>32</v>
      </c>
      <c r="D2538" t="s">
        <v>19</v>
      </c>
      <c r="E2538">
        <v>24917</v>
      </c>
      <c r="F2538" t="s">
        <v>14</v>
      </c>
      <c r="G2538" t="s">
        <v>27</v>
      </c>
      <c r="H2538" t="s">
        <v>16</v>
      </c>
      <c r="I2538">
        <v>5</v>
      </c>
      <c r="J2538">
        <v>0</v>
      </c>
      <c r="K2538">
        <v>5</v>
      </c>
    </row>
    <row r="2539" spans="1:11" x14ac:dyDescent="0.25">
      <c r="A2539" t="s">
        <v>2579</v>
      </c>
      <c r="B2539" s="1">
        <v>46091.264953703707</v>
      </c>
      <c r="C2539" s="2" t="s">
        <v>29</v>
      </c>
      <c r="D2539" t="s">
        <v>45</v>
      </c>
      <c r="E2539">
        <v>20254</v>
      </c>
      <c r="F2539" t="s">
        <v>14</v>
      </c>
      <c r="G2539" t="s">
        <v>27</v>
      </c>
      <c r="H2539" t="s">
        <v>71</v>
      </c>
      <c r="I2539">
        <v>202.54</v>
      </c>
      <c r="J2539">
        <v>0</v>
      </c>
      <c r="K2539">
        <v>202.54</v>
      </c>
    </row>
    <row r="2540" spans="1:11" x14ac:dyDescent="0.25">
      <c r="A2540" t="s">
        <v>2580</v>
      </c>
      <c r="B2540" s="1">
        <v>45858.821782407409</v>
      </c>
      <c r="C2540" s="2" t="s">
        <v>41</v>
      </c>
      <c r="D2540" t="s">
        <v>23</v>
      </c>
      <c r="E2540">
        <v>2008</v>
      </c>
      <c r="F2540" t="s">
        <v>14</v>
      </c>
      <c r="G2540" t="s">
        <v>27</v>
      </c>
      <c r="H2540" t="s">
        <v>16</v>
      </c>
      <c r="I2540">
        <v>0</v>
      </c>
      <c r="J2540">
        <v>0</v>
      </c>
      <c r="K2540">
        <v>0</v>
      </c>
    </row>
    <row r="2541" spans="1:11" x14ac:dyDescent="0.25">
      <c r="A2541" t="s">
        <v>2581</v>
      </c>
      <c r="B2541" s="1">
        <v>45830.29996527778</v>
      </c>
      <c r="C2541" s="2" t="s">
        <v>18</v>
      </c>
      <c r="D2541" t="s">
        <v>23</v>
      </c>
      <c r="E2541">
        <v>1577</v>
      </c>
      <c r="F2541" t="s">
        <v>50</v>
      </c>
      <c r="G2541" t="s">
        <v>51</v>
      </c>
      <c r="H2541" t="s">
        <v>16</v>
      </c>
      <c r="I2541">
        <v>0</v>
      </c>
      <c r="J2541">
        <v>0</v>
      </c>
      <c r="K2541">
        <v>0</v>
      </c>
    </row>
    <row r="2542" spans="1:11" x14ac:dyDescent="0.25">
      <c r="A2542" t="s">
        <v>2582</v>
      </c>
      <c r="B2542" s="1">
        <v>45999.784537037034</v>
      </c>
      <c r="C2542" s="2" t="s">
        <v>22</v>
      </c>
      <c r="D2542" t="s">
        <v>13</v>
      </c>
      <c r="E2542">
        <v>179500</v>
      </c>
      <c r="F2542" t="s">
        <v>14</v>
      </c>
      <c r="G2542" t="s">
        <v>24</v>
      </c>
      <c r="H2542" t="s">
        <v>16</v>
      </c>
      <c r="I2542">
        <v>3320.75</v>
      </c>
      <c r="J2542">
        <v>1328.3</v>
      </c>
      <c r="K2542">
        <v>1992.45</v>
      </c>
    </row>
    <row r="2543" spans="1:11" x14ac:dyDescent="0.25">
      <c r="A2543" t="s">
        <v>2583</v>
      </c>
      <c r="B2543" s="1">
        <v>45929.70815972222</v>
      </c>
      <c r="C2543" s="2" t="s">
        <v>32</v>
      </c>
      <c r="D2543" t="s">
        <v>13</v>
      </c>
      <c r="E2543">
        <v>163500</v>
      </c>
      <c r="F2543" t="s">
        <v>14</v>
      </c>
      <c r="G2543" t="s">
        <v>30</v>
      </c>
      <c r="H2543" t="s">
        <v>16</v>
      </c>
      <c r="I2543">
        <v>3024.75</v>
      </c>
      <c r="J2543">
        <v>1209.9000000000001</v>
      </c>
      <c r="K2543">
        <v>1814.85</v>
      </c>
    </row>
    <row r="2544" spans="1:11" x14ac:dyDescent="0.25">
      <c r="A2544" t="s">
        <v>2584</v>
      </c>
      <c r="B2544" s="1">
        <v>45897.175810185188</v>
      </c>
      <c r="C2544" s="2" t="s">
        <v>29</v>
      </c>
      <c r="D2544" t="s">
        <v>19</v>
      </c>
      <c r="E2544">
        <v>92858</v>
      </c>
      <c r="F2544" t="s">
        <v>14</v>
      </c>
      <c r="G2544" t="s">
        <v>20</v>
      </c>
      <c r="H2544" t="s">
        <v>16</v>
      </c>
      <c r="I2544">
        <v>5</v>
      </c>
      <c r="J2544">
        <v>0</v>
      </c>
      <c r="K2544">
        <v>5</v>
      </c>
    </row>
    <row r="2545" spans="1:11" x14ac:dyDescent="0.25">
      <c r="A2545" t="s">
        <v>2585</v>
      </c>
      <c r="B2545" s="1">
        <v>45783.550428240742</v>
      </c>
      <c r="C2545" s="2" t="s">
        <v>41</v>
      </c>
      <c r="D2545" t="s">
        <v>45</v>
      </c>
      <c r="E2545">
        <v>108497</v>
      </c>
      <c r="F2545" t="s">
        <v>14</v>
      </c>
      <c r="G2545" t="s">
        <v>20</v>
      </c>
      <c r="H2545" t="s">
        <v>59</v>
      </c>
      <c r="I2545">
        <v>1084.97</v>
      </c>
      <c r="J2545">
        <v>0</v>
      </c>
      <c r="K2545">
        <v>1084.97</v>
      </c>
    </row>
    <row r="2546" spans="1:11" x14ac:dyDescent="0.25">
      <c r="A2546" t="s">
        <v>2586</v>
      </c>
      <c r="B2546" s="1">
        <v>45983.687268518515</v>
      </c>
      <c r="C2546" s="2" t="s">
        <v>39</v>
      </c>
      <c r="D2546" t="s">
        <v>23</v>
      </c>
      <c r="E2546">
        <v>544</v>
      </c>
      <c r="F2546" t="s">
        <v>14</v>
      </c>
      <c r="G2546" t="s">
        <v>58</v>
      </c>
      <c r="H2546" t="s">
        <v>16</v>
      </c>
      <c r="I2546">
        <v>0</v>
      </c>
      <c r="J2546">
        <v>0</v>
      </c>
      <c r="K2546">
        <v>0</v>
      </c>
    </row>
    <row r="2547" spans="1:11" x14ac:dyDescent="0.25">
      <c r="A2547" t="s">
        <v>2587</v>
      </c>
      <c r="B2547" s="1">
        <v>45952.101851851854</v>
      </c>
      <c r="C2547" s="2" t="s">
        <v>41</v>
      </c>
      <c r="D2547" t="s">
        <v>13</v>
      </c>
      <c r="E2547">
        <v>203000</v>
      </c>
      <c r="F2547" t="s">
        <v>14</v>
      </c>
      <c r="G2547" t="s">
        <v>58</v>
      </c>
      <c r="H2547" t="s">
        <v>16</v>
      </c>
      <c r="I2547">
        <v>3755.5</v>
      </c>
      <c r="J2547">
        <v>1502.2</v>
      </c>
      <c r="K2547">
        <v>2253.3000000000002</v>
      </c>
    </row>
    <row r="2548" spans="1:11" x14ac:dyDescent="0.25">
      <c r="A2548" t="s">
        <v>2588</v>
      </c>
      <c r="B2548" s="1">
        <v>45826.775219907409</v>
      </c>
      <c r="C2548" s="2" t="s">
        <v>18</v>
      </c>
      <c r="D2548" t="s">
        <v>45</v>
      </c>
      <c r="E2548">
        <v>147796</v>
      </c>
      <c r="F2548" t="s">
        <v>14</v>
      </c>
      <c r="G2548" t="s">
        <v>24</v>
      </c>
      <c r="H2548" t="s">
        <v>56</v>
      </c>
      <c r="I2548">
        <v>1477.96</v>
      </c>
      <c r="J2548">
        <v>0</v>
      </c>
      <c r="K2548">
        <v>1477.96</v>
      </c>
    </row>
    <row r="2549" spans="1:11" x14ac:dyDescent="0.25">
      <c r="A2549" t="s">
        <v>2589</v>
      </c>
      <c r="B2549" s="1">
        <v>45982.298587962963</v>
      </c>
      <c r="C2549" s="2" t="s">
        <v>22</v>
      </c>
      <c r="D2549" t="s">
        <v>19</v>
      </c>
      <c r="E2549">
        <v>37593</v>
      </c>
      <c r="F2549" t="s">
        <v>14</v>
      </c>
      <c r="G2549" t="s">
        <v>84</v>
      </c>
      <c r="H2549" t="s">
        <v>16</v>
      </c>
      <c r="I2549">
        <v>5</v>
      </c>
      <c r="J2549">
        <v>0</v>
      </c>
      <c r="K2549">
        <v>5</v>
      </c>
    </row>
    <row r="2550" spans="1:11" x14ac:dyDescent="0.25">
      <c r="A2550" t="s">
        <v>2590</v>
      </c>
      <c r="B2550" s="1">
        <v>45897.329293981478</v>
      </c>
      <c r="C2550" s="2" t="s">
        <v>18</v>
      </c>
      <c r="D2550" t="s">
        <v>13</v>
      </c>
      <c r="E2550">
        <v>243000</v>
      </c>
      <c r="F2550" t="s">
        <v>14</v>
      </c>
      <c r="G2550" t="s">
        <v>58</v>
      </c>
      <c r="H2550" t="s">
        <v>16</v>
      </c>
      <c r="I2550">
        <v>4495.5</v>
      </c>
      <c r="J2550">
        <v>1798.2</v>
      </c>
      <c r="K2550">
        <v>2697.3</v>
      </c>
    </row>
    <row r="2551" spans="1:11" x14ac:dyDescent="0.25">
      <c r="A2551" t="s">
        <v>2591</v>
      </c>
      <c r="B2551" s="1">
        <v>46112.965937499997</v>
      </c>
      <c r="C2551" s="2" t="s">
        <v>26</v>
      </c>
      <c r="D2551" t="s">
        <v>45</v>
      </c>
      <c r="E2551">
        <v>41477</v>
      </c>
      <c r="F2551" t="s">
        <v>14</v>
      </c>
      <c r="G2551" t="s">
        <v>84</v>
      </c>
      <c r="H2551" t="s">
        <v>46</v>
      </c>
      <c r="I2551">
        <v>414.77</v>
      </c>
      <c r="J2551">
        <v>0</v>
      </c>
      <c r="K2551">
        <v>414.77</v>
      </c>
    </row>
    <row r="2552" spans="1:11" x14ac:dyDescent="0.25">
      <c r="A2552" t="s">
        <v>2592</v>
      </c>
      <c r="B2552" s="1">
        <v>45779.157824074071</v>
      </c>
      <c r="C2552" s="2" t="s">
        <v>29</v>
      </c>
      <c r="D2552" t="s">
        <v>45</v>
      </c>
      <c r="E2552">
        <v>141682</v>
      </c>
      <c r="F2552" t="s">
        <v>14</v>
      </c>
      <c r="G2552" t="s">
        <v>30</v>
      </c>
      <c r="H2552" t="s">
        <v>56</v>
      </c>
      <c r="I2552">
        <v>1416.82</v>
      </c>
      <c r="J2552">
        <v>0</v>
      </c>
      <c r="K2552">
        <v>1416.82</v>
      </c>
    </row>
    <row r="2553" spans="1:11" x14ac:dyDescent="0.25">
      <c r="A2553" t="s">
        <v>2593</v>
      </c>
      <c r="B2553" s="1">
        <v>46054.448611111111</v>
      </c>
      <c r="C2553" s="2" t="s">
        <v>22</v>
      </c>
      <c r="D2553" t="s">
        <v>45</v>
      </c>
      <c r="E2553">
        <v>12351</v>
      </c>
      <c r="F2553" t="s">
        <v>14</v>
      </c>
      <c r="G2553" t="s">
        <v>24</v>
      </c>
      <c r="H2553" t="s">
        <v>59</v>
      </c>
      <c r="I2553">
        <v>123.51</v>
      </c>
      <c r="J2553">
        <v>0</v>
      </c>
      <c r="K2553">
        <v>123.51</v>
      </c>
    </row>
    <row r="2554" spans="1:11" x14ac:dyDescent="0.25">
      <c r="A2554" t="s">
        <v>2594</v>
      </c>
      <c r="B2554" s="1">
        <v>46112.39916666667</v>
      </c>
      <c r="C2554" s="2" t="s">
        <v>22</v>
      </c>
      <c r="D2554" t="s">
        <v>23</v>
      </c>
      <c r="E2554">
        <v>3360</v>
      </c>
      <c r="F2554" t="s">
        <v>14</v>
      </c>
      <c r="G2554" t="s">
        <v>58</v>
      </c>
      <c r="H2554" t="s">
        <v>16</v>
      </c>
      <c r="I2554">
        <v>0</v>
      </c>
      <c r="J2554">
        <v>0</v>
      </c>
      <c r="K2554">
        <v>0</v>
      </c>
    </row>
    <row r="2555" spans="1:11" x14ac:dyDescent="0.25">
      <c r="A2555" t="s">
        <v>2595</v>
      </c>
      <c r="B2555" s="1">
        <v>45953.158449074072</v>
      </c>
      <c r="C2555" s="2" t="s">
        <v>22</v>
      </c>
      <c r="D2555" t="s">
        <v>19</v>
      </c>
      <c r="E2555">
        <v>49911</v>
      </c>
      <c r="F2555" t="s">
        <v>14</v>
      </c>
      <c r="G2555" t="s">
        <v>30</v>
      </c>
      <c r="H2555" t="s">
        <v>16</v>
      </c>
      <c r="I2555">
        <v>5</v>
      </c>
      <c r="J2555">
        <v>0</v>
      </c>
      <c r="K2555">
        <v>5</v>
      </c>
    </row>
    <row r="2556" spans="1:11" x14ac:dyDescent="0.25">
      <c r="A2556" t="s">
        <v>2596</v>
      </c>
      <c r="B2556" s="1">
        <v>45931.004826388889</v>
      </c>
      <c r="C2556" s="2" t="s">
        <v>32</v>
      </c>
      <c r="D2556" t="s">
        <v>19</v>
      </c>
      <c r="E2556">
        <v>5392</v>
      </c>
      <c r="F2556" t="s">
        <v>14</v>
      </c>
      <c r="G2556" t="s">
        <v>30</v>
      </c>
      <c r="H2556" t="s">
        <v>16</v>
      </c>
      <c r="I2556">
        <v>5</v>
      </c>
      <c r="J2556">
        <v>0</v>
      </c>
      <c r="K2556">
        <v>5</v>
      </c>
    </row>
    <row r="2557" spans="1:11" x14ac:dyDescent="0.25">
      <c r="A2557" t="s">
        <v>2597</v>
      </c>
      <c r="B2557" s="1">
        <v>46015.920208333337</v>
      </c>
      <c r="C2557" s="2" t="s">
        <v>32</v>
      </c>
      <c r="D2557" t="s">
        <v>19</v>
      </c>
      <c r="E2557">
        <v>15508</v>
      </c>
      <c r="F2557" t="s">
        <v>14</v>
      </c>
      <c r="G2557" t="s">
        <v>84</v>
      </c>
      <c r="H2557" t="s">
        <v>16</v>
      </c>
      <c r="I2557">
        <v>5</v>
      </c>
      <c r="J2557">
        <v>0</v>
      </c>
      <c r="K2557">
        <v>5</v>
      </c>
    </row>
    <row r="2558" spans="1:11" x14ac:dyDescent="0.25">
      <c r="A2558" t="s">
        <v>2598</v>
      </c>
      <c r="B2558" s="1">
        <v>45781.541435185187</v>
      </c>
      <c r="C2558" s="2" t="s">
        <v>39</v>
      </c>
      <c r="D2558" t="s">
        <v>23</v>
      </c>
      <c r="E2558">
        <v>2076</v>
      </c>
      <c r="F2558" t="s">
        <v>14</v>
      </c>
      <c r="G2558" t="s">
        <v>27</v>
      </c>
      <c r="H2558" t="s">
        <v>16</v>
      </c>
      <c r="I2558">
        <v>0</v>
      </c>
      <c r="J2558">
        <v>0</v>
      </c>
      <c r="K2558">
        <v>0</v>
      </c>
    </row>
    <row r="2559" spans="1:11" x14ac:dyDescent="0.25">
      <c r="A2559" t="s">
        <v>2599</v>
      </c>
      <c r="B2559" s="1">
        <v>46126.205567129633</v>
      </c>
      <c r="C2559" s="2" t="s">
        <v>22</v>
      </c>
      <c r="D2559" t="s">
        <v>13</v>
      </c>
      <c r="E2559">
        <v>130500</v>
      </c>
      <c r="F2559" t="s">
        <v>50</v>
      </c>
      <c r="G2559" t="s">
        <v>27</v>
      </c>
      <c r="H2559" t="s">
        <v>16</v>
      </c>
      <c r="I2559">
        <v>2414.25</v>
      </c>
      <c r="J2559">
        <v>965.7</v>
      </c>
      <c r="K2559">
        <v>1448.55</v>
      </c>
    </row>
    <row r="2560" spans="1:11" x14ac:dyDescent="0.25">
      <c r="A2560" t="s">
        <v>2600</v>
      </c>
      <c r="B2560" s="1">
        <v>46072.289293981485</v>
      </c>
      <c r="C2560" s="2" t="s">
        <v>12</v>
      </c>
      <c r="D2560" t="s">
        <v>23</v>
      </c>
      <c r="E2560">
        <v>3236</v>
      </c>
      <c r="F2560" t="s">
        <v>14</v>
      </c>
      <c r="G2560" t="s">
        <v>58</v>
      </c>
      <c r="H2560" t="s">
        <v>16</v>
      </c>
      <c r="I2560">
        <v>0</v>
      </c>
      <c r="J2560">
        <v>0</v>
      </c>
      <c r="K2560">
        <v>0</v>
      </c>
    </row>
    <row r="2561" spans="1:11" x14ac:dyDescent="0.25">
      <c r="A2561" t="s">
        <v>2601</v>
      </c>
      <c r="B2561" s="1">
        <v>45901.674861111111</v>
      </c>
      <c r="C2561" s="2" t="s">
        <v>18</v>
      </c>
      <c r="D2561" t="s">
        <v>45</v>
      </c>
      <c r="E2561">
        <v>30719</v>
      </c>
      <c r="F2561" t="s">
        <v>14</v>
      </c>
      <c r="G2561" t="s">
        <v>51</v>
      </c>
      <c r="H2561" t="s">
        <v>178</v>
      </c>
      <c r="I2561">
        <v>307.19</v>
      </c>
      <c r="J2561">
        <v>0</v>
      </c>
      <c r="K2561">
        <v>307.19</v>
      </c>
    </row>
    <row r="2562" spans="1:11" x14ac:dyDescent="0.25">
      <c r="A2562" t="s">
        <v>2602</v>
      </c>
      <c r="B2562" s="1">
        <v>45801.404270833336</v>
      </c>
      <c r="C2562" s="2" t="s">
        <v>29</v>
      </c>
      <c r="D2562" t="s">
        <v>13</v>
      </c>
      <c r="E2562">
        <v>165000</v>
      </c>
      <c r="F2562" t="s">
        <v>50</v>
      </c>
      <c r="G2562" t="s">
        <v>84</v>
      </c>
      <c r="H2562" t="s">
        <v>16</v>
      </c>
      <c r="I2562">
        <v>3052.5</v>
      </c>
      <c r="J2562">
        <v>1221</v>
      </c>
      <c r="K2562">
        <v>1831.5</v>
      </c>
    </row>
    <row r="2563" spans="1:11" x14ac:dyDescent="0.25">
      <c r="A2563" t="s">
        <v>2603</v>
      </c>
      <c r="B2563" s="1">
        <v>46022.312708333331</v>
      </c>
      <c r="C2563" s="2" t="s">
        <v>39</v>
      </c>
      <c r="D2563" t="s">
        <v>19</v>
      </c>
      <c r="E2563">
        <v>28684</v>
      </c>
      <c r="F2563" t="s">
        <v>14</v>
      </c>
      <c r="G2563" t="s">
        <v>58</v>
      </c>
      <c r="H2563" t="s">
        <v>16</v>
      </c>
      <c r="I2563">
        <v>5</v>
      </c>
      <c r="J2563">
        <v>0</v>
      </c>
      <c r="K2563">
        <v>5</v>
      </c>
    </row>
    <row r="2564" spans="1:11" x14ac:dyDescent="0.25">
      <c r="A2564" t="s">
        <v>2604</v>
      </c>
      <c r="B2564" s="1">
        <v>45834.472141203703</v>
      </c>
      <c r="C2564" s="2" t="s">
        <v>12</v>
      </c>
      <c r="D2564" t="s">
        <v>33</v>
      </c>
      <c r="E2564">
        <v>52768</v>
      </c>
      <c r="F2564" t="s">
        <v>14</v>
      </c>
      <c r="G2564" t="s">
        <v>58</v>
      </c>
      <c r="H2564" t="s">
        <v>16</v>
      </c>
      <c r="I2564">
        <v>0</v>
      </c>
      <c r="J2564">
        <v>0</v>
      </c>
      <c r="K2564">
        <v>0</v>
      </c>
    </row>
    <row r="2565" spans="1:11" x14ac:dyDescent="0.25">
      <c r="A2565" t="s">
        <v>2605</v>
      </c>
      <c r="B2565" s="1">
        <v>45925.177187499998</v>
      </c>
      <c r="C2565" s="2" t="s">
        <v>32</v>
      </c>
      <c r="D2565" t="s">
        <v>13</v>
      </c>
      <c r="E2565">
        <v>53500</v>
      </c>
      <c r="F2565" t="s">
        <v>14</v>
      </c>
      <c r="G2565" t="s">
        <v>30</v>
      </c>
      <c r="H2565" t="s">
        <v>16</v>
      </c>
      <c r="I2565">
        <v>989.75</v>
      </c>
      <c r="J2565">
        <v>395.9</v>
      </c>
      <c r="K2565">
        <v>593.85</v>
      </c>
    </row>
    <row r="2566" spans="1:11" x14ac:dyDescent="0.25">
      <c r="A2566" t="s">
        <v>2606</v>
      </c>
      <c r="B2566" s="1">
        <v>46095.937928240739</v>
      </c>
      <c r="C2566" s="2" t="s">
        <v>32</v>
      </c>
      <c r="D2566" t="s">
        <v>45</v>
      </c>
      <c r="E2566">
        <v>58638</v>
      </c>
      <c r="F2566" t="s">
        <v>14</v>
      </c>
      <c r="G2566" t="s">
        <v>30</v>
      </c>
      <c r="H2566" t="s">
        <v>178</v>
      </c>
      <c r="I2566">
        <v>586.38</v>
      </c>
      <c r="J2566">
        <v>0</v>
      </c>
      <c r="K2566">
        <v>586.38</v>
      </c>
    </row>
    <row r="2567" spans="1:11" x14ac:dyDescent="0.25">
      <c r="A2567" t="s">
        <v>2607</v>
      </c>
      <c r="B2567" s="1">
        <v>45996.392106481479</v>
      </c>
      <c r="C2567" s="2" t="s">
        <v>12</v>
      </c>
      <c r="D2567" t="s">
        <v>23</v>
      </c>
      <c r="E2567">
        <v>3702</v>
      </c>
      <c r="F2567" t="s">
        <v>50</v>
      </c>
      <c r="G2567" t="s">
        <v>34</v>
      </c>
      <c r="H2567" t="s">
        <v>16</v>
      </c>
      <c r="I2567">
        <v>0</v>
      </c>
      <c r="J2567">
        <v>0</v>
      </c>
      <c r="K2567">
        <v>0</v>
      </c>
    </row>
    <row r="2568" spans="1:11" x14ac:dyDescent="0.25">
      <c r="A2568" t="s">
        <v>2608</v>
      </c>
      <c r="B2568" s="1">
        <v>45807.846516203703</v>
      </c>
      <c r="C2568" s="2" t="s">
        <v>39</v>
      </c>
      <c r="D2568" t="s">
        <v>33</v>
      </c>
      <c r="E2568">
        <v>36986</v>
      </c>
      <c r="F2568" t="s">
        <v>14</v>
      </c>
      <c r="G2568" t="s">
        <v>24</v>
      </c>
      <c r="H2568" t="s">
        <v>16</v>
      </c>
      <c r="I2568">
        <v>0</v>
      </c>
      <c r="J2568">
        <v>0</v>
      </c>
      <c r="K2568">
        <v>0</v>
      </c>
    </row>
    <row r="2569" spans="1:11" x14ac:dyDescent="0.25">
      <c r="A2569" t="s">
        <v>2609</v>
      </c>
      <c r="B2569" s="1">
        <v>46033.250381944446</v>
      </c>
      <c r="C2569" s="2" t="s">
        <v>26</v>
      </c>
      <c r="D2569" t="s">
        <v>19</v>
      </c>
      <c r="E2569">
        <v>51617</v>
      </c>
      <c r="F2569" t="s">
        <v>14</v>
      </c>
      <c r="G2569" t="s">
        <v>15</v>
      </c>
      <c r="H2569" t="s">
        <v>16</v>
      </c>
      <c r="I2569">
        <v>5</v>
      </c>
      <c r="J2569">
        <v>0</v>
      </c>
      <c r="K2569">
        <v>5</v>
      </c>
    </row>
    <row r="2570" spans="1:11" x14ac:dyDescent="0.25">
      <c r="A2570" t="s">
        <v>2610</v>
      </c>
      <c r="B2570" s="1">
        <v>46031.666956018518</v>
      </c>
      <c r="C2570" s="2" t="s">
        <v>26</v>
      </c>
      <c r="D2570" t="s">
        <v>13</v>
      </c>
      <c r="E2570">
        <v>143000</v>
      </c>
      <c r="F2570" t="s">
        <v>14</v>
      </c>
      <c r="G2570" t="s">
        <v>27</v>
      </c>
      <c r="H2570" t="s">
        <v>16</v>
      </c>
      <c r="I2570">
        <v>2645.5</v>
      </c>
      <c r="J2570">
        <v>1058.2</v>
      </c>
      <c r="K2570">
        <v>1587.3</v>
      </c>
    </row>
    <row r="2571" spans="1:11" x14ac:dyDescent="0.25">
      <c r="A2571" t="s">
        <v>2611</v>
      </c>
      <c r="B2571" s="1">
        <v>45876.692372685182</v>
      </c>
      <c r="C2571" s="2" t="s">
        <v>12</v>
      </c>
      <c r="D2571" t="s">
        <v>13</v>
      </c>
      <c r="E2571">
        <v>46000</v>
      </c>
      <c r="F2571" t="s">
        <v>14</v>
      </c>
      <c r="G2571" t="s">
        <v>15</v>
      </c>
      <c r="H2571" t="s">
        <v>16</v>
      </c>
      <c r="I2571">
        <v>851</v>
      </c>
      <c r="J2571">
        <v>340.4</v>
      </c>
      <c r="K2571">
        <v>510.6</v>
      </c>
    </row>
    <row r="2572" spans="1:11" x14ac:dyDescent="0.25">
      <c r="A2572" t="s">
        <v>2612</v>
      </c>
      <c r="B2572" s="1">
        <v>45856.636793981481</v>
      </c>
      <c r="C2572" s="2" t="s">
        <v>18</v>
      </c>
      <c r="D2572" t="s">
        <v>33</v>
      </c>
      <c r="E2572">
        <v>82792</v>
      </c>
      <c r="F2572" t="s">
        <v>50</v>
      </c>
      <c r="G2572" t="s">
        <v>58</v>
      </c>
      <c r="H2572" t="s">
        <v>16</v>
      </c>
      <c r="I2572">
        <v>0</v>
      </c>
      <c r="J2572">
        <v>0</v>
      </c>
      <c r="K2572">
        <v>0</v>
      </c>
    </row>
    <row r="2573" spans="1:11" x14ac:dyDescent="0.25">
      <c r="A2573" t="s">
        <v>2613</v>
      </c>
      <c r="B2573" s="1">
        <v>45872.792800925927</v>
      </c>
      <c r="C2573" s="2" t="s">
        <v>41</v>
      </c>
      <c r="D2573" t="s">
        <v>19</v>
      </c>
      <c r="E2573">
        <v>105266</v>
      </c>
      <c r="F2573" t="s">
        <v>14</v>
      </c>
      <c r="G2573" t="s">
        <v>51</v>
      </c>
      <c r="H2573" t="s">
        <v>16</v>
      </c>
      <c r="I2573">
        <v>5</v>
      </c>
      <c r="J2573">
        <v>0</v>
      </c>
      <c r="K2573">
        <v>5</v>
      </c>
    </row>
    <row r="2574" spans="1:11" x14ac:dyDescent="0.25">
      <c r="A2574" t="s">
        <v>2614</v>
      </c>
      <c r="B2574" s="1">
        <v>45791.339282407411</v>
      </c>
      <c r="C2574" s="2" t="s">
        <v>26</v>
      </c>
      <c r="D2574" t="s">
        <v>45</v>
      </c>
      <c r="E2574">
        <v>76002</v>
      </c>
      <c r="F2574" t="s">
        <v>14</v>
      </c>
      <c r="G2574" t="s">
        <v>24</v>
      </c>
      <c r="H2574" t="s">
        <v>71</v>
      </c>
      <c r="I2574">
        <v>760.02</v>
      </c>
      <c r="J2574">
        <v>0</v>
      </c>
      <c r="K2574">
        <v>760.02</v>
      </c>
    </row>
    <row r="2575" spans="1:11" x14ac:dyDescent="0.25">
      <c r="A2575" t="s">
        <v>2615</v>
      </c>
      <c r="B2575" s="1">
        <v>45811.891064814816</v>
      </c>
      <c r="C2575" s="2" t="s">
        <v>26</v>
      </c>
      <c r="D2575" t="s">
        <v>13</v>
      </c>
      <c r="E2575">
        <v>175500</v>
      </c>
      <c r="F2575" t="s">
        <v>50</v>
      </c>
      <c r="G2575" t="s">
        <v>34</v>
      </c>
      <c r="H2575" t="s">
        <v>16</v>
      </c>
      <c r="I2575">
        <v>3246.75</v>
      </c>
      <c r="J2575">
        <v>1298.7</v>
      </c>
      <c r="K2575">
        <v>1948.05</v>
      </c>
    </row>
    <row r="2576" spans="1:11" x14ac:dyDescent="0.25">
      <c r="A2576" t="s">
        <v>2616</v>
      </c>
      <c r="B2576" s="1">
        <v>45872.4528587963</v>
      </c>
      <c r="C2576" s="2" t="s">
        <v>12</v>
      </c>
      <c r="D2576" t="s">
        <v>13</v>
      </c>
      <c r="E2576">
        <v>140500</v>
      </c>
      <c r="F2576" t="s">
        <v>14</v>
      </c>
      <c r="G2576" t="s">
        <v>27</v>
      </c>
      <c r="H2576" t="s">
        <v>16</v>
      </c>
      <c r="I2576">
        <v>2599.25</v>
      </c>
      <c r="J2576">
        <v>1039.7</v>
      </c>
      <c r="K2576">
        <v>1559.55</v>
      </c>
    </row>
    <row r="2577" spans="1:11" x14ac:dyDescent="0.25">
      <c r="A2577" t="s">
        <v>2617</v>
      </c>
      <c r="B2577" s="1">
        <v>46014.619270833333</v>
      </c>
      <c r="C2577" s="2" t="s">
        <v>29</v>
      </c>
      <c r="D2577" t="s">
        <v>45</v>
      </c>
      <c r="E2577">
        <v>135033</v>
      </c>
      <c r="F2577" t="s">
        <v>14</v>
      </c>
      <c r="G2577" t="s">
        <v>84</v>
      </c>
      <c r="H2577" t="s">
        <v>71</v>
      </c>
      <c r="I2577">
        <v>1350.33</v>
      </c>
      <c r="J2577">
        <v>0</v>
      </c>
      <c r="K2577">
        <v>1350.33</v>
      </c>
    </row>
    <row r="2578" spans="1:11" x14ac:dyDescent="0.25">
      <c r="A2578" t="s">
        <v>2618</v>
      </c>
      <c r="B2578" s="1">
        <v>45860.585601851853</v>
      </c>
      <c r="C2578" s="2" t="s">
        <v>12</v>
      </c>
      <c r="D2578" t="s">
        <v>33</v>
      </c>
      <c r="E2578">
        <v>69010</v>
      </c>
      <c r="F2578" t="s">
        <v>14</v>
      </c>
      <c r="G2578" t="s">
        <v>58</v>
      </c>
      <c r="H2578" t="s">
        <v>16</v>
      </c>
      <c r="I2578">
        <v>0</v>
      </c>
      <c r="J2578">
        <v>0</v>
      </c>
      <c r="K2578">
        <v>0</v>
      </c>
    </row>
    <row r="2579" spans="1:11" x14ac:dyDescent="0.25">
      <c r="A2579" t="s">
        <v>2619</v>
      </c>
      <c r="B2579" s="1">
        <v>45802.936608796299</v>
      </c>
      <c r="C2579" s="2" t="s">
        <v>22</v>
      </c>
      <c r="D2579" t="s">
        <v>19</v>
      </c>
      <c r="E2579">
        <v>120279</v>
      </c>
      <c r="F2579" t="s">
        <v>14</v>
      </c>
      <c r="G2579" t="s">
        <v>24</v>
      </c>
      <c r="H2579" t="s">
        <v>16</v>
      </c>
      <c r="I2579">
        <v>5</v>
      </c>
      <c r="J2579">
        <v>0</v>
      </c>
      <c r="K2579">
        <v>5</v>
      </c>
    </row>
    <row r="2580" spans="1:11" x14ac:dyDescent="0.25">
      <c r="A2580" t="s">
        <v>2620</v>
      </c>
      <c r="B2580" s="1">
        <v>45778.116782407407</v>
      </c>
      <c r="C2580" s="2" t="s">
        <v>12</v>
      </c>
      <c r="D2580" t="s">
        <v>19</v>
      </c>
      <c r="E2580">
        <v>33596</v>
      </c>
      <c r="F2580" t="s">
        <v>14</v>
      </c>
      <c r="G2580" t="s">
        <v>34</v>
      </c>
      <c r="H2580" t="s">
        <v>16</v>
      </c>
      <c r="I2580">
        <v>5</v>
      </c>
      <c r="J2580">
        <v>0</v>
      </c>
      <c r="K2580">
        <v>5</v>
      </c>
    </row>
    <row r="2581" spans="1:11" x14ac:dyDescent="0.25">
      <c r="A2581" t="s">
        <v>2621</v>
      </c>
      <c r="B2581" s="1">
        <v>45959.166134259256</v>
      </c>
      <c r="C2581" s="2" t="s">
        <v>32</v>
      </c>
      <c r="D2581" t="s">
        <v>23</v>
      </c>
      <c r="E2581">
        <v>2401</v>
      </c>
      <c r="F2581" t="s">
        <v>50</v>
      </c>
      <c r="G2581" t="s">
        <v>34</v>
      </c>
      <c r="H2581" t="s">
        <v>16</v>
      </c>
      <c r="I2581">
        <v>0</v>
      </c>
      <c r="J2581">
        <v>0</v>
      </c>
      <c r="K2581">
        <v>0</v>
      </c>
    </row>
    <row r="2582" spans="1:11" x14ac:dyDescent="0.25">
      <c r="A2582" t="s">
        <v>2622</v>
      </c>
      <c r="B2582" s="1">
        <v>45893.619872685187</v>
      </c>
      <c r="C2582" s="2" t="s">
        <v>26</v>
      </c>
      <c r="D2582" t="s">
        <v>33</v>
      </c>
      <c r="E2582">
        <v>89423</v>
      </c>
      <c r="F2582" t="s">
        <v>14</v>
      </c>
      <c r="G2582" t="s">
        <v>58</v>
      </c>
      <c r="H2582" t="s">
        <v>16</v>
      </c>
      <c r="I2582">
        <v>0</v>
      </c>
      <c r="J2582">
        <v>0</v>
      </c>
      <c r="K2582">
        <v>0</v>
      </c>
    </row>
    <row r="2583" spans="1:11" x14ac:dyDescent="0.25">
      <c r="A2583" t="s">
        <v>2623</v>
      </c>
      <c r="B2583" s="1">
        <v>45796.262754629628</v>
      </c>
      <c r="C2583" s="2" t="s">
        <v>26</v>
      </c>
      <c r="D2583" t="s">
        <v>19</v>
      </c>
      <c r="E2583">
        <v>29447</v>
      </c>
      <c r="F2583" t="s">
        <v>14</v>
      </c>
      <c r="G2583" t="s">
        <v>34</v>
      </c>
      <c r="H2583" t="s">
        <v>16</v>
      </c>
      <c r="I2583">
        <v>5</v>
      </c>
      <c r="J2583">
        <v>0</v>
      </c>
      <c r="K2583">
        <v>5</v>
      </c>
    </row>
    <row r="2584" spans="1:11" x14ac:dyDescent="0.25">
      <c r="A2584" t="s">
        <v>2624</v>
      </c>
      <c r="B2584" s="1">
        <v>45852.571493055555</v>
      </c>
      <c r="C2584" s="2" t="s">
        <v>29</v>
      </c>
      <c r="D2584" t="s">
        <v>45</v>
      </c>
      <c r="E2584">
        <v>65449</v>
      </c>
      <c r="F2584" t="s">
        <v>14</v>
      </c>
      <c r="G2584" t="s">
        <v>84</v>
      </c>
      <c r="H2584" t="s">
        <v>59</v>
      </c>
      <c r="I2584">
        <v>654.49</v>
      </c>
      <c r="J2584">
        <v>0</v>
      </c>
      <c r="K2584">
        <v>654.49</v>
      </c>
    </row>
    <row r="2585" spans="1:11" x14ac:dyDescent="0.25">
      <c r="A2585" t="s">
        <v>2625</v>
      </c>
      <c r="B2585" s="1">
        <v>45890.898402777777</v>
      </c>
      <c r="C2585" s="2" t="s">
        <v>12</v>
      </c>
      <c r="D2585" t="s">
        <v>23</v>
      </c>
      <c r="E2585">
        <v>259</v>
      </c>
      <c r="F2585" t="s">
        <v>14</v>
      </c>
      <c r="G2585" t="s">
        <v>27</v>
      </c>
      <c r="H2585" t="s">
        <v>16</v>
      </c>
      <c r="I2585">
        <v>0</v>
      </c>
      <c r="J2585">
        <v>0</v>
      </c>
      <c r="K2585">
        <v>0</v>
      </c>
    </row>
    <row r="2586" spans="1:11" x14ac:dyDescent="0.25">
      <c r="A2586" t="s">
        <v>2626</v>
      </c>
      <c r="B2586" s="1">
        <v>45853.486215277779</v>
      </c>
      <c r="C2586" s="2" t="s">
        <v>29</v>
      </c>
      <c r="D2586" t="s">
        <v>45</v>
      </c>
      <c r="E2586">
        <v>33869</v>
      </c>
      <c r="F2586" t="s">
        <v>50</v>
      </c>
      <c r="G2586" t="s">
        <v>84</v>
      </c>
      <c r="H2586" t="s">
        <v>59</v>
      </c>
      <c r="I2586">
        <v>338.69</v>
      </c>
      <c r="J2586">
        <v>0</v>
      </c>
      <c r="K2586">
        <v>338.69</v>
      </c>
    </row>
    <row r="2587" spans="1:11" x14ac:dyDescent="0.25">
      <c r="A2587" t="s">
        <v>2627</v>
      </c>
      <c r="B2587" s="1">
        <v>45906.620312500003</v>
      </c>
      <c r="C2587" s="2" t="s">
        <v>18</v>
      </c>
      <c r="D2587" t="s">
        <v>23</v>
      </c>
      <c r="E2587">
        <v>1648</v>
      </c>
      <c r="F2587" t="s">
        <v>14</v>
      </c>
      <c r="G2587" t="s">
        <v>30</v>
      </c>
      <c r="H2587" t="s">
        <v>16</v>
      </c>
      <c r="I2587">
        <v>0</v>
      </c>
      <c r="J2587">
        <v>0</v>
      </c>
      <c r="K2587">
        <v>0</v>
      </c>
    </row>
    <row r="2588" spans="1:11" x14ac:dyDescent="0.25">
      <c r="A2588" t="s">
        <v>2628</v>
      </c>
      <c r="B2588" s="1">
        <v>45995.555462962962</v>
      </c>
      <c r="C2588" s="2" t="s">
        <v>12</v>
      </c>
      <c r="D2588" t="s">
        <v>19</v>
      </c>
      <c r="E2588">
        <v>85008</v>
      </c>
      <c r="F2588" t="s">
        <v>14</v>
      </c>
      <c r="G2588" t="s">
        <v>58</v>
      </c>
      <c r="H2588" t="s">
        <v>16</v>
      </c>
      <c r="I2588">
        <v>5</v>
      </c>
      <c r="J2588">
        <v>0</v>
      </c>
      <c r="K2588">
        <v>5</v>
      </c>
    </row>
    <row r="2589" spans="1:11" x14ac:dyDescent="0.25">
      <c r="A2589" t="s">
        <v>2629</v>
      </c>
      <c r="B2589" s="1">
        <v>45904.057962962965</v>
      </c>
      <c r="C2589" s="2" t="s">
        <v>22</v>
      </c>
      <c r="D2589" t="s">
        <v>19</v>
      </c>
      <c r="E2589">
        <v>61242</v>
      </c>
      <c r="F2589" t="s">
        <v>14</v>
      </c>
      <c r="G2589" t="s">
        <v>51</v>
      </c>
      <c r="H2589" t="s">
        <v>16</v>
      </c>
      <c r="I2589">
        <v>5</v>
      </c>
      <c r="J2589">
        <v>0</v>
      </c>
      <c r="K2589">
        <v>5</v>
      </c>
    </row>
    <row r="2590" spans="1:11" x14ac:dyDescent="0.25">
      <c r="A2590" t="s">
        <v>2630</v>
      </c>
      <c r="B2590" s="1">
        <v>45857.596712962964</v>
      </c>
      <c r="C2590" s="2" t="s">
        <v>12</v>
      </c>
      <c r="D2590" t="s">
        <v>33</v>
      </c>
      <c r="E2590">
        <v>68334</v>
      </c>
      <c r="F2590" t="s">
        <v>14</v>
      </c>
      <c r="G2590" t="s">
        <v>24</v>
      </c>
      <c r="H2590" t="s">
        <v>16</v>
      </c>
      <c r="I2590">
        <v>0</v>
      </c>
      <c r="J2590">
        <v>0</v>
      </c>
      <c r="K2590">
        <v>0</v>
      </c>
    </row>
    <row r="2591" spans="1:11" x14ac:dyDescent="0.25">
      <c r="A2591" t="s">
        <v>2631</v>
      </c>
      <c r="B2591" s="1">
        <v>45831.943252314813</v>
      </c>
      <c r="C2591" s="2" t="s">
        <v>26</v>
      </c>
      <c r="D2591" t="s">
        <v>13</v>
      </c>
      <c r="E2591">
        <v>15500</v>
      </c>
      <c r="F2591" t="s">
        <v>14</v>
      </c>
      <c r="G2591" t="s">
        <v>20</v>
      </c>
      <c r="H2591" t="s">
        <v>16</v>
      </c>
      <c r="I2591">
        <v>286.75</v>
      </c>
      <c r="J2591">
        <v>114.7</v>
      </c>
      <c r="K2591">
        <v>172.05</v>
      </c>
    </row>
    <row r="2592" spans="1:11" x14ac:dyDescent="0.25">
      <c r="A2592" t="s">
        <v>2632</v>
      </c>
      <c r="B2592" s="1">
        <v>45924.312442129631</v>
      </c>
      <c r="C2592" s="2" t="s">
        <v>32</v>
      </c>
      <c r="D2592" t="s">
        <v>13</v>
      </c>
      <c r="E2592">
        <v>151500</v>
      </c>
      <c r="F2592" t="s">
        <v>14</v>
      </c>
      <c r="G2592" t="s">
        <v>34</v>
      </c>
      <c r="H2592" t="s">
        <v>16</v>
      </c>
      <c r="I2592">
        <v>2802.75</v>
      </c>
      <c r="J2592">
        <v>1121.0999999999999</v>
      </c>
      <c r="K2592">
        <v>1681.65</v>
      </c>
    </row>
    <row r="2593" spans="1:11" x14ac:dyDescent="0.25">
      <c r="A2593" t="s">
        <v>2633</v>
      </c>
      <c r="B2593" s="1">
        <v>46099.240740740737</v>
      </c>
      <c r="C2593" s="2" t="s">
        <v>22</v>
      </c>
      <c r="D2593" t="s">
        <v>23</v>
      </c>
      <c r="E2593">
        <v>932</v>
      </c>
      <c r="F2593" t="s">
        <v>99</v>
      </c>
      <c r="G2593" t="s">
        <v>30</v>
      </c>
      <c r="H2593" t="s">
        <v>16</v>
      </c>
      <c r="I2593">
        <v>0</v>
      </c>
      <c r="J2593">
        <v>0</v>
      </c>
      <c r="K2593">
        <v>0</v>
      </c>
    </row>
    <row r="2594" spans="1:11" x14ac:dyDescent="0.25">
      <c r="A2594" t="s">
        <v>2634</v>
      </c>
      <c r="B2594" s="1">
        <v>46017.135462962964</v>
      </c>
      <c r="C2594" s="2" t="s">
        <v>32</v>
      </c>
      <c r="D2594" t="s">
        <v>19</v>
      </c>
      <c r="E2594">
        <v>85031</v>
      </c>
      <c r="F2594" t="s">
        <v>14</v>
      </c>
      <c r="G2594" t="s">
        <v>34</v>
      </c>
      <c r="H2594" t="s">
        <v>16</v>
      </c>
      <c r="I2594">
        <v>5</v>
      </c>
      <c r="J2594">
        <v>0</v>
      </c>
      <c r="K2594">
        <v>5</v>
      </c>
    </row>
    <row r="2595" spans="1:11" x14ac:dyDescent="0.25">
      <c r="A2595" t="s">
        <v>2635</v>
      </c>
      <c r="B2595" s="1">
        <v>45964.886516203704</v>
      </c>
      <c r="C2595" s="2" t="s">
        <v>39</v>
      </c>
      <c r="D2595" t="s">
        <v>13</v>
      </c>
      <c r="E2595">
        <v>215500</v>
      </c>
      <c r="F2595" t="s">
        <v>14</v>
      </c>
      <c r="G2595" t="s">
        <v>30</v>
      </c>
      <c r="H2595" t="s">
        <v>16</v>
      </c>
      <c r="I2595">
        <v>3986.75</v>
      </c>
      <c r="J2595">
        <v>1594.7</v>
      </c>
      <c r="K2595">
        <v>2392.0500000000002</v>
      </c>
    </row>
    <row r="2596" spans="1:11" x14ac:dyDescent="0.25">
      <c r="A2596" t="s">
        <v>2636</v>
      </c>
      <c r="B2596" s="1">
        <v>45861.829270833332</v>
      </c>
      <c r="C2596" s="2" t="s">
        <v>39</v>
      </c>
      <c r="D2596" t="s">
        <v>45</v>
      </c>
      <c r="E2596">
        <v>46092</v>
      </c>
      <c r="F2596" t="s">
        <v>50</v>
      </c>
      <c r="G2596" t="s">
        <v>30</v>
      </c>
      <c r="H2596" t="s">
        <v>71</v>
      </c>
      <c r="I2596">
        <v>460.92</v>
      </c>
      <c r="J2596">
        <v>0</v>
      </c>
      <c r="K2596">
        <v>460.92</v>
      </c>
    </row>
    <row r="2597" spans="1:11" x14ac:dyDescent="0.25">
      <c r="A2597" t="s">
        <v>2637</v>
      </c>
      <c r="B2597" s="1">
        <v>45854.933333333334</v>
      </c>
      <c r="C2597" s="2" t="s">
        <v>12</v>
      </c>
      <c r="D2597" t="s">
        <v>19</v>
      </c>
      <c r="E2597">
        <v>21420</v>
      </c>
      <c r="F2597" t="s">
        <v>14</v>
      </c>
      <c r="G2597" t="s">
        <v>84</v>
      </c>
      <c r="H2597" t="s">
        <v>16</v>
      </c>
      <c r="I2597">
        <v>5</v>
      </c>
      <c r="J2597">
        <v>0</v>
      </c>
      <c r="K2597">
        <v>5</v>
      </c>
    </row>
    <row r="2598" spans="1:11" x14ac:dyDescent="0.25">
      <c r="A2598" t="s">
        <v>2638</v>
      </c>
      <c r="B2598" s="1">
        <v>46135.194444444445</v>
      </c>
      <c r="C2598" s="2" t="s">
        <v>32</v>
      </c>
      <c r="D2598" t="s">
        <v>13</v>
      </c>
      <c r="E2598">
        <v>163500</v>
      </c>
      <c r="F2598" t="s">
        <v>14</v>
      </c>
      <c r="G2598" t="s">
        <v>20</v>
      </c>
      <c r="H2598" t="s">
        <v>16</v>
      </c>
      <c r="I2598">
        <v>3024.75</v>
      </c>
      <c r="J2598">
        <v>1209.9000000000001</v>
      </c>
      <c r="K2598">
        <v>1814.85</v>
      </c>
    </row>
    <row r="2599" spans="1:11" x14ac:dyDescent="0.25">
      <c r="A2599" t="s">
        <v>2639</v>
      </c>
      <c r="B2599" s="1">
        <v>46111.085150462961</v>
      </c>
      <c r="C2599" s="2" t="s">
        <v>26</v>
      </c>
      <c r="D2599" t="s">
        <v>33</v>
      </c>
      <c r="E2599">
        <v>28523</v>
      </c>
      <c r="F2599" t="s">
        <v>99</v>
      </c>
      <c r="G2599" t="s">
        <v>58</v>
      </c>
      <c r="H2599" t="s">
        <v>16</v>
      </c>
      <c r="I2599">
        <v>0</v>
      </c>
      <c r="J2599">
        <v>0</v>
      </c>
      <c r="K2599">
        <v>0</v>
      </c>
    </row>
    <row r="2600" spans="1:11" x14ac:dyDescent="0.25">
      <c r="A2600" t="s">
        <v>2640</v>
      </c>
      <c r="B2600" s="1">
        <v>45907.785011574073</v>
      </c>
      <c r="C2600" s="2" t="s">
        <v>22</v>
      </c>
      <c r="D2600" t="s">
        <v>45</v>
      </c>
      <c r="E2600">
        <v>40151</v>
      </c>
      <c r="F2600" t="s">
        <v>14</v>
      </c>
      <c r="G2600" t="s">
        <v>20</v>
      </c>
      <c r="H2600" t="s">
        <v>46</v>
      </c>
      <c r="I2600">
        <v>401.51</v>
      </c>
      <c r="J2600">
        <v>0</v>
      </c>
      <c r="K2600">
        <v>401.51</v>
      </c>
    </row>
    <row r="2601" spans="1:11" x14ac:dyDescent="0.25">
      <c r="A2601" t="s">
        <v>2641</v>
      </c>
      <c r="B2601" s="1">
        <v>46068.51421296296</v>
      </c>
      <c r="C2601" s="2" t="s">
        <v>32</v>
      </c>
      <c r="D2601" t="s">
        <v>23</v>
      </c>
      <c r="E2601">
        <v>207</v>
      </c>
      <c r="F2601" t="s">
        <v>14</v>
      </c>
      <c r="G2601" t="s">
        <v>58</v>
      </c>
      <c r="H2601" t="s">
        <v>16</v>
      </c>
      <c r="I2601">
        <v>0</v>
      </c>
      <c r="J2601">
        <v>0</v>
      </c>
      <c r="K2601">
        <v>0</v>
      </c>
    </row>
    <row r="2602" spans="1:11" x14ac:dyDescent="0.25">
      <c r="A2602" t="s">
        <v>2642</v>
      </c>
      <c r="B2602" s="1">
        <v>46092.346851851849</v>
      </c>
      <c r="C2602" s="2" t="s">
        <v>29</v>
      </c>
      <c r="D2602" t="s">
        <v>19</v>
      </c>
      <c r="E2602">
        <v>143576</v>
      </c>
      <c r="F2602" t="s">
        <v>14</v>
      </c>
      <c r="G2602" t="s">
        <v>84</v>
      </c>
      <c r="H2602" t="s">
        <v>16</v>
      </c>
      <c r="I2602">
        <v>5</v>
      </c>
      <c r="J2602">
        <v>0</v>
      </c>
      <c r="K2602">
        <v>5</v>
      </c>
    </row>
    <row r="2603" spans="1:11" x14ac:dyDescent="0.25">
      <c r="A2603" t="s">
        <v>2643</v>
      </c>
      <c r="B2603" s="1">
        <v>45847.663969907408</v>
      </c>
      <c r="C2603" s="2" t="s">
        <v>22</v>
      </c>
      <c r="D2603" t="s">
        <v>45</v>
      </c>
      <c r="E2603">
        <v>14942</v>
      </c>
      <c r="F2603" t="s">
        <v>14</v>
      </c>
      <c r="G2603" t="s">
        <v>34</v>
      </c>
      <c r="H2603" t="s">
        <v>71</v>
      </c>
      <c r="I2603">
        <v>149.41999999999999</v>
      </c>
      <c r="J2603">
        <v>0</v>
      </c>
      <c r="K2603">
        <v>149.41999999999999</v>
      </c>
    </row>
    <row r="2604" spans="1:11" x14ac:dyDescent="0.25">
      <c r="A2604" t="s">
        <v>2644</v>
      </c>
      <c r="B2604" s="1">
        <v>45820.56454861111</v>
      </c>
      <c r="C2604" s="2" t="s">
        <v>26</v>
      </c>
      <c r="D2604" t="s">
        <v>45</v>
      </c>
      <c r="E2604">
        <v>30089</v>
      </c>
      <c r="F2604" t="s">
        <v>14</v>
      </c>
      <c r="G2604" t="s">
        <v>15</v>
      </c>
      <c r="H2604" t="s">
        <v>178</v>
      </c>
      <c r="I2604">
        <v>300.89</v>
      </c>
      <c r="J2604">
        <v>0</v>
      </c>
      <c r="K2604">
        <v>300.89</v>
      </c>
    </row>
    <row r="2605" spans="1:11" x14ac:dyDescent="0.25">
      <c r="A2605" t="s">
        <v>2645</v>
      </c>
      <c r="B2605" s="1">
        <v>46094.388784722221</v>
      </c>
      <c r="C2605" s="2" t="s">
        <v>18</v>
      </c>
      <c r="D2605" t="s">
        <v>45</v>
      </c>
      <c r="E2605">
        <v>9769</v>
      </c>
      <c r="F2605" t="s">
        <v>14</v>
      </c>
      <c r="G2605" t="s">
        <v>84</v>
      </c>
      <c r="H2605" t="s">
        <v>71</v>
      </c>
      <c r="I2605">
        <v>97.69</v>
      </c>
      <c r="J2605">
        <v>0</v>
      </c>
      <c r="K2605">
        <v>97.69</v>
      </c>
    </row>
    <row r="2606" spans="1:11" x14ac:dyDescent="0.25">
      <c r="A2606" t="s">
        <v>2646</v>
      </c>
      <c r="B2606" s="1">
        <v>45830.805856481478</v>
      </c>
      <c r="C2606" s="2" t="s">
        <v>26</v>
      </c>
      <c r="D2606" t="s">
        <v>33</v>
      </c>
      <c r="E2606">
        <v>99768</v>
      </c>
      <c r="F2606" t="s">
        <v>14</v>
      </c>
      <c r="G2606" t="s">
        <v>84</v>
      </c>
      <c r="H2606" t="s">
        <v>16</v>
      </c>
      <c r="I2606">
        <v>0</v>
      </c>
      <c r="J2606">
        <v>0</v>
      </c>
      <c r="K2606">
        <v>0</v>
      </c>
    </row>
    <row r="2607" spans="1:11" x14ac:dyDescent="0.25">
      <c r="A2607" t="s">
        <v>2647</v>
      </c>
      <c r="B2607" s="1">
        <v>46099.312731481485</v>
      </c>
      <c r="C2607" s="2" t="s">
        <v>29</v>
      </c>
      <c r="D2607" t="s">
        <v>19</v>
      </c>
      <c r="E2607">
        <v>107541</v>
      </c>
      <c r="F2607" t="s">
        <v>14</v>
      </c>
      <c r="G2607" t="s">
        <v>34</v>
      </c>
      <c r="H2607" t="s">
        <v>16</v>
      </c>
      <c r="I2607">
        <v>5</v>
      </c>
      <c r="J2607">
        <v>0</v>
      </c>
      <c r="K2607">
        <v>5</v>
      </c>
    </row>
    <row r="2608" spans="1:11" x14ac:dyDescent="0.25">
      <c r="A2608" t="s">
        <v>2648</v>
      </c>
      <c r="B2608" s="1">
        <v>45975.443553240744</v>
      </c>
      <c r="C2608" s="2" t="s">
        <v>39</v>
      </c>
      <c r="D2608" t="s">
        <v>33</v>
      </c>
      <c r="E2608">
        <v>144883</v>
      </c>
      <c r="F2608" t="s">
        <v>14</v>
      </c>
      <c r="G2608" t="s">
        <v>24</v>
      </c>
      <c r="H2608" t="s">
        <v>16</v>
      </c>
      <c r="I2608">
        <v>0</v>
      </c>
      <c r="J2608">
        <v>0</v>
      </c>
      <c r="K2608">
        <v>0</v>
      </c>
    </row>
    <row r="2609" spans="1:11" x14ac:dyDescent="0.25">
      <c r="A2609" t="s">
        <v>2649</v>
      </c>
      <c r="B2609" s="1">
        <v>46008.785057870373</v>
      </c>
      <c r="C2609" s="2" t="s">
        <v>22</v>
      </c>
      <c r="D2609" t="s">
        <v>45</v>
      </c>
      <c r="E2609">
        <v>18177</v>
      </c>
      <c r="F2609" t="s">
        <v>14</v>
      </c>
      <c r="G2609" t="s">
        <v>20</v>
      </c>
      <c r="H2609" t="s">
        <v>59</v>
      </c>
      <c r="I2609">
        <v>181.77</v>
      </c>
      <c r="J2609">
        <v>0</v>
      </c>
      <c r="K2609">
        <v>181.77</v>
      </c>
    </row>
    <row r="2610" spans="1:11" x14ac:dyDescent="0.25">
      <c r="A2610" t="s">
        <v>2650</v>
      </c>
      <c r="B2610" s="1">
        <v>45818.540798611109</v>
      </c>
      <c r="C2610" s="2" t="s">
        <v>39</v>
      </c>
      <c r="D2610" t="s">
        <v>33</v>
      </c>
      <c r="E2610">
        <v>146202</v>
      </c>
      <c r="F2610" t="s">
        <v>50</v>
      </c>
      <c r="G2610" t="s">
        <v>27</v>
      </c>
      <c r="H2610" t="s">
        <v>16</v>
      </c>
      <c r="I2610">
        <v>0</v>
      </c>
      <c r="J2610">
        <v>0</v>
      </c>
      <c r="K2610">
        <v>0</v>
      </c>
    </row>
    <row r="2611" spans="1:11" x14ac:dyDescent="0.25">
      <c r="A2611" t="s">
        <v>2651</v>
      </c>
      <c r="B2611" s="1">
        <v>46104.884467592594</v>
      </c>
      <c r="C2611" s="2" t="s">
        <v>32</v>
      </c>
      <c r="D2611" t="s">
        <v>23</v>
      </c>
      <c r="E2611">
        <v>556</v>
      </c>
      <c r="F2611" t="s">
        <v>14</v>
      </c>
      <c r="G2611" t="s">
        <v>24</v>
      </c>
      <c r="H2611" t="s">
        <v>16</v>
      </c>
      <c r="I2611">
        <v>0</v>
      </c>
      <c r="J2611">
        <v>0</v>
      </c>
      <c r="K2611">
        <v>0</v>
      </c>
    </row>
    <row r="2612" spans="1:11" x14ac:dyDescent="0.25">
      <c r="A2612" t="s">
        <v>2652</v>
      </c>
      <c r="B2612" s="1">
        <v>45938.434618055559</v>
      </c>
      <c r="C2612" s="2" t="s">
        <v>26</v>
      </c>
      <c r="D2612" t="s">
        <v>13</v>
      </c>
      <c r="E2612">
        <v>147500</v>
      </c>
      <c r="F2612" t="s">
        <v>14</v>
      </c>
      <c r="G2612" t="s">
        <v>58</v>
      </c>
      <c r="H2612" t="s">
        <v>16</v>
      </c>
      <c r="I2612">
        <v>2728.75</v>
      </c>
      <c r="J2612">
        <v>1091.5</v>
      </c>
      <c r="K2612">
        <v>1637.25</v>
      </c>
    </row>
    <row r="2613" spans="1:11" x14ac:dyDescent="0.25">
      <c r="A2613" t="s">
        <v>2653</v>
      </c>
      <c r="B2613" s="1">
        <v>45931.991759259261</v>
      </c>
      <c r="C2613" s="2" t="s">
        <v>39</v>
      </c>
      <c r="D2613" t="s">
        <v>13</v>
      </c>
      <c r="E2613">
        <v>1500</v>
      </c>
      <c r="F2613" t="s">
        <v>14</v>
      </c>
      <c r="G2613" t="s">
        <v>51</v>
      </c>
      <c r="H2613" t="s">
        <v>16</v>
      </c>
      <c r="I2613">
        <v>27.75</v>
      </c>
      <c r="J2613">
        <v>11.1</v>
      </c>
      <c r="K2613">
        <v>16.649999999999999</v>
      </c>
    </row>
    <row r="2614" spans="1:11" x14ac:dyDescent="0.25">
      <c r="A2614" t="s">
        <v>2654</v>
      </c>
      <c r="B2614" s="1">
        <v>46070.981145833335</v>
      </c>
      <c r="C2614" s="2" t="s">
        <v>22</v>
      </c>
      <c r="D2614" t="s">
        <v>23</v>
      </c>
      <c r="E2614">
        <v>3924</v>
      </c>
      <c r="F2614" t="s">
        <v>14</v>
      </c>
      <c r="G2614" t="s">
        <v>34</v>
      </c>
      <c r="H2614" t="s">
        <v>16</v>
      </c>
      <c r="I2614">
        <v>0</v>
      </c>
      <c r="J2614">
        <v>0</v>
      </c>
      <c r="K2614">
        <v>0</v>
      </c>
    </row>
    <row r="2615" spans="1:11" x14ac:dyDescent="0.25">
      <c r="A2615" t="s">
        <v>2655</v>
      </c>
      <c r="B2615" s="1">
        <v>46116.626250000001</v>
      </c>
      <c r="C2615" s="2" t="s">
        <v>39</v>
      </c>
      <c r="D2615" t="s">
        <v>45</v>
      </c>
      <c r="E2615">
        <v>21876</v>
      </c>
      <c r="F2615" t="s">
        <v>14</v>
      </c>
      <c r="G2615" t="s">
        <v>27</v>
      </c>
      <c r="H2615" t="s">
        <v>59</v>
      </c>
      <c r="I2615">
        <v>218.76</v>
      </c>
      <c r="J2615">
        <v>0</v>
      </c>
      <c r="K2615">
        <v>218.76</v>
      </c>
    </row>
    <row r="2616" spans="1:11" x14ac:dyDescent="0.25">
      <c r="A2616" t="s">
        <v>2656</v>
      </c>
      <c r="B2616" s="1">
        <v>45910.237615740742</v>
      </c>
      <c r="C2616" s="2" t="s">
        <v>26</v>
      </c>
      <c r="D2616" t="s">
        <v>33</v>
      </c>
      <c r="E2616">
        <v>53331</v>
      </c>
      <c r="F2616" t="s">
        <v>14</v>
      </c>
      <c r="G2616" t="s">
        <v>24</v>
      </c>
      <c r="H2616" t="s">
        <v>16</v>
      </c>
      <c r="I2616">
        <v>0</v>
      </c>
      <c r="J2616">
        <v>0</v>
      </c>
      <c r="K2616">
        <v>0</v>
      </c>
    </row>
    <row r="2617" spans="1:11" x14ac:dyDescent="0.25">
      <c r="A2617" t="s">
        <v>2657</v>
      </c>
      <c r="B2617" s="1">
        <v>46070.215682870374</v>
      </c>
      <c r="C2617" s="2" t="s">
        <v>29</v>
      </c>
      <c r="D2617" t="s">
        <v>33</v>
      </c>
      <c r="E2617">
        <v>53382</v>
      </c>
      <c r="F2617" t="s">
        <v>14</v>
      </c>
      <c r="G2617" t="s">
        <v>58</v>
      </c>
      <c r="H2617" t="s">
        <v>16</v>
      </c>
      <c r="I2617">
        <v>0</v>
      </c>
      <c r="J2617">
        <v>0</v>
      </c>
      <c r="K2617">
        <v>0</v>
      </c>
    </row>
    <row r="2618" spans="1:11" x14ac:dyDescent="0.25">
      <c r="A2618" t="s">
        <v>2658</v>
      </c>
      <c r="B2618" s="1">
        <v>46054.960312499999</v>
      </c>
      <c r="C2618" s="2" t="s">
        <v>32</v>
      </c>
      <c r="D2618" t="s">
        <v>45</v>
      </c>
      <c r="E2618">
        <v>37243</v>
      </c>
      <c r="F2618" t="s">
        <v>14</v>
      </c>
      <c r="G2618" t="s">
        <v>84</v>
      </c>
      <c r="H2618" t="s">
        <v>56</v>
      </c>
      <c r="I2618">
        <v>372.43</v>
      </c>
      <c r="J2618">
        <v>0</v>
      </c>
      <c r="K2618">
        <v>372.43</v>
      </c>
    </row>
    <row r="2619" spans="1:11" x14ac:dyDescent="0.25">
      <c r="A2619" t="s">
        <v>2659</v>
      </c>
      <c r="B2619" s="1">
        <v>45786.258090277777</v>
      </c>
      <c r="C2619" s="2" t="s">
        <v>32</v>
      </c>
      <c r="D2619" t="s">
        <v>45</v>
      </c>
      <c r="E2619">
        <v>40094</v>
      </c>
      <c r="F2619" t="s">
        <v>14</v>
      </c>
      <c r="G2619" t="s">
        <v>58</v>
      </c>
      <c r="H2619" t="s">
        <v>71</v>
      </c>
      <c r="I2619">
        <v>400.94</v>
      </c>
      <c r="J2619">
        <v>0</v>
      </c>
      <c r="K2619">
        <v>400.94</v>
      </c>
    </row>
    <row r="2620" spans="1:11" x14ac:dyDescent="0.25">
      <c r="A2620" t="s">
        <v>2660</v>
      </c>
      <c r="B2620" s="1">
        <v>45972.755624999998</v>
      </c>
      <c r="C2620" s="2" t="s">
        <v>26</v>
      </c>
      <c r="D2620" t="s">
        <v>33</v>
      </c>
      <c r="E2620">
        <v>52831</v>
      </c>
      <c r="F2620" t="s">
        <v>14</v>
      </c>
      <c r="G2620" t="s">
        <v>34</v>
      </c>
      <c r="H2620" t="s">
        <v>16</v>
      </c>
      <c r="I2620">
        <v>0</v>
      </c>
      <c r="J2620">
        <v>0</v>
      </c>
      <c r="K2620">
        <v>0</v>
      </c>
    </row>
    <row r="2621" spans="1:11" x14ac:dyDescent="0.25">
      <c r="A2621" t="s">
        <v>2661</v>
      </c>
      <c r="B2621" s="1">
        <v>45988.525972222225</v>
      </c>
      <c r="C2621" s="2" t="s">
        <v>26</v>
      </c>
      <c r="D2621" t="s">
        <v>19</v>
      </c>
      <c r="E2621">
        <v>49816</v>
      </c>
      <c r="F2621" t="s">
        <v>14</v>
      </c>
      <c r="G2621" t="s">
        <v>84</v>
      </c>
      <c r="H2621" t="s">
        <v>16</v>
      </c>
      <c r="I2621">
        <v>5</v>
      </c>
      <c r="J2621">
        <v>0</v>
      </c>
      <c r="K2621">
        <v>5</v>
      </c>
    </row>
    <row r="2622" spans="1:11" x14ac:dyDescent="0.25">
      <c r="A2622" t="s">
        <v>2662</v>
      </c>
      <c r="B2622" s="1">
        <v>46034.921712962961</v>
      </c>
      <c r="C2622" s="2" t="s">
        <v>41</v>
      </c>
      <c r="D2622" t="s">
        <v>33</v>
      </c>
      <c r="E2622">
        <v>17339</v>
      </c>
      <c r="F2622" t="s">
        <v>14</v>
      </c>
      <c r="G2622" t="s">
        <v>24</v>
      </c>
      <c r="H2622" t="s">
        <v>16</v>
      </c>
      <c r="I2622">
        <v>0</v>
      </c>
      <c r="J2622">
        <v>0</v>
      </c>
      <c r="K2622">
        <v>0</v>
      </c>
    </row>
    <row r="2623" spans="1:11" x14ac:dyDescent="0.25">
      <c r="A2623" t="s">
        <v>2663</v>
      </c>
      <c r="B2623" s="1">
        <v>45990.274398148147</v>
      </c>
      <c r="C2623" s="2" t="s">
        <v>29</v>
      </c>
      <c r="D2623" t="s">
        <v>19</v>
      </c>
      <c r="E2623">
        <v>43211</v>
      </c>
      <c r="F2623" t="s">
        <v>50</v>
      </c>
      <c r="G2623" t="s">
        <v>30</v>
      </c>
      <c r="H2623" t="s">
        <v>16</v>
      </c>
      <c r="I2623">
        <v>5</v>
      </c>
      <c r="J2623">
        <v>0</v>
      </c>
      <c r="K2623">
        <v>5</v>
      </c>
    </row>
    <row r="2624" spans="1:11" x14ac:dyDescent="0.25">
      <c r="A2624" t="s">
        <v>2664</v>
      </c>
      <c r="B2624" s="1">
        <v>46000.863194444442</v>
      </c>
      <c r="C2624" s="2" t="s">
        <v>22</v>
      </c>
      <c r="D2624" t="s">
        <v>13</v>
      </c>
      <c r="E2624">
        <v>90000</v>
      </c>
      <c r="F2624" t="s">
        <v>50</v>
      </c>
      <c r="G2624" t="s">
        <v>30</v>
      </c>
      <c r="H2624" t="s">
        <v>16</v>
      </c>
      <c r="I2624">
        <v>1665</v>
      </c>
      <c r="J2624">
        <v>666</v>
      </c>
      <c r="K2624">
        <v>999</v>
      </c>
    </row>
    <row r="2625" spans="1:11" x14ac:dyDescent="0.25">
      <c r="A2625" t="s">
        <v>2665</v>
      </c>
      <c r="B2625" s="1">
        <v>45811.721678240741</v>
      </c>
      <c r="C2625" s="2" t="s">
        <v>12</v>
      </c>
      <c r="D2625" t="s">
        <v>33</v>
      </c>
      <c r="E2625">
        <v>53013</v>
      </c>
      <c r="F2625" t="s">
        <v>14</v>
      </c>
      <c r="G2625" t="s">
        <v>20</v>
      </c>
      <c r="H2625" t="s">
        <v>16</v>
      </c>
      <c r="I2625">
        <v>0</v>
      </c>
      <c r="J2625">
        <v>0</v>
      </c>
      <c r="K2625">
        <v>0</v>
      </c>
    </row>
    <row r="2626" spans="1:11" x14ac:dyDescent="0.25">
      <c r="A2626" t="s">
        <v>2666</v>
      </c>
      <c r="B2626" s="1">
        <v>46085.772557870368</v>
      </c>
      <c r="C2626" s="2" t="s">
        <v>12</v>
      </c>
      <c r="D2626" t="s">
        <v>13</v>
      </c>
      <c r="E2626">
        <v>218000</v>
      </c>
      <c r="F2626" t="s">
        <v>50</v>
      </c>
      <c r="G2626" t="s">
        <v>30</v>
      </c>
      <c r="H2626" t="s">
        <v>16</v>
      </c>
      <c r="I2626">
        <v>4033</v>
      </c>
      <c r="J2626">
        <v>1613.2</v>
      </c>
      <c r="K2626">
        <v>2419.8000000000002</v>
      </c>
    </row>
    <row r="2627" spans="1:11" x14ac:dyDescent="0.25">
      <c r="A2627" t="s">
        <v>2667</v>
      </c>
      <c r="B2627" s="1">
        <v>45900.30572916667</v>
      </c>
      <c r="C2627" s="2" t="s">
        <v>12</v>
      </c>
      <c r="D2627" t="s">
        <v>23</v>
      </c>
      <c r="E2627">
        <v>4068</v>
      </c>
      <c r="F2627" t="s">
        <v>14</v>
      </c>
      <c r="G2627" t="s">
        <v>20</v>
      </c>
      <c r="H2627" t="s">
        <v>16</v>
      </c>
      <c r="I2627">
        <v>0</v>
      </c>
      <c r="J2627">
        <v>0</v>
      </c>
      <c r="K2627">
        <v>0</v>
      </c>
    </row>
    <row r="2628" spans="1:11" x14ac:dyDescent="0.25">
      <c r="A2628" t="s">
        <v>2668</v>
      </c>
      <c r="B2628" s="1">
        <v>46092.991932870369</v>
      </c>
      <c r="C2628" s="2" t="s">
        <v>12</v>
      </c>
      <c r="D2628" t="s">
        <v>19</v>
      </c>
      <c r="E2628">
        <v>22649</v>
      </c>
      <c r="F2628" t="s">
        <v>50</v>
      </c>
      <c r="G2628" t="s">
        <v>30</v>
      </c>
      <c r="H2628" t="s">
        <v>16</v>
      </c>
      <c r="I2628">
        <v>5</v>
      </c>
      <c r="J2628">
        <v>0</v>
      </c>
      <c r="K2628">
        <v>5</v>
      </c>
    </row>
    <row r="2629" spans="1:11" x14ac:dyDescent="0.25">
      <c r="A2629" t="s">
        <v>2669</v>
      </c>
      <c r="B2629" s="1">
        <v>45806.89329861111</v>
      </c>
      <c r="C2629" s="2" t="s">
        <v>29</v>
      </c>
      <c r="D2629" t="s">
        <v>13</v>
      </c>
      <c r="E2629">
        <v>169000</v>
      </c>
      <c r="F2629" t="s">
        <v>14</v>
      </c>
      <c r="G2629" t="s">
        <v>34</v>
      </c>
      <c r="H2629" t="s">
        <v>16</v>
      </c>
      <c r="I2629">
        <v>3126.5</v>
      </c>
      <c r="J2629">
        <v>1250.5999999999999</v>
      </c>
      <c r="K2629">
        <v>1875.9</v>
      </c>
    </row>
    <row r="2630" spans="1:11" x14ac:dyDescent="0.25">
      <c r="A2630" t="s">
        <v>2670</v>
      </c>
      <c r="B2630" s="1">
        <v>45908.63989583333</v>
      </c>
      <c r="C2630" s="2" t="s">
        <v>41</v>
      </c>
      <c r="D2630" t="s">
        <v>45</v>
      </c>
      <c r="E2630">
        <v>56013</v>
      </c>
      <c r="F2630" t="s">
        <v>14</v>
      </c>
      <c r="G2630" t="s">
        <v>34</v>
      </c>
      <c r="H2630" t="s">
        <v>59</v>
      </c>
      <c r="I2630">
        <v>560.13</v>
      </c>
      <c r="J2630">
        <v>0</v>
      </c>
      <c r="K2630">
        <v>560.13</v>
      </c>
    </row>
    <row r="2631" spans="1:11" x14ac:dyDescent="0.25">
      <c r="A2631" t="s">
        <v>2671</v>
      </c>
      <c r="B2631" s="1">
        <v>45847.354699074072</v>
      </c>
      <c r="C2631" s="2" t="s">
        <v>41</v>
      </c>
      <c r="D2631" t="s">
        <v>33</v>
      </c>
      <c r="E2631">
        <v>80266</v>
      </c>
      <c r="F2631" t="s">
        <v>14</v>
      </c>
      <c r="G2631" t="s">
        <v>51</v>
      </c>
      <c r="H2631" t="s">
        <v>16</v>
      </c>
      <c r="I2631">
        <v>0</v>
      </c>
      <c r="J2631">
        <v>0</v>
      </c>
      <c r="K2631">
        <v>0</v>
      </c>
    </row>
    <row r="2632" spans="1:11" x14ac:dyDescent="0.25">
      <c r="A2632" t="s">
        <v>2672</v>
      </c>
      <c r="B2632" s="1">
        <v>45939.057256944441</v>
      </c>
      <c r="C2632" s="2" t="s">
        <v>39</v>
      </c>
      <c r="D2632" t="s">
        <v>19</v>
      </c>
      <c r="E2632">
        <v>114202</v>
      </c>
      <c r="F2632" t="s">
        <v>14</v>
      </c>
      <c r="G2632" t="s">
        <v>84</v>
      </c>
      <c r="H2632" t="s">
        <v>16</v>
      </c>
      <c r="I2632">
        <v>5</v>
      </c>
      <c r="J2632">
        <v>0</v>
      </c>
      <c r="K2632">
        <v>5</v>
      </c>
    </row>
    <row r="2633" spans="1:11" x14ac:dyDescent="0.25">
      <c r="A2633" t="s">
        <v>2673</v>
      </c>
      <c r="B2633" s="1">
        <v>45794.161712962959</v>
      </c>
      <c r="C2633" s="2" t="s">
        <v>39</v>
      </c>
      <c r="D2633" t="s">
        <v>45</v>
      </c>
      <c r="E2633">
        <v>76847</v>
      </c>
      <c r="F2633" t="s">
        <v>14</v>
      </c>
      <c r="G2633" t="s">
        <v>30</v>
      </c>
      <c r="H2633" t="s">
        <v>71</v>
      </c>
      <c r="I2633">
        <v>768.47</v>
      </c>
      <c r="J2633">
        <v>0</v>
      </c>
      <c r="K2633">
        <v>768.47</v>
      </c>
    </row>
    <row r="2634" spans="1:11" x14ac:dyDescent="0.25">
      <c r="A2634" t="s">
        <v>2674</v>
      </c>
      <c r="B2634" s="1">
        <v>46124.990925925929</v>
      </c>
      <c r="C2634" s="2" t="s">
        <v>29</v>
      </c>
      <c r="D2634" t="s">
        <v>33</v>
      </c>
      <c r="E2634">
        <v>63214</v>
      </c>
      <c r="F2634" t="s">
        <v>14</v>
      </c>
      <c r="G2634" t="s">
        <v>51</v>
      </c>
      <c r="H2634" t="s">
        <v>16</v>
      </c>
      <c r="I2634">
        <v>0</v>
      </c>
      <c r="J2634">
        <v>0</v>
      </c>
      <c r="K2634">
        <v>0</v>
      </c>
    </row>
    <row r="2635" spans="1:11" x14ac:dyDescent="0.25">
      <c r="A2635" t="s">
        <v>2675</v>
      </c>
      <c r="B2635" s="1">
        <v>45832.953865740739</v>
      </c>
      <c r="C2635" s="2" t="s">
        <v>22</v>
      </c>
      <c r="D2635" t="s">
        <v>13</v>
      </c>
      <c r="E2635">
        <v>16500</v>
      </c>
      <c r="F2635" t="s">
        <v>50</v>
      </c>
      <c r="G2635" t="s">
        <v>30</v>
      </c>
      <c r="H2635" t="s">
        <v>16</v>
      </c>
      <c r="I2635">
        <v>305.25</v>
      </c>
      <c r="J2635">
        <v>122.1</v>
      </c>
      <c r="K2635">
        <v>183.15</v>
      </c>
    </row>
    <row r="2636" spans="1:11" x14ac:dyDescent="0.25">
      <c r="A2636" t="s">
        <v>2676</v>
      </c>
      <c r="B2636" s="1">
        <v>46097.994166666664</v>
      </c>
      <c r="C2636" s="2" t="s">
        <v>18</v>
      </c>
      <c r="D2636" t="s">
        <v>33</v>
      </c>
      <c r="E2636">
        <v>2208</v>
      </c>
      <c r="F2636" t="s">
        <v>14</v>
      </c>
      <c r="G2636" t="s">
        <v>20</v>
      </c>
      <c r="H2636" t="s">
        <v>16</v>
      </c>
      <c r="I2636">
        <v>0</v>
      </c>
      <c r="J2636">
        <v>0</v>
      </c>
      <c r="K2636">
        <v>0</v>
      </c>
    </row>
    <row r="2637" spans="1:11" x14ac:dyDescent="0.25">
      <c r="A2637" t="s">
        <v>2677</v>
      </c>
      <c r="B2637" s="1">
        <v>45845.19971064815</v>
      </c>
      <c r="C2637" s="2" t="s">
        <v>12</v>
      </c>
      <c r="D2637" t="s">
        <v>45</v>
      </c>
      <c r="E2637">
        <v>117176</v>
      </c>
      <c r="F2637" t="s">
        <v>50</v>
      </c>
      <c r="G2637" t="s">
        <v>58</v>
      </c>
      <c r="H2637" t="s">
        <v>178</v>
      </c>
      <c r="I2637">
        <v>1171.76</v>
      </c>
      <c r="J2637">
        <v>0</v>
      </c>
      <c r="K2637">
        <v>1171.76</v>
      </c>
    </row>
    <row r="2638" spans="1:11" x14ac:dyDescent="0.25">
      <c r="A2638" t="s">
        <v>2678</v>
      </c>
      <c r="B2638" s="1">
        <v>46057.528657407405</v>
      </c>
      <c r="C2638" s="2" t="s">
        <v>26</v>
      </c>
      <c r="D2638" t="s">
        <v>19</v>
      </c>
      <c r="E2638">
        <v>107098</v>
      </c>
      <c r="F2638" t="s">
        <v>14</v>
      </c>
      <c r="G2638" t="s">
        <v>24</v>
      </c>
      <c r="H2638" t="s">
        <v>16</v>
      </c>
      <c r="I2638">
        <v>5</v>
      </c>
      <c r="J2638">
        <v>0</v>
      </c>
      <c r="K2638">
        <v>5</v>
      </c>
    </row>
    <row r="2639" spans="1:11" x14ac:dyDescent="0.25">
      <c r="A2639" t="s">
        <v>2679</v>
      </c>
      <c r="B2639" s="1">
        <v>45880.192511574074</v>
      </c>
      <c r="C2639" s="2" t="s">
        <v>22</v>
      </c>
      <c r="D2639" t="s">
        <v>13</v>
      </c>
      <c r="E2639">
        <v>54500</v>
      </c>
      <c r="F2639" t="s">
        <v>14</v>
      </c>
      <c r="G2639" t="s">
        <v>20</v>
      </c>
      <c r="H2639" t="s">
        <v>16</v>
      </c>
      <c r="I2639">
        <v>1008.25</v>
      </c>
      <c r="J2639">
        <v>403.3</v>
      </c>
      <c r="K2639">
        <v>604.95000000000005</v>
      </c>
    </row>
    <row r="2640" spans="1:11" x14ac:dyDescent="0.25">
      <c r="A2640" t="s">
        <v>2680</v>
      </c>
      <c r="B2640" s="1">
        <v>45829.880150462966</v>
      </c>
      <c r="C2640" s="2" t="s">
        <v>41</v>
      </c>
      <c r="D2640" t="s">
        <v>45</v>
      </c>
      <c r="E2640">
        <v>61466</v>
      </c>
      <c r="F2640" t="s">
        <v>50</v>
      </c>
      <c r="G2640" t="s">
        <v>20</v>
      </c>
      <c r="H2640" t="s">
        <v>46</v>
      </c>
      <c r="I2640">
        <v>614.66</v>
      </c>
      <c r="J2640">
        <v>0</v>
      </c>
      <c r="K2640">
        <v>614.66</v>
      </c>
    </row>
    <row r="2641" spans="1:11" x14ac:dyDescent="0.25">
      <c r="A2641" t="s">
        <v>2681</v>
      </c>
      <c r="B2641" s="1">
        <v>46054.72042824074</v>
      </c>
      <c r="C2641" s="2" t="s">
        <v>22</v>
      </c>
      <c r="D2641" t="s">
        <v>45</v>
      </c>
      <c r="E2641">
        <v>63781</v>
      </c>
      <c r="F2641" t="s">
        <v>14</v>
      </c>
      <c r="G2641" t="s">
        <v>24</v>
      </c>
      <c r="H2641" t="s">
        <v>178</v>
      </c>
      <c r="I2641">
        <v>637.80999999999995</v>
      </c>
      <c r="J2641">
        <v>0</v>
      </c>
      <c r="K2641">
        <v>637.80999999999995</v>
      </c>
    </row>
    <row r="2642" spans="1:11" x14ac:dyDescent="0.25">
      <c r="A2642" t="s">
        <v>2682</v>
      </c>
      <c r="B2642" s="1">
        <v>45798.562372685185</v>
      </c>
      <c r="C2642" s="2" t="s">
        <v>12</v>
      </c>
      <c r="D2642" t="s">
        <v>23</v>
      </c>
      <c r="E2642">
        <v>685</v>
      </c>
      <c r="F2642" t="s">
        <v>14</v>
      </c>
      <c r="G2642" t="s">
        <v>24</v>
      </c>
      <c r="H2642" t="s">
        <v>16</v>
      </c>
      <c r="I2642">
        <v>0</v>
      </c>
      <c r="J2642">
        <v>0</v>
      </c>
      <c r="K2642">
        <v>0</v>
      </c>
    </row>
    <row r="2643" spans="1:11" x14ac:dyDescent="0.25">
      <c r="A2643" t="s">
        <v>2683</v>
      </c>
      <c r="B2643" s="1">
        <v>45910.58761574074</v>
      </c>
      <c r="C2643" s="2" t="s">
        <v>18</v>
      </c>
      <c r="D2643" t="s">
        <v>45</v>
      </c>
      <c r="E2643">
        <v>71571</v>
      </c>
      <c r="F2643" t="s">
        <v>14</v>
      </c>
      <c r="G2643" t="s">
        <v>15</v>
      </c>
      <c r="H2643" t="s">
        <v>56</v>
      </c>
      <c r="I2643">
        <v>715.71</v>
      </c>
      <c r="J2643">
        <v>0</v>
      </c>
      <c r="K2643">
        <v>715.71</v>
      </c>
    </row>
    <row r="2644" spans="1:11" x14ac:dyDescent="0.25">
      <c r="A2644" t="s">
        <v>2684</v>
      </c>
      <c r="B2644" s="1">
        <v>46130.999178240738</v>
      </c>
      <c r="C2644" s="2" t="s">
        <v>18</v>
      </c>
      <c r="D2644" t="s">
        <v>13</v>
      </c>
      <c r="E2644">
        <v>97000</v>
      </c>
      <c r="F2644" t="s">
        <v>50</v>
      </c>
      <c r="G2644" t="s">
        <v>34</v>
      </c>
      <c r="H2644" t="s">
        <v>16</v>
      </c>
      <c r="I2644">
        <v>1794.5</v>
      </c>
      <c r="J2644">
        <v>717.8</v>
      </c>
      <c r="K2644">
        <v>1076.7</v>
      </c>
    </row>
    <row r="2645" spans="1:11" x14ac:dyDescent="0.25">
      <c r="A2645" t="s">
        <v>2685</v>
      </c>
      <c r="B2645" s="1">
        <v>45993.993321759262</v>
      </c>
      <c r="C2645" s="2" t="s">
        <v>32</v>
      </c>
      <c r="D2645" t="s">
        <v>45</v>
      </c>
      <c r="E2645">
        <v>72254</v>
      </c>
      <c r="F2645" t="s">
        <v>14</v>
      </c>
      <c r="G2645" t="s">
        <v>27</v>
      </c>
      <c r="H2645" t="s">
        <v>71</v>
      </c>
      <c r="I2645">
        <v>722.54</v>
      </c>
      <c r="J2645">
        <v>0</v>
      </c>
      <c r="K2645">
        <v>722.54</v>
      </c>
    </row>
    <row r="2646" spans="1:11" x14ac:dyDescent="0.25">
      <c r="A2646" t="s">
        <v>2686</v>
      </c>
      <c r="B2646" s="1">
        <v>46086.839456018519</v>
      </c>
      <c r="C2646" s="2" t="s">
        <v>39</v>
      </c>
      <c r="D2646" t="s">
        <v>13</v>
      </c>
      <c r="E2646">
        <v>8500</v>
      </c>
      <c r="F2646" t="s">
        <v>14</v>
      </c>
      <c r="G2646" t="s">
        <v>51</v>
      </c>
      <c r="H2646" t="s">
        <v>16</v>
      </c>
      <c r="I2646">
        <v>157.25</v>
      </c>
      <c r="J2646">
        <v>62.9</v>
      </c>
      <c r="K2646">
        <v>94.35</v>
      </c>
    </row>
    <row r="2647" spans="1:11" x14ac:dyDescent="0.25">
      <c r="A2647" t="s">
        <v>2687</v>
      </c>
      <c r="B2647" s="1">
        <v>46137.406006944446</v>
      </c>
      <c r="C2647" s="2" t="s">
        <v>39</v>
      </c>
      <c r="D2647" t="s">
        <v>13</v>
      </c>
      <c r="E2647">
        <v>158000</v>
      </c>
      <c r="F2647" t="s">
        <v>14</v>
      </c>
      <c r="G2647" t="s">
        <v>51</v>
      </c>
      <c r="H2647" t="s">
        <v>16</v>
      </c>
      <c r="I2647">
        <v>2923</v>
      </c>
      <c r="J2647">
        <v>1169.2</v>
      </c>
      <c r="K2647">
        <v>1753.8</v>
      </c>
    </row>
    <row r="2648" spans="1:11" x14ac:dyDescent="0.25">
      <c r="A2648" t="s">
        <v>2688</v>
      </c>
      <c r="B2648" s="1">
        <v>45948.847025462965</v>
      </c>
      <c r="C2648" s="2" t="s">
        <v>12</v>
      </c>
      <c r="D2648" t="s">
        <v>23</v>
      </c>
      <c r="E2648">
        <v>4331</v>
      </c>
      <c r="F2648" t="s">
        <v>14</v>
      </c>
      <c r="G2648" t="s">
        <v>27</v>
      </c>
      <c r="H2648" t="s">
        <v>16</v>
      </c>
      <c r="I2648">
        <v>0</v>
      </c>
      <c r="J2648">
        <v>0</v>
      </c>
      <c r="K2648">
        <v>0</v>
      </c>
    </row>
    <row r="2649" spans="1:11" x14ac:dyDescent="0.25">
      <c r="A2649" t="s">
        <v>2689</v>
      </c>
      <c r="B2649" s="1">
        <v>45896.465196759258</v>
      </c>
      <c r="C2649" s="2" t="s">
        <v>32</v>
      </c>
      <c r="D2649" t="s">
        <v>23</v>
      </c>
      <c r="E2649">
        <v>1684</v>
      </c>
      <c r="F2649" t="s">
        <v>14</v>
      </c>
      <c r="G2649" t="s">
        <v>58</v>
      </c>
      <c r="H2649" t="s">
        <v>16</v>
      </c>
      <c r="I2649">
        <v>0</v>
      </c>
      <c r="J2649">
        <v>0</v>
      </c>
      <c r="K2649">
        <v>0</v>
      </c>
    </row>
    <row r="2650" spans="1:11" x14ac:dyDescent="0.25">
      <c r="A2650" t="s">
        <v>2690</v>
      </c>
      <c r="B2650" s="1">
        <v>45882.075543981482</v>
      </c>
      <c r="C2650" s="2" t="s">
        <v>18</v>
      </c>
      <c r="D2650" t="s">
        <v>23</v>
      </c>
      <c r="E2650">
        <v>36</v>
      </c>
      <c r="F2650" t="s">
        <v>14</v>
      </c>
      <c r="G2650" t="s">
        <v>15</v>
      </c>
      <c r="H2650" t="s">
        <v>16</v>
      </c>
      <c r="I2650">
        <v>0</v>
      </c>
      <c r="J2650">
        <v>0</v>
      </c>
      <c r="K2650">
        <v>0</v>
      </c>
    </row>
    <row r="2651" spans="1:11" x14ac:dyDescent="0.25">
      <c r="A2651" t="s">
        <v>2691</v>
      </c>
      <c r="B2651" s="1">
        <v>45942.006030092591</v>
      </c>
      <c r="C2651" s="2" t="s">
        <v>29</v>
      </c>
      <c r="D2651" t="s">
        <v>19</v>
      </c>
      <c r="E2651">
        <v>21948</v>
      </c>
      <c r="F2651" t="s">
        <v>14</v>
      </c>
      <c r="G2651" t="s">
        <v>58</v>
      </c>
      <c r="H2651" t="s">
        <v>16</v>
      </c>
      <c r="I2651">
        <v>5</v>
      </c>
      <c r="J2651">
        <v>0</v>
      </c>
      <c r="K2651">
        <v>5</v>
      </c>
    </row>
    <row r="2652" spans="1:11" x14ac:dyDescent="0.25">
      <c r="A2652" t="s">
        <v>2692</v>
      </c>
      <c r="B2652" s="1">
        <v>45884.47550925926</v>
      </c>
      <c r="C2652" s="2" t="s">
        <v>26</v>
      </c>
      <c r="D2652" t="s">
        <v>23</v>
      </c>
      <c r="E2652">
        <v>3455</v>
      </c>
      <c r="F2652" t="s">
        <v>14</v>
      </c>
      <c r="G2652" t="s">
        <v>30</v>
      </c>
      <c r="H2652" t="s">
        <v>16</v>
      </c>
      <c r="I2652">
        <v>0</v>
      </c>
      <c r="J2652">
        <v>0</v>
      </c>
      <c r="K2652">
        <v>0</v>
      </c>
    </row>
    <row r="2653" spans="1:11" x14ac:dyDescent="0.25">
      <c r="A2653" t="s">
        <v>2693</v>
      </c>
      <c r="B2653" s="1">
        <v>45923.487256944441</v>
      </c>
      <c r="C2653" s="2" t="s">
        <v>29</v>
      </c>
      <c r="D2653" t="s">
        <v>45</v>
      </c>
      <c r="E2653">
        <v>39373</v>
      </c>
      <c r="F2653" t="s">
        <v>14</v>
      </c>
      <c r="G2653" t="s">
        <v>34</v>
      </c>
      <c r="H2653" t="s">
        <v>178</v>
      </c>
      <c r="I2653">
        <v>393.73</v>
      </c>
      <c r="J2653">
        <v>0</v>
      </c>
      <c r="K2653">
        <v>393.73</v>
      </c>
    </row>
    <row r="2654" spans="1:11" x14ac:dyDescent="0.25">
      <c r="A2654" t="s">
        <v>2694</v>
      </c>
      <c r="B2654" s="1">
        <v>45991.202951388892</v>
      </c>
      <c r="C2654" s="2" t="s">
        <v>26</v>
      </c>
      <c r="D2654" t="s">
        <v>23</v>
      </c>
      <c r="E2654">
        <v>183</v>
      </c>
      <c r="F2654" t="s">
        <v>14</v>
      </c>
      <c r="G2654" t="s">
        <v>24</v>
      </c>
      <c r="H2654" t="s">
        <v>16</v>
      </c>
      <c r="I2654">
        <v>0</v>
      </c>
      <c r="J2654">
        <v>0</v>
      </c>
      <c r="K2654">
        <v>0</v>
      </c>
    </row>
    <row r="2655" spans="1:11" x14ac:dyDescent="0.25">
      <c r="A2655" t="s">
        <v>2695</v>
      </c>
      <c r="B2655" s="1">
        <v>45959.800011574072</v>
      </c>
      <c r="C2655" s="2" t="s">
        <v>29</v>
      </c>
      <c r="D2655" t="s">
        <v>23</v>
      </c>
      <c r="E2655">
        <v>2381</v>
      </c>
      <c r="F2655" t="s">
        <v>14</v>
      </c>
      <c r="G2655" t="s">
        <v>58</v>
      </c>
      <c r="H2655" t="s">
        <v>16</v>
      </c>
      <c r="I2655">
        <v>0</v>
      </c>
      <c r="J2655">
        <v>0</v>
      </c>
      <c r="K2655">
        <v>0</v>
      </c>
    </row>
    <row r="2656" spans="1:11" x14ac:dyDescent="0.25">
      <c r="A2656" t="s">
        <v>2696</v>
      </c>
      <c r="B2656" s="1">
        <v>45919.406608796293</v>
      </c>
      <c r="C2656" s="2" t="s">
        <v>29</v>
      </c>
      <c r="D2656" t="s">
        <v>45</v>
      </c>
      <c r="E2656">
        <v>18696</v>
      </c>
      <c r="F2656" t="s">
        <v>50</v>
      </c>
      <c r="G2656" t="s">
        <v>24</v>
      </c>
      <c r="H2656" t="s">
        <v>56</v>
      </c>
      <c r="I2656">
        <v>186.96</v>
      </c>
      <c r="J2656">
        <v>0</v>
      </c>
      <c r="K2656">
        <v>186.96</v>
      </c>
    </row>
    <row r="2657" spans="1:11" x14ac:dyDescent="0.25">
      <c r="A2657" t="s">
        <v>2697</v>
      </c>
      <c r="B2657" s="1">
        <v>46036.482511574075</v>
      </c>
      <c r="C2657" s="2" t="s">
        <v>18</v>
      </c>
      <c r="D2657" t="s">
        <v>19</v>
      </c>
      <c r="E2657">
        <v>94598</v>
      </c>
      <c r="F2657" t="s">
        <v>14</v>
      </c>
      <c r="G2657" t="s">
        <v>20</v>
      </c>
      <c r="H2657" t="s">
        <v>16</v>
      </c>
      <c r="I2657">
        <v>5</v>
      </c>
      <c r="J2657">
        <v>0</v>
      </c>
      <c r="K2657">
        <v>5</v>
      </c>
    </row>
    <row r="2658" spans="1:11" x14ac:dyDescent="0.25">
      <c r="A2658" t="s">
        <v>2698</v>
      </c>
      <c r="B2658" s="1">
        <v>46076.697106481479</v>
      </c>
      <c r="C2658" s="2" t="s">
        <v>18</v>
      </c>
      <c r="D2658" t="s">
        <v>19</v>
      </c>
      <c r="E2658">
        <v>28460</v>
      </c>
      <c r="F2658" t="s">
        <v>99</v>
      </c>
      <c r="G2658" t="s">
        <v>20</v>
      </c>
      <c r="H2658" t="s">
        <v>16</v>
      </c>
      <c r="I2658">
        <v>5</v>
      </c>
      <c r="J2658">
        <v>0</v>
      </c>
      <c r="K2658">
        <v>5</v>
      </c>
    </row>
    <row r="2659" spans="1:11" x14ac:dyDescent="0.25">
      <c r="A2659" t="s">
        <v>2699</v>
      </c>
      <c r="B2659" s="1">
        <v>46072.999282407407</v>
      </c>
      <c r="C2659" s="2" t="s">
        <v>29</v>
      </c>
      <c r="D2659" t="s">
        <v>33</v>
      </c>
      <c r="E2659">
        <v>13835</v>
      </c>
      <c r="F2659" t="s">
        <v>14</v>
      </c>
      <c r="G2659" t="s">
        <v>30</v>
      </c>
      <c r="H2659" t="s">
        <v>16</v>
      </c>
      <c r="I2659">
        <v>0</v>
      </c>
      <c r="J2659">
        <v>0</v>
      </c>
      <c r="K2659">
        <v>0</v>
      </c>
    </row>
    <row r="2660" spans="1:11" x14ac:dyDescent="0.25">
      <c r="A2660" t="s">
        <v>2700</v>
      </c>
      <c r="B2660" s="1">
        <v>45976.404907407406</v>
      </c>
      <c r="C2660" s="2" t="s">
        <v>12</v>
      </c>
      <c r="D2660" t="s">
        <v>33</v>
      </c>
      <c r="E2660">
        <v>122768</v>
      </c>
      <c r="F2660" t="s">
        <v>14</v>
      </c>
      <c r="G2660" t="s">
        <v>15</v>
      </c>
      <c r="H2660" t="s">
        <v>16</v>
      </c>
      <c r="I2660">
        <v>0</v>
      </c>
      <c r="J2660">
        <v>0</v>
      </c>
      <c r="K2660">
        <v>0</v>
      </c>
    </row>
    <row r="2661" spans="1:11" x14ac:dyDescent="0.25">
      <c r="A2661" t="s">
        <v>2701</v>
      </c>
      <c r="B2661" s="1">
        <v>45904.780266203707</v>
      </c>
      <c r="C2661" s="2" t="s">
        <v>12</v>
      </c>
      <c r="D2661" t="s">
        <v>33</v>
      </c>
      <c r="E2661">
        <v>51939</v>
      </c>
      <c r="F2661" t="s">
        <v>14</v>
      </c>
      <c r="G2661" t="s">
        <v>34</v>
      </c>
      <c r="H2661" t="s">
        <v>16</v>
      </c>
      <c r="I2661">
        <v>0</v>
      </c>
      <c r="J2661">
        <v>0</v>
      </c>
      <c r="K2661">
        <v>0</v>
      </c>
    </row>
    <row r="2662" spans="1:11" x14ac:dyDescent="0.25">
      <c r="A2662" t="s">
        <v>2702</v>
      </c>
      <c r="B2662" s="1">
        <v>45803.515810185185</v>
      </c>
      <c r="C2662" s="2" t="s">
        <v>29</v>
      </c>
      <c r="D2662" t="s">
        <v>19</v>
      </c>
      <c r="E2662">
        <v>67959</v>
      </c>
      <c r="F2662" t="s">
        <v>14</v>
      </c>
      <c r="G2662" t="s">
        <v>27</v>
      </c>
      <c r="H2662" t="s">
        <v>16</v>
      </c>
      <c r="I2662">
        <v>5</v>
      </c>
      <c r="J2662">
        <v>0</v>
      </c>
      <c r="K2662">
        <v>5</v>
      </c>
    </row>
    <row r="2663" spans="1:11" x14ac:dyDescent="0.25">
      <c r="A2663" t="s">
        <v>2703</v>
      </c>
      <c r="B2663" s="1">
        <v>45966.345601851855</v>
      </c>
      <c r="C2663" s="2" t="s">
        <v>22</v>
      </c>
      <c r="D2663" t="s">
        <v>19</v>
      </c>
      <c r="E2663">
        <v>149503</v>
      </c>
      <c r="F2663" t="s">
        <v>14</v>
      </c>
      <c r="G2663" t="s">
        <v>30</v>
      </c>
      <c r="H2663" t="s">
        <v>16</v>
      </c>
      <c r="I2663">
        <v>5</v>
      </c>
      <c r="J2663">
        <v>0</v>
      </c>
      <c r="K2663">
        <v>5</v>
      </c>
    </row>
    <row r="2664" spans="1:11" x14ac:dyDescent="0.25">
      <c r="A2664" t="s">
        <v>2704</v>
      </c>
      <c r="B2664" s="1">
        <v>45972.290081018517</v>
      </c>
      <c r="C2664" s="2" t="s">
        <v>39</v>
      </c>
      <c r="D2664" t="s">
        <v>13</v>
      </c>
      <c r="E2664">
        <v>205000</v>
      </c>
      <c r="F2664" t="s">
        <v>14</v>
      </c>
      <c r="G2664" t="s">
        <v>15</v>
      </c>
      <c r="H2664" t="s">
        <v>16</v>
      </c>
      <c r="I2664">
        <v>3792.5</v>
      </c>
      <c r="J2664">
        <v>1517</v>
      </c>
      <c r="K2664">
        <v>2275.5</v>
      </c>
    </row>
    <row r="2665" spans="1:11" x14ac:dyDescent="0.25">
      <c r="A2665" t="s">
        <v>2705</v>
      </c>
      <c r="B2665" s="1">
        <v>45946.449467592596</v>
      </c>
      <c r="C2665" s="2" t="s">
        <v>18</v>
      </c>
      <c r="D2665" t="s">
        <v>45</v>
      </c>
      <c r="E2665">
        <v>59233</v>
      </c>
      <c r="F2665" t="s">
        <v>14</v>
      </c>
      <c r="G2665" t="s">
        <v>20</v>
      </c>
      <c r="H2665" t="s">
        <v>178</v>
      </c>
      <c r="I2665">
        <v>592.33000000000004</v>
      </c>
      <c r="J2665">
        <v>0</v>
      </c>
      <c r="K2665">
        <v>592.33000000000004</v>
      </c>
    </row>
    <row r="2666" spans="1:11" x14ac:dyDescent="0.25">
      <c r="A2666" t="s">
        <v>2706</v>
      </c>
      <c r="B2666" s="1">
        <v>46046.288958333331</v>
      </c>
      <c r="C2666" s="2" t="s">
        <v>29</v>
      </c>
      <c r="D2666" t="s">
        <v>33</v>
      </c>
      <c r="E2666">
        <v>121767</v>
      </c>
      <c r="F2666" t="s">
        <v>14</v>
      </c>
      <c r="G2666" t="s">
        <v>51</v>
      </c>
      <c r="H2666" t="s">
        <v>16</v>
      </c>
      <c r="I2666">
        <v>0</v>
      </c>
      <c r="J2666">
        <v>0</v>
      </c>
      <c r="K2666">
        <v>0</v>
      </c>
    </row>
    <row r="2667" spans="1:11" x14ac:dyDescent="0.25">
      <c r="A2667" t="s">
        <v>2707</v>
      </c>
      <c r="B2667" s="1">
        <v>46002.49015046296</v>
      </c>
      <c r="C2667" s="2" t="s">
        <v>32</v>
      </c>
      <c r="D2667" t="s">
        <v>13</v>
      </c>
      <c r="E2667">
        <v>5000</v>
      </c>
      <c r="F2667" t="s">
        <v>99</v>
      </c>
      <c r="G2667" t="s">
        <v>15</v>
      </c>
      <c r="H2667" t="s">
        <v>16</v>
      </c>
      <c r="I2667">
        <v>92.5</v>
      </c>
      <c r="J2667">
        <v>37</v>
      </c>
      <c r="K2667">
        <v>55.5</v>
      </c>
    </row>
    <row r="2668" spans="1:11" x14ac:dyDescent="0.25">
      <c r="A2668" t="s">
        <v>2708</v>
      </c>
      <c r="B2668" s="1">
        <v>46042.13585648148</v>
      </c>
      <c r="C2668" s="2" t="s">
        <v>18</v>
      </c>
      <c r="D2668" t="s">
        <v>19</v>
      </c>
      <c r="E2668">
        <v>53188</v>
      </c>
      <c r="F2668" t="s">
        <v>14</v>
      </c>
      <c r="G2668" t="s">
        <v>24</v>
      </c>
      <c r="H2668" t="s">
        <v>16</v>
      </c>
      <c r="I2668">
        <v>5</v>
      </c>
      <c r="J2668">
        <v>0</v>
      </c>
      <c r="K2668">
        <v>5</v>
      </c>
    </row>
    <row r="2669" spans="1:11" x14ac:dyDescent="0.25">
      <c r="A2669" t="s">
        <v>2709</v>
      </c>
      <c r="B2669" s="1">
        <v>45984.218680555554</v>
      </c>
      <c r="C2669" s="2" t="s">
        <v>26</v>
      </c>
      <c r="D2669" t="s">
        <v>13</v>
      </c>
      <c r="E2669">
        <v>184500</v>
      </c>
      <c r="F2669" t="s">
        <v>14</v>
      </c>
      <c r="G2669" t="s">
        <v>34</v>
      </c>
      <c r="H2669" t="s">
        <v>16</v>
      </c>
      <c r="I2669">
        <v>3413.25</v>
      </c>
      <c r="J2669">
        <v>1365.3</v>
      </c>
      <c r="K2669">
        <v>2047.95</v>
      </c>
    </row>
    <row r="2670" spans="1:11" x14ac:dyDescent="0.25">
      <c r="A2670" t="s">
        <v>2710</v>
      </c>
      <c r="B2670" s="1">
        <v>46113.122071759259</v>
      </c>
      <c r="C2670" s="2" t="s">
        <v>18</v>
      </c>
      <c r="D2670" t="s">
        <v>13</v>
      </c>
      <c r="E2670">
        <v>204500</v>
      </c>
      <c r="F2670" t="s">
        <v>50</v>
      </c>
      <c r="G2670" t="s">
        <v>58</v>
      </c>
      <c r="H2670" t="s">
        <v>16</v>
      </c>
      <c r="I2670">
        <v>3783.25</v>
      </c>
      <c r="J2670">
        <v>1513.3</v>
      </c>
      <c r="K2670">
        <v>2269.9499999999998</v>
      </c>
    </row>
    <row r="2671" spans="1:11" x14ac:dyDescent="0.25">
      <c r="A2671" t="s">
        <v>2711</v>
      </c>
      <c r="B2671" s="1">
        <v>45884.214895833335</v>
      </c>
      <c r="C2671" s="2" t="s">
        <v>41</v>
      </c>
      <c r="D2671" t="s">
        <v>45</v>
      </c>
      <c r="E2671">
        <v>50487</v>
      </c>
      <c r="F2671" t="s">
        <v>14</v>
      </c>
      <c r="G2671" t="s">
        <v>30</v>
      </c>
      <c r="H2671" t="s">
        <v>59</v>
      </c>
      <c r="I2671">
        <v>504.87</v>
      </c>
      <c r="J2671">
        <v>0</v>
      </c>
      <c r="K2671">
        <v>504.87</v>
      </c>
    </row>
    <row r="2672" spans="1:11" x14ac:dyDescent="0.25">
      <c r="A2672" t="s">
        <v>2712</v>
      </c>
      <c r="B2672" s="1">
        <v>46004.415173611109</v>
      </c>
      <c r="C2672" s="2" t="s">
        <v>29</v>
      </c>
      <c r="D2672" t="s">
        <v>45</v>
      </c>
      <c r="E2672">
        <v>101932</v>
      </c>
      <c r="F2672" t="s">
        <v>99</v>
      </c>
      <c r="G2672" t="s">
        <v>51</v>
      </c>
      <c r="H2672" t="s">
        <v>56</v>
      </c>
      <c r="I2672">
        <v>1019.32</v>
      </c>
      <c r="J2672">
        <v>0</v>
      </c>
      <c r="K2672">
        <v>1019.32</v>
      </c>
    </row>
    <row r="2673" spans="1:11" x14ac:dyDescent="0.25">
      <c r="A2673" t="s">
        <v>2713</v>
      </c>
      <c r="B2673" s="1">
        <v>46009.555162037039</v>
      </c>
      <c r="C2673" s="2" t="s">
        <v>41</v>
      </c>
      <c r="D2673" t="s">
        <v>13</v>
      </c>
      <c r="E2673">
        <v>206500</v>
      </c>
      <c r="F2673" t="s">
        <v>14</v>
      </c>
      <c r="G2673" t="s">
        <v>58</v>
      </c>
      <c r="H2673" t="s">
        <v>16</v>
      </c>
      <c r="I2673">
        <v>3820.25</v>
      </c>
      <c r="J2673">
        <v>1528.1</v>
      </c>
      <c r="K2673">
        <v>2292.15</v>
      </c>
    </row>
    <row r="2674" spans="1:11" x14ac:dyDescent="0.25">
      <c r="A2674" t="s">
        <v>2714</v>
      </c>
      <c r="B2674" s="1">
        <v>46059.184560185182</v>
      </c>
      <c r="C2674" s="2" t="s">
        <v>12</v>
      </c>
      <c r="D2674" t="s">
        <v>33</v>
      </c>
      <c r="E2674">
        <v>94261</v>
      </c>
      <c r="F2674" t="s">
        <v>14</v>
      </c>
      <c r="G2674" t="s">
        <v>20</v>
      </c>
      <c r="H2674" t="s">
        <v>16</v>
      </c>
      <c r="I2674">
        <v>0</v>
      </c>
      <c r="J2674">
        <v>0</v>
      </c>
      <c r="K2674">
        <v>0</v>
      </c>
    </row>
    <row r="2675" spans="1:11" x14ac:dyDescent="0.25">
      <c r="A2675" t="s">
        <v>2715</v>
      </c>
      <c r="B2675" s="1">
        <v>45813.921087962961</v>
      </c>
      <c r="C2675" s="2" t="s">
        <v>12</v>
      </c>
      <c r="D2675" t="s">
        <v>23</v>
      </c>
      <c r="E2675">
        <v>2930</v>
      </c>
      <c r="F2675" t="s">
        <v>14</v>
      </c>
      <c r="G2675" t="s">
        <v>20</v>
      </c>
      <c r="H2675" t="s">
        <v>16</v>
      </c>
      <c r="I2675">
        <v>0</v>
      </c>
      <c r="J2675">
        <v>0</v>
      </c>
      <c r="K2675">
        <v>0</v>
      </c>
    </row>
    <row r="2676" spans="1:11" x14ac:dyDescent="0.25">
      <c r="A2676" t="s">
        <v>2716</v>
      </c>
      <c r="B2676" s="1">
        <v>45975.506041666667</v>
      </c>
      <c r="C2676" s="2" t="s">
        <v>39</v>
      </c>
      <c r="D2676" t="s">
        <v>19</v>
      </c>
      <c r="E2676">
        <v>64346</v>
      </c>
      <c r="F2676" t="s">
        <v>14</v>
      </c>
      <c r="G2676" t="s">
        <v>58</v>
      </c>
      <c r="H2676" t="s">
        <v>16</v>
      </c>
      <c r="I2676">
        <v>5</v>
      </c>
      <c r="J2676">
        <v>0</v>
      </c>
      <c r="K2676">
        <v>5</v>
      </c>
    </row>
    <row r="2677" spans="1:11" x14ac:dyDescent="0.25">
      <c r="A2677" t="s">
        <v>2717</v>
      </c>
      <c r="B2677" s="1">
        <v>45910.662430555552</v>
      </c>
      <c r="C2677" s="2" t="s">
        <v>18</v>
      </c>
      <c r="D2677" t="s">
        <v>33</v>
      </c>
      <c r="E2677">
        <v>48591</v>
      </c>
      <c r="F2677" t="s">
        <v>14</v>
      </c>
      <c r="G2677" t="s">
        <v>27</v>
      </c>
      <c r="H2677" t="s">
        <v>16</v>
      </c>
      <c r="I2677">
        <v>0</v>
      </c>
      <c r="J2677">
        <v>0</v>
      </c>
      <c r="K2677">
        <v>0</v>
      </c>
    </row>
    <row r="2678" spans="1:11" x14ac:dyDescent="0.25">
      <c r="A2678" t="s">
        <v>2718</v>
      </c>
      <c r="B2678" s="1">
        <v>45826.622523148151</v>
      </c>
      <c r="C2678" s="2" t="s">
        <v>26</v>
      </c>
      <c r="D2678" t="s">
        <v>45</v>
      </c>
      <c r="E2678">
        <v>18434</v>
      </c>
      <c r="F2678" t="s">
        <v>50</v>
      </c>
      <c r="G2678" t="s">
        <v>27</v>
      </c>
      <c r="H2678" t="s">
        <v>46</v>
      </c>
      <c r="I2678">
        <v>184.34</v>
      </c>
      <c r="J2678">
        <v>0</v>
      </c>
      <c r="K2678">
        <v>184.34</v>
      </c>
    </row>
    <row r="2679" spans="1:11" x14ac:dyDescent="0.25">
      <c r="A2679" t="s">
        <v>2719</v>
      </c>
      <c r="B2679" s="1">
        <v>45807.533356481479</v>
      </c>
      <c r="C2679" s="2" t="s">
        <v>29</v>
      </c>
      <c r="D2679" t="s">
        <v>23</v>
      </c>
      <c r="E2679">
        <v>387</v>
      </c>
      <c r="F2679" t="s">
        <v>50</v>
      </c>
      <c r="G2679" t="s">
        <v>84</v>
      </c>
      <c r="H2679" t="s">
        <v>16</v>
      </c>
      <c r="I2679">
        <v>0</v>
      </c>
      <c r="J2679">
        <v>0</v>
      </c>
      <c r="K2679">
        <v>0</v>
      </c>
    </row>
    <row r="2680" spans="1:11" x14ac:dyDescent="0.25">
      <c r="A2680" t="s">
        <v>2720</v>
      </c>
      <c r="B2680" s="1">
        <v>46039.195567129631</v>
      </c>
      <c r="C2680" s="2" t="s">
        <v>22</v>
      </c>
      <c r="D2680" t="s">
        <v>45</v>
      </c>
      <c r="E2680">
        <v>115361</v>
      </c>
      <c r="F2680" t="s">
        <v>14</v>
      </c>
      <c r="G2680" t="s">
        <v>27</v>
      </c>
      <c r="H2680" t="s">
        <v>46</v>
      </c>
      <c r="I2680">
        <v>1153.6099999999999</v>
      </c>
      <c r="J2680">
        <v>0</v>
      </c>
      <c r="K2680">
        <v>1153.6099999999999</v>
      </c>
    </row>
    <row r="2681" spans="1:11" x14ac:dyDescent="0.25">
      <c r="A2681" t="s">
        <v>2721</v>
      </c>
      <c r="B2681" s="1">
        <v>45978.731759259259</v>
      </c>
      <c r="C2681" s="2" t="s">
        <v>26</v>
      </c>
      <c r="D2681" t="s">
        <v>45</v>
      </c>
      <c r="E2681">
        <v>22158</v>
      </c>
      <c r="F2681" t="s">
        <v>14</v>
      </c>
      <c r="G2681" t="s">
        <v>27</v>
      </c>
      <c r="H2681" t="s">
        <v>56</v>
      </c>
      <c r="I2681">
        <v>221.58</v>
      </c>
      <c r="J2681">
        <v>0</v>
      </c>
      <c r="K2681">
        <v>221.58</v>
      </c>
    </row>
    <row r="2682" spans="1:11" x14ac:dyDescent="0.25">
      <c r="A2682" t="s">
        <v>2722</v>
      </c>
      <c r="B2682" s="1">
        <v>46072.670289351852</v>
      </c>
      <c r="C2682" s="2" t="s">
        <v>26</v>
      </c>
      <c r="D2682" t="s">
        <v>13</v>
      </c>
      <c r="E2682">
        <v>220500</v>
      </c>
      <c r="F2682" t="s">
        <v>14</v>
      </c>
      <c r="G2682" t="s">
        <v>34</v>
      </c>
      <c r="H2682" t="s">
        <v>16</v>
      </c>
      <c r="I2682">
        <v>4079.25</v>
      </c>
      <c r="J2682">
        <v>1631.7</v>
      </c>
      <c r="K2682">
        <v>2447.5500000000002</v>
      </c>
    </row>
    <row r="2683" spans="1:11" x14ac:dyDescent="0.25">
      <c r="A2683" t="s">
        <v>2723</v>
      </c>
      <c r="B2683" s="1">
        <v>45784.594988425924</v>
      </c>
      <c r="C2683" s="2" t="s">
        <v>22</v>
      </c>
      <c r="D2683" t="s">
        <v>33</v>
      </c>
      <c r="E2683">
        <v>127014</v>
      </c>
      <c r="F2683" t="s">
        <v>50</v>
      </c>
      <c r="G2683" t="s">
        <v>34</v>
      </c>
      <c r="H2683" t="s">
        <v>16</v>
      </c>
      <c r="I2683">
        <v>0</v>
      </c>
      <c r="J2683">
        <v>0</v>
      </c>
      <c r="K2683">
        <v>0</v>
      </c>
    </row>
    <row r="2684" spans="1:11" x14ac:dyDescent="0.25">
      <c r="A2684" t="s">
        <v>2724</v>
      </c>
      <c r="B2684" s="1">
        <v>45862.124722222223</v>
      </c>
      <c r="C2684" s="2" t="s">
        <v>12</v>
      </c>
      <c r="D2684" t="s">
        <v>33</v>
      </c>
      <c r="E2684">
        <v>35910</v>
      </c>
      <c r="F2684" t="s">
        <v>14</v>
      </c>
      <c r="G2684" t="s">
        <v>15</v>
      </c>
      <c r="H2684" t="s">
        <v>16</v>
      </c>
      <c r="I2684">
        <v>0</v>
      </c>
      <c r="J2684">
        <v>0</v>
      </c>
      <c r="K2684">
        <v>0</v>
      </c>
    </row>
    <row r="2685" spans="1:11" x14ac:dyDescent="0.25">
      <c r="A2685" t="s">
        <v>2725</v>
      </c>
      <c r="B2685" s="1">
        <v>46061.118425925924</v>
      </c>
      <c r="C2685" s="2" t="s">
        <v>18</v>
      </c>
      <c r="D2685" t="s">
        <v>33</v>
      </c>
      <c r="E2685">
        <v>37678</v>
      </c>
      <c r="F2685" t="s">
        <v>14</v>
      </c>
      <c r="G2685" t="s">
        <v>84</v>
      </c>
      <c r="H2685" t="s">
        <v>16</v>
      </c>
      <c r="I2685">
        <v>0</v>
      </c>
      <c r="J2685">
        <v>0</v>
      </c>
      <c r="K2685">
        <v>0</v>
      </c>
    </row>
    <row r="2686" spans="1:11" x14ac:dyDescent="0.25">
      <c r="A2686" t="s">
        <v>2726</v>
      </c>
      <c r="B2686" s="1">
        <v>45821.890324074076</v>
      </c>
      <c r="C2686" s="2" t="s">
        <v>26</v>
      </c>
      <c r="D2686" t="s">
        <v>33</v>
      </c>
      <c r="E2686">
        <v>26984</v>
      </c>
      <c r="F2686" t="s">
        <v>14</v>
      </c>
      <c r="G2686" t="s">
        <v>34</v>
      </c>
      <c r="H2686" t="s">
        <v>16</v>
      </c>
      <c r="I2686">
        <v>0</v>
      </c>
      <c r="J2686">
        <v>0</v>
      </c>
      <c r="K2686">
        <v>0</v>
      </c>
    </row>
    <row r="2687" spans="1:11" x14ac:dyDescent="0.25">
      <c r="A2687" t="s">
        <v>2727</v>
      </c>
      <c r="B2687" s="1">
        <v>45835.314456018517</v>
      </c>
      <c r="C2687" s="2" t="s">
        <v>12</v>
      </c>
      <c r="D2687" t="s">
        <v>19</v>
      </c>
      <c r="E2687">
        <v>118370</v>
      </c>
      <c r="F2687" t="s">
        <v>99</v>
      </c>
      <c r="G2687" t="s">
        <v>34</v>
      </c>
      <c r="H2687" t="s">
        <v>16</v>
      </c>
      <c r="I2687">
        <v>5</v>
      </c>
      <c r="J2687">
        <v>0</v>
      </c>
      <c r="K2687">
        <v>5</v>
      </c>
    </row>
    <row r="2688" spans="1:11" x14ac:dyDescent="0.25">
      <c r="A2688" t="s">
        <v>2728</v>
      </c>
      <c r="B2688" s="1">
        <v>46058.373101851852</v>
      </c>
      <c r="C2688" s="2" t="s">
        <v>39</v>
      </c>
      <c r="D2688" t="s">
        <v>23</v>
      </c>
      <c r="E2688">
        <v>836</v>
      </c>
      <c r="F2688" t="s">
        <v>14</v>
      </c>
      <c r="G2688" t="s">
        <v>58</v>
      </c>
      <c r="H2688" t="s">
        <v>16</v>
      </c>
      <c r="I2688">
        <v>0</v>
      </c>
      <c r="J2688">
        <v>0</v>
      </c>
      <c r="K2688">
        <v>0</v>
      </c>
    </row>
    <row r="2689" spans="1:11" x14ac:dyDescent="0.25">
      <c r="A2689" t="s">
        <v>2729</v>
      </c>
      <c r="B2689" s="1">
        <v>46074.999641203707</v>
      </c>
      <c r="C2689" s="2" t="s">
        <v>32</v>
      </c>
      <c r="D2689" t="s">
        <v>13</v>
      </c>
      <c r="E2689">
        <v>204500</v>
      </c>
      <c r="F2689" t="s">
        <v>50</v>
      </c>
      <c r="G2689" t="s">
        <v>58</v>
      </c>
      <c r="H2689" t="s">
        <v>16</v>
      </c>
      <c r="I2689">
        <v>3783.25</v>
      </c>
      <c r="J2689">
        <v>1513.3</v>
      </c>
      <c r="K2689">
        <v>2269.9499999999998</v>
      </c>
    </row>
    <row r="2690" spans="1:11" x14ac:dyDescent="0.25">
      <c r="A2690" t="s">
        <v>2730</v>
      </c>
      <c r="B2690" s="1">
        <v>46066.944039351853</v>
      </c>
      <c r="C2690" s="2" t="s">
        <v>12</v>
      </c>
      <c r="D2690" t="s">
        <v>13</v>
      </c>
      <c r="E2690">
        <v>205500</v>
      </c>
      <c r="F2690" t="s">
        <v>14</v>
      </c>
      <c r="G2690" t="s">
        <v>27</v>
      </c>
      <c r="H2690" t="s">
        <v>16</v>
      </c>
      <c r="I2690">
        <v>3801.75</v>
      </c>
      <c r="J2690">
        <v>1520.7</v>
      </c>
      <c r="K2690">
        <v>2281.0500000000002</v>
      </c>
    </row>
    <row r="2691" spans="1:11" x14ac:dyDescent="0.25">
      <c r="A2691" t="s">
        <v>2731</v>
      </c>
      <c r="B2691" s="1">
        <v>46069.884351851855</v>
      </c>
      <c r="C2691" s="2" t="s">
        <v>26</v>
      </c>
      <c r="D2691" t="s">
        <v>45</v>
      </c>
      <c r="E2691">
        <v>133368</v>
      </c>
      <c r="F2691" t="s">
        <v>14</v>
      </c>
      <c r="G2691" t="s">
        <v>20</v>
      </c>
      <c r="H2691" t="s">
        <v>56</v>
      </c>
      <c r="I2691">
        <v>1333.68</v>
      </c>
      <c r="J2691">
        <v>0</v>
      </c>
      <c r="K2691">
        <v>1333.68</v>
      </c>
    </row>
    <row r="2692" spans="1:11" x14ac:dyDescent="0.25">
      <c r="A2692" t="s">
        <v>2732</v>
      </c>
      <c r="B2692" s="1">
        <v>45975.253807870373</v>
      </c>
      <c r="C2692" s="2" t="s">
        <v>26</v>
      </c>
      <c r="D2692" t="s">
        <v>23</v>
      </c>
      <c r="E2692">
        <v>4502</v>
      </c>
      <c r="F2692" t="s">
        <v>50</v>
      </c>
      <c r="G2692" t="s">
        <v>58</v>
      </c>
      <c r="H2692" t="s">
        <v>16</v>
      </c>
      <c r="I2692">
        <v>0</v>
      </c>
      <c r="J2692">
        <v>0</v>
      </c>
      <c r="K2692">
        <v>0</v>
      </c>
    </row>
    <row r="2693" spans="1:11" x14ac:dyDescent="0.25">
      <c r="A2693" t="s">
        <v>2733</v>
      </c>
      <c r="B2693" s="1">
        <v>46099.694733796299</v>
      </c>
      <c r="C2693" s="2" t="s">
        <v>26</v>
      </c>
      <c r="D2693" t="s">
        <v>33</v>
      </c>
      <c r="E2693">
        <v>42107</v>
      </c>
      <c r="F2693" t="s">
        <v>50</v>
      </c>
      <c r="G2693" t="s">
        <v>51</v>
      </c>
      <c r="H2693" t="s">
        <v>16</v>
      </c>
      <c r="I2693">
        <v>0</v>
      </c>
      <c r="J2693">
        <v>0</v>
      </c>
      <c r="K2693">
        <v>0</v>
      </c>
    </row>
    <row r="2694" spans="1:11" x14ac:dyDescent="0.25">
      <c r="A2694" t="s">
        <v>2734</v>
      </c>
      <c r="B2694" s="1">
        <v>45936.890729166669</v>
      </c>
      <c r="C2694" s="2" t="s">
        <v>18</v>
      </c>
      <c r="D2694" t="s">
        <v>23</v>
      </c>
      <c r="E2694">
        <v>217</v>
      </c>
      <c r="F2694" t="s">
        <v>14</v>
      </c>
      <c r="G2694" t="s">
        <v>51</v>
      </c>
      <c r="H2694" t="s">
        <v>16</v>
      </c>
      <c r="I2694">
        <v>0</v>
      </c>
      <c r="J2694">
        <v>0</v>
      </c>
      <c r="K2694">
        <v>0</v>
      </c>
    </row>
    <row r="2695" spans="1:11" x14ac:dyDescent="0.25">
      <c r="A2695" t="s">
        <v>2735</v>
      </c>
      <c r="B2695" s="1">
        <v>45789.887800925928</v>
      </c>
      <c r="C2695" s="2" t="s">
        <v>22</v>
      </c>
      <c r="D2695" t="s">
        <v>19</v>
      </c>
      <c r="E2695">
        <v>143377</v>
      </c>
      <c r="F2695" t="s">
        <v>14</v>
      </c>
      <c r="G2695" t="s">
        <v>51</v>
      </c>
      <c r="H2695" t="s">
        <v>16</v>
      </c>
      <c r="I2695">
        <v>5</v>
      </c>
      <c r="J2695">
        <v>0</v>
      </c>
      <c r="K2695">
        <v>5</v>
      </c>
    </row>
    <row r="2696" spans="1:11" x14ac:dyDescent="0.25">
      <c r="A2696" t="s">
        <v>2736</v>
      </c>
      <c r="B2696" s="1">
        <v>45907.879212962966</v>
      </c>
      <c r="C2696" s="2" t="s">
        <v>29</v>
      </c>
      <c r="D2696" t="s">
        <v>13</v>
      </c>
      <c r="E2696">
        <v>12500</v>
      </c>
      <c r="F2696" t="s">
        <v>14</v>
      </c>
      <c r="G2696" t="s">
        <v>51</v>
      </c>
      <c r="H2696" t="s">
        <v>16</v>
      </c>
      <c r="I2696">
        <v>231.25</v>
      </c>
      <c r="J2696">
        <v>92.5</v>
      </c>
      <c r="K2696">
        <v>138.75</v>
      </c>
    </row>
    <row r="2697" spans="1:11" x14ac:dyDescent="0.25">
      <c r="A2697" t="s">
        <v>2737</v>
      </c>
      <c r="B2697" s="1">
        <v>46053.792118055557</v>
      </c>
      <c r="C2697" s="2" t="s">
        <v>39</v>
      </c>
      <c r="D2697" t="s">
        <v>13</v>
      </c>
      <c r="E2697">
        <v>210500</v>
      </c>
      <c r="F2697" t="s">
        <v>14</v>
      </c>
      <c r="G2697" t="s">
        <v>15</v>
      </c>
      <c r="H2697" t="s">
        <v>16</v>
      </c>
      <c r="I2697">
        <v>3894.25</v>
      </c>
      <c r="J2697">
        <v>1557.7</v>
      </c>
      <c r="K2697">
        <v>2336.5500000000002</v>
      </c>
    </row>
    <row r="2698" spans="1:11" x14ac:dyDescent="0.25">
      <c r="A2698" t="s">
        <v>2738</v>
      </c>
      <c r="B2698" s="1">
        <v>45954.894895833335</v>
      </c>
      <c r="C2698" s="2" t="s">
        <v>29</v>
      </c>
      <c r="D2698" t="s">
        <v>23</v>
      </c>
      <c r="E2698">
        <v>2465</v>
      </c>
      <c r="F2698" t="s">
        <v>14</v>
      </c>
      <c r="G2698" t="s">
        <v>51</v>
      </c>
      <c r="H2698" t="s">
        <v>16</v>
      </c>
      <c r="I2698">
        <v>0</v>
      </c>
      <c r="J2698">
        <v>0</v>
      </c>
      <c r="K2698">
        <v>0</v>
      </c>
    </row>
    <row r="2699" spans="1:11" x14ac:dyDescent="0.25">
      <c r="A2699" t="s">
        <v>2739</v>
      </c>
      <c r="B2699" s="1">
        <v>45880.240787037037</v>
      </c>
      <c r="C2699" s="2" t="s">
        <v>26</v>
      </c>
      <c r="D2699" t="s">
        <v>45</v>
      </c>
      <c r="E2699">
        <v>48389</v>
      </c>
      <c r="F2699" t="s">
        <v>14</v>
      </c>
      <c r="G2699" t="s">
        <v>15</v>
      </c>
      <c r="H2699" t="s">
        <v>178</v>
      </c>
      <c r="I2699">
        <v>483.89</v>
      </c>
      <c r="J2699">
        <v>0</v>
      </c>
      <c r="K2699">
        <v>483.89</v>
      </c>
    </row>
    <row r="2700" spans="1:11" x14ac:dyDescent="0.25">
      <c r="A2700" t="s">
        <v>2740</v>
      </c>
      <c r="B2700" s="1">
        <v>45926.385011574072</v>
      </c>
      <c r="C2700" s="2" t="s">
        <v>12</v>
      </c>
      <c r="D2700" t="s">
        <v>23</v>
      </c>
      <c r="E2700">
        <v>1462</v>
      </c>
      <c r="F2700" t="s">
        <v>14</v>
      </c>
      <c r="G2700" t="s">
        <v>34</v>
      </c>
      <c r="H2700" t="s">
        <v>16</v>
      </c>
      <c r="I2700">
        <v>0</v>
      </c>
      <c r="J2700">
        <v>0</v>
      </c>
      <c r="K2700">
        <v>0</v>
      </c>
    </row>
    <row r="2701" spans="1:11" x14ac:dyDescent="0.25">
      <c r="A2701" t="s">
        <v>2741</v>
      </c>
      <c r="B2701" s="1">
        <v>45815.747476851851</v>
      </c>
      <c r="C2701" s="2" t="s">
        <v>26</v>
      </c>
      <c r="D2701" t="s">
        <v>33</v>
      </c>
      <c r="E2701">
        <v>117168</v>
      </c>
      <c r="F2701" t="s">
        <v>14</v>
      </c>
      <c r="G2701" t="s">
        <v>34</v>
      </c>
      <c r="H2701" t="s">
        <v>16</v>
      </c>
      <c r="I2701">
        <v>0</v>
      </c>
      <c r="J2701">
        <v>0</v>
      </c>
      <c r="K2701">
        <v>0</v>
      </c>
    </row>
    <row r="2702" spans="1:11" x14ac:dyDescent="0.25">
      <c r="A2702" t="s">
        <v>2742</v>
      </c>
      <c r="B2702" s="1">
        <v>46067.162881944445</v>
      </c>
      <c r="C2702" s="2" t="s">
        <v>22</v>
      </c>
      <c r="D2702" t="s">
        <v>45</v>
      </c>
      <c r="E2702">
        <v>78880</v>
      </c>
      <c r="F2702" t="s">
        <v>14</v>
      </c>
      <c r="G2702" t="s">
        <v>51</v>
      </c>
      <c r="H2702" t="s">
        <v>59</v>
      </c>
      <c r="I2702">
        <v>788.8</v>
      </c>
      <c r="J2702">
        <v>0</v>
      </c>
      <c r="K2702">
        <v>788.8</v>
      </c>
    </row>
    <row r="2703" spans="1:11" x14ac:dyDescent="0.25">
      <c r="A2703" t="s">
        <v>2743</v>
      </c>
      <c r="B2703" s="1">
        <v>46114.37395833333</v>
      </c>
      <c r="C2703" s="2" t="s">
        <v>41</v>
      </c>
      <c r="D2703" t="s">
        <v>33</v>
      </c>
      <c r="E2703">
        <v>146417</v>
      </c>
      <c r="F2703" t="s">
        <v>14</v>
      </c>
      <c r="G2703" t="s">
        <v>34</v>
      </c>
      <c r="H2703" t="s">
        <v>16</v>
      </c>
      <c r="I2703">
        <v>0</v>
      </c>
      <c r="J2703">
        <v>0</v>
      </c>
      <c r="K2703">
        <v>0</v>
      </c>
    </row>
    <row r="2704" spans="1:11" x14ac:dyDescent="0.25">
      <c r="A2704" t="s">
        <v>2744</v>
      </c>
      <c r="B2704" s="1">
        <v>45906.774895833332</v>
      </c>
      <c r="C2704" s="2" t="s">
        <v>18</v>
      </c>
      <c r="D2704" t="s">
        <v>45</v>
      </c>
      <c r="E2704">
        <v>66378</v>
      </c>
      <c r="F2704" t="s">
        <v>14</v>
      </c>
      <c r="G2704" t="s">
        <v>24</v>
      </c>
      <c r="H2704" t="s">
        <v>46</v>
      </c>
      <c r="I2704">
        <v>663.78</v>
      </c>
      <c r="J2704">
        <v>0</v>
      </c>
      <c r="K2704">
        <v>663.78</v>
      </c>
    </row>
    <row r="2705" spans="1:11" x14ac:dyDescent="0.25">
      <c r="A2705" t="s">
        <v>2745</v>
      </c>
      <c r="B2705" s="1">
        <v>45860.20103009259</v>
      </c>
      <c r="C2705" s="2" t="s">
        <v>26</v>
      </c>
      <c r="D2705" t="s">
        <v>33</v>
      </c>
      <c r="E2705">
        <v>138349</v>
      </c>
      <c r="F2705" t="s">
        <v>14</v>
      </c>
      <c r="G2705" t="s">
        <v>30</v>
      </c>
      <c r="H2705" t="s">
        <v>16</v>
      </c>
      <c r="I2705">
        <v>0</v>
      </c>
      <c r="J2705">
        <v>0</v>
      </c>
      <c r="K2705">
        <v>0</v>
      </c>
    </row>
    <row r="2706" spans="1:11" x14ac:dyDescent="0.25">
      <c r="A2706" t="s">
        <v>2746</v>
      </c>
      <c r="B2706" s="1">
        <v>46048.082835648151</v>
      </c>
      <c r="C2706" s="2" t="s">
        <v>29</v>
      </c>
      <c r="D2706" t="s">
        <v>13</v>
      </c>
      <c r="E2706">
        <v>189000</v>
      </c>
      <c r="F2706" t="s">
        <v>14</v>
      </c>
      <c r="G2706" t="s">
        <v>34</v>
      </c>
      <c r="H2706" t="s">
        <v>16</v>
      </c>
      <c r="I2706">
        <v>3496.5</v>
      </c>
      <c r="J2706">
        <v>1398.6</v>
      </c>
      <c r="K2706">
        <v>2097.9</v>
      </c>
    </row>
    <row r="2707" spans="1:11" x14ac:dyDescent="0.25">
      <c r="A2707" t="s">
        <v>2747</v>
      </c>
      <c r="B2707" s="1">
        <v>45823.592881944445</v>
      </c>
      <c r="C2707" s="2" t="s">
        <v>12</v>
      </c>
      <c r="D2707" t="s">
        <v>33</v>
      </c>
      <c r="E2707">
        <v>140094</v>
      </c>
      <c r="F2707" t="s">
        <v>14</v>
      </c>
      <c r="G2707" t="s">
        <v>27</v>
      </c>
      <c r="H2707" t="s">
        <v>16</v>
      </c>
      <c r="I2707">
        <v>0</v>
      </c>
      <c r="J2707">
        <v>0</v>
      </c>
      <c r="K2707">
        <v>0</v>
      </c>
    </row>
    <row r="2708" spans="1:11" x14ac:dyDescent="0.25">
      <c r="A2708" t="s">
        <v>2748</v>
      </c>
      <c r="B2708" s="1">
        <v>45905.287476851852</v>
      </c>
      <c r="C2708" s="2" t="s">
        <v>39</v>
      </c>
      <c r="D2708" t="s">
        <v>13</v>
      </c>
      <c r="E2708">
        <v>214500</v>
      </c>
      <c r="F2708" t="s">
        <v>14</v>
      </c>
      <c r="G2708" t="s">
        <v>34</v>
      </c>
      <c r="H2708" t="s">
        <v>16</v>
      </c>
      <c r="I2708">
        <v>3968.25</v>
      </c>
      <c r="J2708">
        <v>1587.3</v>
      </c>
      <c r="K2708">
        <v>2380.9499999999998</v>
      </c>
    </row>
    <row r="2709" spans="1:11" x14ac:dyDescent="0.25">
      <c r="A2709" t="s">
        <v>2749</v>
      </c>
      <c r="B2709" s="1">
        <v>46041.922303240739</v>
      </c>
      <c r="C2709" s="2" t="s">
        <v>39</v>
      </c>
      <c r="D2709" t="s">
        <v>23</v>
      </c>
      <c r="E2709">
        <v>4520</v>
      </c>
      <c r="F2709" t="s">
        <v>14</v>
      </c>
      <c r="G2709" t="s">
        <v>51</v>
      </c>
      <c r="H2709" t="s">
        <v>16</v>
      </c>
      <c r="I2709">
        <v>0</v>
      </c>
      <c r="J2709">
        <v>0</v>
      </c>
      <c r="K2709">
        <v>0</v>
      </c>
    </row>
    <row r="2710" spans="1:11" x14ac:dyDescent="0.25">
      <c r="A2710" t="s">
        <v>2750</v>
      </c>
      <c r="B2710" s="1">
        <v>46063.304490740738</v>
      </c>
      <c r="C2710" s="2" t="s">
        <v>29</v>
      </c>
      <c r="D2710" t="s">
        <v>19</v>
      </c>
      <c r="E2710">
        <v>119450</v>
      </c>
      <c r="F2710" t="s">
        <v>14</v>
      </c>
      <c r="G2710" t="s">
        <v>15</v>
      </c>
      <c r="H2710" t="s">
        <v>16</v>
      </c>
      <c r="I2710">
        <v>5</v>
      </c>
      <c r="J2710">
        <v>0</v>
      </c>
      <c r="K2710">
        <v>5</v>
      </c>
    </row>
    <row r="2711" spans="1:11" x14ac:dyDescent="0.25">
      <c r="A2711" t="s">
        <v>2751</v>
      </c>
      <c r="B2711" s="1">
        <v>45793.582824074074</v>
      </c>
      <c r="C2711" s="2" t="s">
        <v>18</v>
      </c>
      <c r="D2711" t="s">
        <v>45</v>
      </c>
      <c r="E2711">
        <v>134375</v>
      </c>
      <c r="F2711" t="s">
        <v>14</v>
      </c>
      <c r="G2711" t="s">
        <v>84</v>
      </c>
      <c r="H2711" t="s">
        <v>56</v>
      </c>
      <c r="I2711">
        <v>1343.75</v>
      </c>
      <c r="J2711">
        <v>0</v>
      </c>
      <c r="K2711">
        <v>1343.75</v>
      </c>
    </row>
    <row r="2712" spans="1:11" x14ac:dyDescent="0.25">
      <c r="A2712" t="s">
        <v>2752</v>
      </c>
      <c r="B2712" s="1">
        <v>45921.462523148148</v>
      </c>
      <c r="C2712" s="2" t="s">
        <v>12</v>
      </c>
      <c r="D2712" t="s">
        <v>13</v>
      </c>
      <c r="E2712">
        <v>45000</v>
      </c>
      <c r="F2712" t="s">
        <v>14</v>
      </c>
      <c r="G2712" t="s">
        <v>34</v>
      </c>
      <c r="H2712" t="s">
        <v>16</v>
      </c>
      <c r="I2712">
        <v>832.5</v>
      </c>
      <c r="J2712">
        <v>333</v>
      </c>
      <c r="K2712">
        <v>499.5</v>
      </c>
    </row>
    <row r="2713" spans="1:11" x14ac:dyDescent="0.25">
      <c r="A2713" t="s">
        <v>2753</v>
      </c>
      <c r="B2713" s="1">
        <v>45933.825046296297</v>
      </c>
      <c r="C2713" s="2" t="s">
        <v>12</v>
      </c>
      <c r="D2713" t="s">
        <v>19</v>
      </c>
      <c r="E2713">
        <v>126841</v>
      </c>
      <c r="F2713" t="s">
        <v>99</v>
      </c>
      <c r="G2713" t="s">
        <v>15</v>
      </c>
      <c r="H2713" t="s">
        <v>16</v>
      </c>
      <c r="I2713">
        <v>5</v>
      </c>
      <c r="J2713">
        <v>0</v>
      </c>
      <c r="K2713">
        <v>5</v>
      </c>
    </row>
    <row r="2714" spans="1:11" x14ac:dyDescent="0.25">
      <c r="A2714" t="s">
        <v>2754</v>
      </c>
      <c r="B2714" s="1">
        <v>45914.171932870369</v>
      </c>
      <c r="C2714" s="2" t="s">
        <v>29</v>
      </c>
      <c r="D2714" t="s">
        <v>19</v>
      </c>
      <c r="E2714">
        <v>9728</v>
      </c>
      <c r="F2714" t="s">
        <v>14</v>
      </c>
      <c r="G2714" t="s">
        <v>20</v>
      </c>
      <c r="H2714" t="s">
        <v>16</v>
      </c>
      <c r="I2714">
        <v>5</v>
      </c>
      <c r="J2714">
        <v>0</v>
      </c>
      <c r="K2714">
        <v>5</v>
      </c>
    </row>
    <row r="2715" spans="1:11" x14ac:dyDescent="0.25">
      <c r="A2715" t="s">
        <v>2755</v>
      </c>
      <c r="B2715" s="1">
        <v>45885.119166666664</v>
      </c>
      <c r="C2715" s="2" t="s">
        <v>22</v>
      </c>
      <c r="D2715" t="s">
        <v>45</v>
      </c>
      <c r="E2715">
        <v>91931</v>
      </c>
      <c r="F2715" t="s">
        <v>14</v>
      </c>
      <c r="G2715" t="s">
        <v>27</v>
      </c>
      <c r="H2715" t="s">
        <v>178</v>
      </c>
      <c r="I2715">
        <v>919.31</v>
      </c>
      <c r="J2715">
        <v>0</v>
      </c>
      <c r="K2715">
        <v>919.31</v>
      </c>
    </row>
    <row r="2716" spans="1:11" x14ac:dyDescent="0.25">
      <c r="A2716" t="s">
        <v>2756</v>
      </c>
      <c r="B2716" s="1">
        <v>45900.372465277775</v>
      </c>
      <c r="C2716" s="2" t="s">
        <v>26</v>
      </c>
      <c r="D2716" t="s">
        <v>45</v>
      </c>
      <c r="E2716">
        <v>54093</v>
      </c>
      <c r="F2716" t="s">
        <v>14</v>
      </c>
      <c r="G2716" t="s">
        <v>58</v>
      </c>
      <c r="H2716" t="s">
        <v>178</v>
      </c>
      <c r="I2716">
        <v>540.92999999999995</v>
      </c>
      <c r="J2716">
        <v>0</v>
      </c>
      <c r="K2716">
        <v>540.92999999999995</v>
      </c>
    </row>
    <row r="2717" spans="1:11" x14ac:dyDescent="0.25">
      <c r="A2717" t="s">
        <v>2757</v>
      </c>
      <c r="B2717" s="1">
        <v>46024.903541666667</v>
      </c>
      <c r="C2717" s="2" t="s">
        <v>32</v>
      </c>
      <c r="D2717" t="s">
        <v>13</v>
      </c>
      <c r="E2717">
        <v>111000</v>
      </c>
      <c r="F2717" t="s">
        <v>14</v>
      </c>
      <c r="G2717" t="s">
        <v>34</v>
      </c>
      <c r="H2717" t="s">
        <v>16</v>
      </c>
      <c r="I2717">
        <v>2053.5</v>
      </c>
      <c r="J2717">
        <v>821.4</v>
      </c>
      <c r="K2717">
        <v>1232.0999999999999</v>
      </c>
    </row>
    <row r="2718" spans="1:11" x14ac:dyDescent="0.25">
      <c r="A2718" t="s">
        <v>2758</v>
      </c>
      <c r="B2718" s="1">
        <v>45880.301249999997</v>
      </c>
      <c r="C2718" s="2" t="s">
        <v>29</v>
      </c>
      <c r="D2718" t="s">
        <v>45</v>
      </c>
      <c r="E2718">
        <v>105371</v>
      </c>
      <c r="F2718" t="s">
        <v>99</v>
      </c>
      <c r="G2718" t="s">
        <v>84</v>
      </c>
      <c r="H2718" t="s">
        <v>46</v>
      </c>
      <c r="I2718">
        <v>1053.71</v>
      </c>
      <c r="J2718">
        <v>0</v>
      </c>
      <c r="K2718">
        <v>1053.71</v>
      </c>
    </row>
    <row r="2719" spans="1:11" x14ac:dyDescent="0.25">
      <c r="A2719" t="s">
        <v>2759</v>
      </c>
      <c r="B2719" s="1">
        <v>46020.993564814817</v>
      </c>
      <c r="C2719" s="2" t="s">
        <v>22</v>
      </c>
      <c r="D2719" t="s">
        <v>19</v>
      </c>
      <c r="E2719">
        <v>20989</v>
      </c>
      <c r="F2719" t="s">
        <v>14</v>
      </c>
      <c r="G2719" t="s">
        <v>30</v>
      </c>
      <c r="H2719" t="s">
        <v>16</v>
      </c>
      <c r="I2719">
        <v>5</v>
      </c>
      <c r="J2719">
        <v>0</v>
      </c>
      <c r="K2719">
        <v>5</v>
      </c>
    </row>
    <row r="2720" spans="1:11" x14ac:dyDescent="0.25">
      <c r="A2720" t="s">
        <v>2760</v>
      </c>
      <c r="B2720" s="1">
        <v>45906.143842592595</v>
      </c>
      <c r="C2720" s="2" t="s">
        <v>18</v>
      </c>
      <c r="D2720" t="s">
        <v>45</v>
      </c>
      <c r="E2720">
        <v>144560</v>
      </c>
      <c r="F2720" t="s">
        <v>14</v>
      </c>
      <c r="G2720" t="s">
        <v>24</v>
      </c>
      <c r="H2720" t="s">
        <v>56</v>
      </c>
      <c r="I2720">
        <v>1445.6</v>
      </c>
      <c r="J2720">
        <v>0</v>
      </c>
      <c r="K2720">
        <v>1445.6</v>
      </c>
    </row>
    <row r="2721" spans="1:11" x14ac:dyDescent="0.25">
      <c r="A2721" t="s">
        <v>2761</v>
      </c>
      <c r="B2721" s="1">
        <v>46123.300439814811</v>
      </c>
      <c r="C2721" s="2" t="s">
        <v>39</v>
      </c>
      <c r="D2721" t="s">
        <v>23</v>
      </c>
      <c r="E2721">
        <v>1140</v>
      </c>
      <c r="F2721" t="s">
        <v>14</v>
      </c>
      <c r="G2721" t="s">
        <v>20</v>
      </c>
      <c r="H2721" t="s">
        <v>16</v>
      </c>
      <c r="I2721">
        <v>0</v>
      </c>
      <c r="J2721">
        <v>0</v>
      </c>
      <c r="K2721">
        <v>0</v>
      </c>
    </row>
    <row r="2722" spans="1:11" x14ac:dyDescent="0.25">
      <c r="A2722" t="s">
        <v>2762</v>
      </c>
      <c r="B2722" s="1">
        <v>45880.654953703706</v>
      </c>
      <c r="C2722" s="2" t="s">
        <v>29</v>
      </c>
      <c r="D2722" t="s">
        <v>19</v>
      </c>
      <c r="E2722">
        <v>37232</v>
      </c>
      <c r="F2722" t="s">
        <v>14</v>
      </c>
      <c r="G2722" t="s">
        <v>34</v>
      </c>
      <c r="H2722" t="s">
        <v>16</v>
      </c>
      <c r="I2722">
        <v>5</v>
      </c>
      <c r="J2722">
        <v>0</v>
      </c>
      <c r="K2722">
        <v>5</v>
      </c>
    </row>
    <row r="2723" spans="1:11" x14ac:dyDescent="0.25">
      <c r="A2723" t="s">
        <v>2763</v>
      </c>
      <c r="B2723" s="1">
        <v>46067.023194444446</v>
      </c>
      <c r="C2723" s="2" t="s">
        <v>12</v>
      </c>
      <c r="D2723" t="s">
        <v>23</v>
      </c>
      <c r="E2723">
        <v>987</v>
      </c>
      <c r="F2723" t="s">
        <v>14</v>
      </c>
      <c r="G2723" t="s">
        <v>20</v>
      </c>
      <c r="H2723" t="s">
        <v>16</v>
      </c>
      <c r="I2723">
        <v>0</v>
      </c>
      <c r="J2723">
        <v>0</v>
      </c>
      <c r="K2723">
        <v>0</v>
      </c>
    </row>
    <row r="2724" spans="1:11" x14ac:dyDescent="0.25">
      <c r="A2724" t="s">
        <v>2764</v>
      </c>
      <c r="B2724" s="1">
        <v>45805.365856481483</v>
      </c>
      <c r="C2724" s="2" t="s">
        <v>18</v>
      </c>
      <c r="D2724" t="s">
        <v>33</v>
      </c>
      <c r="E2724">
        <v>91874</v>
      </c>
      <c r="F2724" t="s">
        <v>50</v>
      </c>
      <c r="G2724" t="s">
        <v>34</v>
      </c>
      <c r="H2724" t="s">
        <v>16</v>
      </c>
      <c r="I2724">
        <v>0</v>
      </c>
      <c r="J2724">
        <v>0</v>
      </c>
      <c r="K2724">
        <v>0</v>
      </c>
    </row>
    <row r="2725" spans="1:11" x14ac:dyDescent="0.25">
      <c r="A2725" t="s">
        <v>2765</v>
      </c>
      <c r="B2725" s="1">
        <v>45856.144178240742</v>
      </c>
      <c r="C2725" s="2" t="s">
        <v>12</v>
      </c>
      <c r="D2725" t="s">
        <v>13</v>
      </c>
      <c r="E2725">
        <v>116500</v>
      </c>
      <c r="F2725" t="s">
        <v>14</v>
      </c>
      <c r="G2725" t="s">
        <v>84</v>
      </c>
      <c r="H2725" t="s">
        <v>16</v>
      </c>
      <c r="I2725">
        <v>2155.25</v>
      </c>
      <c r="J2725">
        <v>862.1</v>
      </c>
      <c r="K2725">
        <v>1293.1500000000001</v>
      </c>
    </row>
    <row r="2726" spans="1:11" x14ac:dyDescent="0.25">
      <c r="A2726" t="s">
        <v>2766</v>
      </c>
      <c r="B2726" s="1">
        <v>45812.885034722225</v>
      </c>
      <c r="C2726" s="2" t="s">
        <v>41</v>
      </c>
      <c r="D2726" t="s">
        <v>13</v>
      </c>
      <c r="E2726">
        <v>203000</v>
      </c>
      <c r="F2726" t="s">
        <v>14</v>
      </c>
      <c r="G2726" t="s">
        <v>15</v>
      </c>
      <c r="H2726" t="s">
        <v>16</v>
      </c>
      <c r="I2726">
        <v>3755.5</v>
      </c>
      <c r="J2726">
        <v>1502.2</v>
      </c>
      <c r="K2726">
        <v>2253.3000000000002</v>
      </c>
    </row>
    <row r="2727" spans="1:11" x14ac:dyDescent="0.25">
      <c r="A2727" t="s">
        <v>2767</v>
      </c>
      <c r="B2727" s="1">
        <v>45936.079930555556</v>
      </c>
      <c r="C2727" s="2" t="s">
        <v>39</v>
      </c>
      <c r="D2727" t="s">
        <v>23</v>
      </c>
      <c r="E2727">
        <v>2329</v>
      </c>
      <c r="F2727" t="s">
        <v>14</v>
      </c>
      <c r="G2727" t="s">
        <v>34</v>
      </c>
      <c r="H2727" t="s">
        <v>16</v>
      </c>
      <c r="I2727">
        <v>0</v>
      </c>
      <c r="J2727">
        <v>0</v>
      </c>
      <c r="K2727">
        <v>0</v>
      </c>
    </row>
    <row r="2728" spans="1:11" x14ac:dyDescent="0.25">
      <c r="A2728" t="s">
        <v>2768</v>
      </c>
      <c r="B2728" s="1">
        <v>45877.313750000001</v>
      </c>
      <c r="C2728" s="2" t="s">
        <v>29</v>
      </c>
      <c r="D2728" t="s">
        <v>33</v>
      </c>
      <c r="E2728">
        <v>75610</v>
      </c>
      <c r="F2728" t="s">
        <v>50</v>
      </c>
      <c r="G2728" t="s">
        <v>15</v>
      </c>
      <c r="H2728" t="s">
        <v>16</v>
      </c>
      <c r="I2728">
        <v>0</v>
      </c>
      <c r="J2728">
        <v>0</v>
      </c>
      <c r="K2728">
        <v>0</v>
      </c>
    </row>
    <row r="2729" spans="1:11" x14ac:dyDescent="0.25">
      <c r="A2729" t="s">
        <v>2769</v>
      </c>
      <c r="B2729" s="1">
        <v>45864.668958333335</v>
      </c>
      <c r="C2729" s="2" t="s">
        <v>18</v>
      </c>
      <c r="D2729" t="s">
        <v>13</v>
      </c>
      <c r="E2729">
        <v>150000</v>
      </c>
      <c r="F2729" t="s">
        <v>50</v>
      </c>
      <c r="G2729" t="s">
        <v>24</v>
      </c>
      <c r="H2729" t="s">
        <v>16</v>
      </c>
      <c r="I2729">
        <v>2775</v>
      </c>
      <c r="J2729">
        <v>1110</v>
      </c>
      <c r="K2729">
        <v>1665</v>
      </c>
    </row>
    <row r="2730" spans="1:11" x14ac:dyDescent="0.25">
      <c r="A2730" t="s">
        <v>2770</v>
      </c>
      <c r="B2730" s="1">
        <v>46054.494444444441</v>
      </c>
      <c r="C2730" s="2" t="s">
        <v>12</v>
      </c>
      <c r="D2730" t="s">
        <v>33</v>
      </c>
      <c r="E2730">
        <v>106834</v>
      </c>
      <c r="F2730" t="s">
        <v>14</v>
      </c>
      <c r="G2730" t="s">
        <v>15</v>
      </c>
      <c r="H2730" t="s">
        <v>16</v>
      </c>
      <c r="I2730">
        <v>0</v>
      </c>
      <c r="J2730">
        <v>0</v>
      </c>
      <c r="K2730">
        <v>0</v>
      </c>
    </row>
    <row r="2731" spans="1:11" x14ac:dyDescent="0.25">
      <c r="A2731" t="s">
        <v>2771</v>
      </c>
      <c r="B2731" s="1">
        <v>45926.741516203707</v>
      </c>
      <c r="C2731" s="2" t="s">
        <v>26</v>
      </c>
      <c r="D2731" t="s">
        <v>33</v>
      </c>
      <c r="E2731">
        <v>15107</v>
      </c>
      <c r="F2731" t="s">
        <v>14</v>
      </c>
      <c r="G2731" t="s">
        <v>30</v>
      </c>
      <c r="H2731" t="s">
        <v>16</v>
      </c>
      <c r="I2731">
        <v>0</v>
      </c>
      <c r="J2731">
        <v>0</v>
      </c>
      <c r="K2731">
        <v>0</v>
      </c>
    </row>
    <row r="2732" spans="1:11" x14ac:dyDescent="0.25">
      <c r="A2732" t="s">
        <v>2772</v>
      </c>
      <c r="B2732" s="1">
        <v>46090.86378472222</v>
      </c>
      <c r="C2732" s="2" t="s">
        <v>41</v>
      </c>
      <c r="D2732" t="s">
        <v>23</v>
      </c>
      <c r="E2732">
        <v>1186</v>
      </c>
      <c r="F2732" t="s">
        <v>14</v>
      </c>
      <c r="G2732" t="s">
        <v>24</v>
      </c>
      <c r="H2732" t="s">
        <v>16</v>
      </c>
      <c r="I2732">
        <v>0</v>
      </c>
      <c r="J2732">
        <v>0</v>
      </c>
      <c r="K2732">
        <v>0</v>
      </c>
    </row>
    <row r="2733" spans="1:11" x14ac:dyDescent="0.25">
      <c r="A2733" t="s">
        <v>2773</v>
      </c>
      <c r="B2733" s="1">
        <v>45956.966331018521</v>
      </c>
      <c r="C2733" s="2" t="s">
        <v>26</v>
      </c>
      <c r="D2733" t="s">
        <v>13</v>
      </c>
      <c r="E2733">
        <v>143000</v>
      </c>
      <c r="F2733" t="s">
        <v>14</v>
      </c>
      <c r="G2733" t="s">
        <v>27</v>
      </c>
      <c r="H2733" t="s">
        <v>16</v>
      </c>
      <c r="I2733">
        <v>2645.5</v>
      </c>
      <c r="J2733">
        <v>1058.2</v>
      </c>
      <c r="K2733">
        <v>1587.3</v>
      </c>
    </row>
    <row r="2734" spans="1:11" x14ac:dyDescent="0.25">
      <c r="A2734" t="s">
        <v>2774</v>
      </c>
      <c r="B2734" s="1">
        <v>46095.887997685182</v>
      </c>
      <c r="C2734" s="2" t="s">
        <v>12</v>
      </c>
      <c r="D2734" t="s">
        <v>23</v>
      </c>
      <c r="E2734">
        <v>961</v>
      </c>
      <c r="F2734" t="s">
        <v>14</v>
      </c>
      <c r="G2734" t="s">
        <v>58</v>
      </c>
      <c r="H2734" t="s">
        <v>16</v>
      </c>
      <c r="I2734">
        <v>0</v>
      </c>
      <c r="J2734">
        <v>0</v>
      </c>
      <c r="K2734">
        <v>0</v>
      </c>
    </row>
    <row r="2735" spans="1:11" x14ac:dyDescent="0.25">
      <c r="A2735" t="s">
        <v>2775</v>
      </c>
      <c r="B2735" s="1">
        <v>45808.401701388888</v>
      </c>
      <c r="C2735" s="2" t="s">
        <v>32</v>
      </c>
      <c r="D2735" t="s">
        <v>23</v>
      </c>
      <c r="E2735">
        <v>4572</v>
      </c>
      <c r="F2735" t="s">
        <v>50</v>
      </c>
      <c r="G2735" t="s">
        <v>24</v>
      </c>
      <c r="H2735" t="s">
        <v>16</v>
      </c>
      <c r="I2735">
        <v>0</v>
      </c>
      <c r="J2735">
        <v>0</v>
      </c>
      <c r="K2735">
        <v>0</v>
      </c>
    </row>
    <row r="2736" spans="1:11" x14ac:dyDescent="0.25">
      <c r="A2736" t="s">
        <v>2776</v>
      </c>
      <c r="B2736" s="1">
        <v>45847.300092592595</v>
      </c>
      <c r="C2736" s="2" t="s">
        <v>22</v>
      </c>
      <c r="D2736" t="s">
        <v>33</v>
      </c>
      <c r="E2736">
        <v>27633</v>
      </c>
      <c r="F2736" t="s">
        <v>14</v>
      </c>
      <c r="G2736" t="s">
        <v>58</v>
      </c>
      <c r="H2736" t="s">
        <v>16</v>
      </c>
      <c r="I2736">
        <v>0</v>
      </c>
      <c r="J2736">
        <v>0</v>
      </c>
      <c r="K2736">
        <v>0</v>
      </c>
    </row>
    <row r="2737" spans="1:11" x14ac:dyDescent="0.25">
      <c r="A2737" t="s">
        <v>2777</v>
      </c>
      <c r="B2737" s="1">
        <v>45953.944513888891</v>
      </c>
      <c r="C2737" s="2" t="s">
        <v>41</v>
      </c>
      <c r="D2737" t="s">
        <v>19</v>
      </c>
      <c r="E2737">
        <v>30227</v>
      </c>
      <c r="F2737" t="s">
        <v>50</v>
      </c>
      <c r="G2737" t="s">
        <v>24</v>
      </c>
      <c r="H2737" t="s">
        <v>16</v>
      </c>
      <c r="I2737">
        <v>5</v>
      </c>
      <c r="J2737">
        <v>0</v>
      </c>
      <c r="K2737">
        <v>5</v>
      </c>
    </row>
    <row r="2738" spans="1:11" x14ac:dyDescent="0.25">
      <c r="A2738" t="s">
        <v>2778</v>
      </c>
      <c r="B2738" s="1">
        <v>46015.714768518519</v>
      </c>
      <c r="C2738" s="2" t="s">
        <v>22</v>
      </c>
      <c r="D2738" t="s">
        <v>19</v>
      </c>
      <c r="E2738">
        <v>114773</v>
      </c>
      <c r="F2738" t="s">
        <v>14</v>
      </c>
      <c r="G2738" t="s">
        <v>15</v>
      </c>
      <c r="H2738" t="s">
        <v>16</v>
      </c>
      <c r="I2738">
        <v>5</v>
      </c>
      <c r="J2738">
        <v>0</v>
      </c>
      <c r="K2738">
        <v>5</v>
      </c>
    </row>
    <row r="2739" spans="1:11" x14ac:dyDescent="0.25">
      <c r="A2739" t="s">
        <v>2779</v>
      </c>
      <c r="B2739" s="1">
        <v>46055.913935185185</v>
      </c>
      <c r="C2739" s="2" t="s">
        <v>12</v>
      </c>
      <c r="D2739" t="s">
        <v>45</v>
      </c>
      <c r="E2739">
        <v>85914</v>
      </c>
      <c r="F2739" t="s">
        <v>14</v>
      </c>
      <c r="G2739" t="s">
        <v>27</v>
      </c>
      <c r="H2739" t="s">
        <v>56</v>
      </c>
      <c r="I2739">
        <v>859.14</v>
      </c>
      <c r="J2739">
        <v>0</v>
      </c>
      <c r="K2739">
        <v>859.14</v>
      </c>
    </row>
    <row r="2740" spans="1:11" x14ac:dyDescent="0.25">
      <c r="A2740" t="s">
        <v>2780</v>
      </c>
      <c r="B2740" s="1">
        <v>45818.451770833337</v>
      </c>
      <c r="C2740" s="2" t="s">
        <v>26</v>
      </c>
      <c r="D2740" t="s">
        <v>13</v>
      </c>
      <c r="E2740">
        <v>98500</v>
      </c>
      <c r="F2740" t="s">
        <v>14</v>
      </c>
      <c r="G2740" t="s">
        <v>27</v>
      </c>
      <c r="H2740" t="s">
        <v>16</v>
      </c>
      <c r="I2740">
        <v>1822.25</v>
      </c>
      <c r="J2740">
        <v>728.9</v>
      </c>
      <c r="K2740">
        <v>1093.3499999999999</v>
      </c>
    </row>
    <row r="2741" spans="1:11" x14ac:dyDescent="0.25">
      <c r="A2741" t="s">
        <v>2781</v>
      </c>
      <c r="B2741" s="1">
        <v>46107.90556712963</v>
      </c>
      <c r="C2741" s="2" t="s">
        <v>18</v>
      </c>
      <c r="D2741" t="s">
        <v>33</v>
      </c>
      <c r="E2741">
        <v>109038</v>
      </c>
      <c r="F2741" t="s">
        <v>14</v>
      </c>
      <c r="G2741" t="s">
        <v>58</v>
      </c>
      <c r="H2741" t="s">
        <v>16</v>
      </c>
      <c r="I2741">
        <v>0</v>
      </c>
      <c r="J2741">
        <v>0</v>
      </c>
      <c r="K2741">
        <v>0</v>
      </c>
    </row>
    <row r="2742" spans="1:11" x14ac:dyDescent="0.25">
      <c r="A2742" t="s">
        <v>2782</v>
      </c>
      <c r="B2742" s="1">
        <v>45960.659988425927</v>
      </c>
      <c r="C2742" s="2" t="s">
        <v>18</v>
      </c>
      <c r="D2742" t="s">
        <v>23</v>
      </c>
      <c r="E2742">
        <v>3370</v>
      </c>
      <c r="F2742" t="s">
        <v>14</v>
      </c>
      <c r="G2742" t="s">
        <v>20</v>
      </c>
      <c r="H2742" t="s">
        <v>16</v>
      </c>
      <c r="I2742">
        <v>0</v>
      </c>
      <c r="J2742">
        <v>0</v>
      </c>
      <c r="K2742">
        <v>0</v>
      </c>
    </row>
    <row r="2743" spans="1:11" x14ac:dyDescent="0.25">
      <c r="A2743" t="s">
        <v>2783</v>
      </c>
      <c r="B2743" s="1">
        <v>46064.608668981484</v>
      </c>
      <c r="C2743" s="2" t="s">
        <v>39</v>
      </c>
      <c r="D2743" t="s">
        <v>13</v>
      </c>
      <c r="E2743">
        <v>247500</v>
      </c>
      <c r="F2743" t="s">
        <v>14</v>
      </c>
      <c r="G2743" t="s">
        <v>30</v>
      </c>
      <c r="H2743" t="s">
        <v>16</v>
      </c>
      <c r="I2743">
        <v>4578.75</v>
      </c>
      <c r="J2743">
        <v>1831.5</v>
      </c>
      <c r="K2743">
        <v>2747.25</v>
      </c>
    </row>
    <row r="2744" spans="1:11" x14ac:dyDescent="0.25">
      <c r="A2744" t="s">
        <v>2784</v>
      </c>
      <c r="B2744" s="1">
        <v>46029.894976851851</v>
      </c>
      <c r="C2744" s="2" t="s">
        <v>18</v>
      </c>
      <c r="D2744" t="s">
        <v>19</v>
      </c>
      <c r="E2744">
        <v>20701</v>
      </c>
      <c r="F2744" t="s">
        <v>50</v>
      </c>
      <c r="G2744" t="s">
        <v>24</v>
      </c>
      <c r="H2744" t="s">
        <v>16</v>
      </c>
      <c r="I2744">
        <v>5</v>
      </c>
      <c r="J2744">
        <v>0</v>
      </c>
      <c r="K2744">
        <v>5</v>
      </c>
    </row>
    <row r="2745" spans="1:11" x14ac:dyDescent="0.25">
      <c r="A2745" t="s">
        <v>2785</v>
      </c>
      <c r="B2745" s="1">
        <v>45911.841562499998</v>
      </c>
      <c r="C2745" s="2" t="s">
        <v>39</v>
      </c>
      <c r="D2745" t="s">
        <v>13</v>
      </c>
      <c r="E2745">
        <v>54000</v>
      </c>
      <c r="F2745" t="s">
        <v>14</v>
      </c>
      <c r="G2745" t="s">
        <v>58</v>
      </c>
      <c r="H2745" t="s">
        <v>16</v>
      </c>
      <c r="I2745">
        <v>999</v>
      </c>
      <c r="J2745">
        <v>399.6</v>
      </c>
      <c r="K2745">
        <v>599.4</v>
      </c>
    </row>
    <row r="2746" spans="1:11" x14ac:dyDescent="0.25">
      <c r="A2746" t="s">
        <v>2786</v>
      </c>
      <c r="B2746" s="1">
        <v>45791.418703703705</v>
      </c>
      <c r="C2746" s="2" t="s">
        <v>18</v>
      </c>
      <c r="D2746" t="s">
        <v>23</v>
      </c>
      <c r="E2746">
        <v>4697</v>
      </c>
      <c r="F2746" t="s">
        <v>14</v>
      </c>
      <c r="G2746" t="s">
        <v>24</v>
      </c>
      <c r="H2746" t="s">
        <v>16</v>
      </c>
      <c r="I2746">
        <v>0</v>
      </c>
      <c r="J2746">
        <v>0</v>
      </c>
      <c r="K2746">
        <v>0</v>
      </c>
    </row>
    <row r="2747" spans="1:11" x14ac:dyDescent="0.25">
      <c r="A2747" t="s">
        <v>2787</v>
      </c>
      <c r="B2747" s="1">
        <v>46079.116412037038</v>
      </c>
      <c r="C2747" s="2" t="s">
        <v>41</v>
      </c>
      <c r="D2747" t="s">
        <v>33</v>
      </c>
      <c r="E2747">
        <v>148076</v>
      </c>
      <c r="F2747" t="s">
        <v>14</v>
      </c>
      <c r="G2747" t="s">
        <v>34</v>
      </c>
      <c r="H2747" t="s">
        <v>16</v>
      </c>
      <c r="I2747">
        <v>0</v>
      </c>
      <c r="J2747">
        <v>0</v>
      </c>
      <c r="K2747">
        <v>0</v>
      </c>
    </row>
    <row r="2748" spans="1:11" x14ac:dyDescent="0.25">
      <c r="A2748" t="s">
        <v>2788</v>
      </c>
      <c r="B2748" s="1">
        <v>45930.619942129626</v>
      </c>
      <c r="C2748" s="2" t="s">
        <v>32</v>
      </c>
      <c r="D2748" t="s">
        <v>23</v>
      </c>
      <c r="E2748">
        <v>2906</v>
      </c>
      <c r="F2748" t="s">
        <v>14</v>
      </c>
      <c r="G2748" t="s">
        <v>58</v>
      </c>
      <c r="H2748" t="s">
        <v>16</v>
      </c>
      <c r="I2748">
        <v>0</v>
      </c>
      <c r="J2748">
        <v>0</v>
      </c>
      <c r="K2748">
        <v>0</v>
      </c>
    </row>
    <row r="2749" spans="1:11" x14ac:dyDescent="0.25">
      <c r="A2749" t="s">
        <v>2789</v>
      </c>
      <c r="B2749" s="1">
        <v>45855.666354166664</v>
      </c>
      <c r="C2749" s="2" t="s">
        <v>41</v>
      </c>
      <c r="D2749" t="s">
        <v>45</v>
      </c>
      <c r="E2749">
        <v>108764</v>
      </c>
      <c r="F2749" t="s">
        <v>50</v>
      </c>
      <c r="G2749" t="s">
        <v>27</v>
      </c>
      <c r="H2749" t="s">
        <v>59</v>
      </c>
      <c r="I2749">
        <v>1087.6400000000001</v>
      </c>
      <c r="J2749">
        <v>0</v>
      </c>
      <c r="K2749">
        <v>1087.6400000000001</v>
      </c>
    </row>
    <row r="2750" spans="1:11" x14ac:dyDescent="0.25">
      <c r="A2750" t="s">
        <v>2790</v>
      </c>
      <c r="B2750" s="1">
        <v>45947.519050925926</v>
      </c>
      <c r="C2750" s="2" t="s">
        <v>22</v>
      </c>
      <c r="D2750" t="s">
        <v>23</v>
      </c>
      <c r="E2750">
        <v>3047</v>
      </c>
      <c r="F2750" t="s">
        <v>14</v>
      </c>
      <c r="G2750" t="s">
        <v>27</v>
      </c>
      <c r="H2750" t="s">
        <v>16</v>
      </c>
      <c r="I2750">
        <v>0</v>
      </c>
      <c r="J2750">
        <v>0</v>
      </c>
      <c r="K2750">
        <v>0</v>
      </c>
    </row>
    <row r="2751" spans="1:11" x14ac:dyDescent="0.25">
      <c r="A2751" t="s">
        <v>2791</v>
      </c>
      <c r="B2751" s="1">
        <v>46141.79010416667</v>
      </c>
      <c r="C2751" s="2" t="s">
        <v>41</v>
      </c>
      <c r="D2751" t="s">
        <v>23</v>
      </c>
      <c r="E2751">
        <v>1653</v>
      </c>
      <c r="F2751" t="s">
        <v>14</v>
      </c>
      <c r="G2751" t="s">
        <v>51</v>
      </c>
      <c r="H2751" t="s">
        <v>16</v>
      </c>
      <c r="I2751">
        <v>0</v>
      </c>
      <c r="J2751">
        <v>0</v>
      </c>
      <c r="K2751">
        <v>0</v>
      </c>
    </row>
    <row r="2752" spans="1:11" x14ac:dyDescent="0.25">
      <c r="A2752" t="s">
        <v>2792</v>
      </c>
      <c r="B2752" s="1">
        <v>46038.623865740738</v>
      </c>
      <c r="C2752" s="2" t="s">
        <v>18</v>
      </c>
      <c r="D2752" t="s">
        <v>19</v>
      </c>
      <c r="E2752">
        <v>144170</v>
      </c>
      <c r="F2752" t="s">
        <v>14</v>
      </c>
      <c r="G2752" t="s">
        <v>20</v>
      </c>
      <c r="H2752" t="s">
        <v>16</v>
      </c>
      <c r="I2752">
        <v>5</v>
      </c>
      <c r="J2752">
        <v>0</v>
      </c>
      <c r="K2752">
        <v>5</v>
      </c>
    </row>
    <row r="2753" spans="1:11" x14ac:dyDescent="0.25">
      <c r="A2753" t="s">
        <v>2793</v>
      </c>
      <c r="B2753" s="1">
        <v>46022.585150462961</v>
      </c>
      <c r="C2753" s="2" t="s">
        <v>22</v>
      </c>
      <c r="D2753" t="s">
        <v>19</v>
      </c>
      <c r="E2753">
        <v>59754</v>
      </c>
      <c r="F2753" t="s">
        <v>14</v>
      </c>
      <c r="G2753" t="s">
        <v>84</v>
      </c>
      <c r="H2753" t="s">
        <v>16</v>
      </c>
      <c r="I2753">
        <v>5</v>
      </c>
      <c r="J2753">
        <v>0</v>
      </c>
      <c r="K2753">
        <v>5</v>
      </c>
    </row>
    <row r="2754" spans="1:11" x14ac:dyDescent="0.25">
      <c r="A2754" t="s">
        <v>2794</v>
      </c>
      <c r="B2754" s="1">
        <v>46024.638391203705</v>
      </c>
      <c r="C2754" s="2" t="s">
        <v>29</v>
      </c>
      <c r="D2754" t="s">
        <v>19</v>
      </c>
      <c r="E2754">
        <v>74130</v>
      </c>
      <c r="F2754" t="s">
        <v>14</v>
      </c>
      <c r="G2754" t="s">
        <v>30</v>
      </c>
      <c r="H2754" t="s">
        <v>16</v>
      </c>
      <c r="I2754">
        <v>5</v>
      </c>
      <c r="J2754">
        <v>0</v>
      </c>
      <c r="K2754">
        <v>5</v>
      </c>
    </row>
    <row r="2755" spans="1:11" x14ac:dyDescent="0.25">
      <c r="A2755" t="s">
        <v>2795</v>
      </c>
      <c r="B2755" s="1">
        <v>45885.6562962963</v>
      </c>
      <c r="C2755" s="2" t="s">
        <v>12</v>
      </c>
      <c r="D2755" t="s">
        <v>13</v>
      </c>
      <c r="E2755">
        <v>38500</v>
      </c>
      <c r="F2755" t="s">
        <v>14</v>
      </c>
      <c r="G2755" t="s">
        <v>34</v>
      </c>
      <c r="H2755" t="s">
        <v>16</v>
      </c>
      <c r="I2755">
        <v>712.25</v>
      </c>
      <c r="J2755">
        <v>284.89999999999998</v>
      </c>
      <c r="K2755">
        <v>427.35</v>
      </c>
    </row>
    <row r="2756" spans="1:11" x14ac:dyDescent="0.25">
      <c r="A2756" t="s">
        <v>2796</v>
      </c>
      <c r="B2756" s="1">
        <v>45818.039236111108</v>
      </c>
      <c r="C2756" s="2" t="s">
        <v>29</v>
      </c>
      <c r="D2756" t="s">
        <v>13</v>
      </c>
      <c r="E2756">
        <v>209000</v>
      </c>
      <c r="F2756" t="s">
        <v>14</v>
      </c>
      <c r="G2756" t="s">
        <v>84</v>
      </c>
      <c r="H2756" t="s">
        <v>16</v>
      </c>
      <c r="I2756">
        <v>3866.5</v>
      </c>
      <c r="J2756">
        <v>1546.6</v>
      </c>
      <c r="K2756">
        <v>2319.9</v>
      </c>
    </row>
    <row r="2757" spans="1:11" x14ac:dyDescent="0.25">
      <c r="A2757" t="s">
        <v>2797</v>
      </c>
      <c r="B2757" s="1">
        <v>45805.469687500001</v>
      </c>
      <c r="C2757" s="2" t="s">
        <v>41</v>
      </c>
      <c r="D2757" t="s">
        <v>13</v>
      </c>
      <c r="E2757">
        <v>218000</v>
      </c>
      <c r="F2757" t="s">
        <v>14</v>
      </c>
      <c r="G2757" t="s">
        <v>30</v>
      </c>
      <c r="H2757" t="s">
        <v>16</v>
      </c>
      <c r="I2757">
        <v>4033</v>
      </c>
      <c r="J2757">
        <v>1613.2</v>
      </c>
      <c r="K2757">
        <v>2419.8000000000002</v>
      </c>
    </row>
    <row r="2758" spans="1:11" x14ac:dyDescent="0.25">
      <c r="A2758" t="s">
        <v>2798</v>
      </c>
      <c r="B2758" s="1">
        <v>46097.097037037034</v>
      </c>
      <c r="C2758" s="2" t="s">
        <v>41</v>
      </c>
      <c r="D2758" t="s">
        <v>45</v>
      </c>
      <c r="E2758">
        <v>62122</v>
      </c>
      <c r="F2758" t="s">
        <v>14</v>
      </c>
      <c r="G2758" t="s">
        <v>30</v>
      </c>
      <c r="H2758" t="s">
        <v>56</v>
      </c>
      <c r="I2758">
        <v>621.22</v>
      </c>
      <c r="J2758">
        <v>0</v>
      </c>
      <c r="K2758">
        <v>621.22</v>
      </c>
    </row>
    <row r="2759" spans="1:11" x14ac:dyDescent="0.25">
      <c r="A2759" t="s">
        <v>2799</v>
      </c>
      <c r="B2759" s="1">
        <v>46040.927824074075</v>
      </c>
      <c r="C2759" s="2" t="s">
        <v>39</v>
      </c>
      <c r="D2759" t="s">
        <v>23</v>
      </c>
      <c r="E2759">
        <v>4710</v>
      </c>
      <c r="F2759" t="s">
        <v>50</v>
      </c>
      <c r="G2759" t="s">
        <v>30</v>
      </c>
      <c r="H2759" t="s">
        <v>16</v>
      </c>
      <c r="I2759">
        <v>0</v>
      </c>
      <c r="J2759">
        <v>0</v>
      </c>
      <c r="K2759">
        <v>0</v>
      </c>
    </row>
    <row r="2760" spans="1:11" x14ac:dyDescent="0.25">
      <c r="A2760" t="s">
        <v>2800</v>
      </c>
      <c r="B2760" s="1">
        <v>45914.062222222223</v>
      </c>
      <c r="C2760" s="2" t="s">
        <v>32</v>
      </c>
      <c r="D2760" t="s">
        <v>45</v>
      </c>
      <c r="E2760">
        <v>4004</v>
      </c>
      <c r="F2760" t="s">
        <v>14</v>
      </c>
      <c r="G2760" t="s">
        <v>51</v>
      </c>
      <c r="H2760" t="s">
        <v>71</v>
      </c>
      <c r="I2760">
        <v>40.04</v>
      </c>
      <c r="J2760">
        <v>0</v>
      </c>
      <c r="K2760">
        <v>40.04</v>
      </c>
    </row>
    <row r="2761" spans="1:11" x14ac:dyDescent="0.25">
      <c r="A2761" t="s">
        <v>2801</v>
      </c>
      <c r="B2761" s="1">
        <v>46107.310300925928</v>
      </c>
      <c r="C2761" s="2" t="s">
        <v>18</v>
      </c>
      <c r="D2761" t="s">
        <v>33</v>
      </c>
      <c r="E2761">
        <v>41602</v>
      </c>
      <c r="F2761" t="s">
        <v>14</v>
      </c>
      <c r="G2761" t="s">
        <v>30</v>
      </c>
      <c r="H2761" t="s">
        <v>16</v>
      </c>
      <c r="I2761">
        <v>0</v>
      </c>
      <c r="J2761">
        <v>0</v>
      </c>
      <c r="K2761">
        <v>0</v>
      </c>
    </row>
    <row r="2762" spans="1:11" x14ac:dyDescent="0.25">
      <c r="A2762" t="s">
        <v>2802</v>
      </c>
      <c r="B2762" s="1">
        <v>45892.770405092589</v>
      </c>
      <c r="C2762" s="2" t="s">
        <v>29</v>
      </c>
      <c r="D2762" t="s">
        <v>19</v>
      </c>
      <c r="E2762">
        <v>124654</v>
      </c>
      <c r="F2762" t="s">
        <v>14</v>
      </c>
      <c r="G2762" t="s">
        <v>51</v>
      </c>
      <c r="H2762" t="s">
        <v>16</v>
      </c>
      <c r="I2762">
        <v>5</v>
      </c>
      <c r="J2762">
        <v>0</v>
      </c>
      <c r="K2762">
        <v>5</v>
      </c>
    </row>
    <row r="2763" spans="1:11" x14ac:dyDescent="0.25">
      <c r="A2763" t="s">
        <v>2803</v>
      </c>
      <c r="B2763" s="1">
        <v>45791.097488425927</v>
      </c>
      <c r="C2763" s="2" t="s">
        <v>26</v>
      </c>
      <c r="D2763" t="s">
        <v>33</v>
      </c>
      <c r="E2763">
        <v>109592</v>
      </c>
      <c r="F2763" t="s">
        <v>14</v>
      </c>
      <c r="G2763" t="s">
        <v>30</v>
      </c>
      <c r="H2763" t="s">
        <v>16</v>
      </c>
      <c r="I2763">
        <v>0</v>
      </c>
      <c r="J2763">
        <v>0</v>
      </c>
      <c r="K2763">
        <v>0</v>
      </c>
    </row>
    <row r="2764" spans="1:11" x14ac:dyDescent="0.25">
      <c r="A2764" t="s">
        <v>2804</v>
      </c>
      <c r="B2764" s="1">
        <v>46041.864525462966</v>
      </c>
      <c r="C2764" s="2" t="s">
        <v>32</v>
      </c>
      <c r="D2764" t="s">
        <v>33</v>
      </c>
      <c r="E2764">
        <v>24083</v>
      </c>
      <c r="F2764" t="s">
        <v>14</v>
      </c>
      <c r="G2764" t="s">
        <v>34</v>
      </c>
      <c r="H2764" t="s">
        <v>16</v>
      </c>
      <c r="I2764">
        <v>0</v>
      </c>
      <c r="J2764">
        <v>0</v>
      </c>
      <c r="K2764">
        <v>0</v>
      </c>
    </row>
    <row r="2765" spans="1:11" x14ac:dyDescent="0.25">
      <c r="A2765" t="s">
        <v>2805</v>
      </c>
      <c r="B2765" s="1">
        <v>45888.47388888889</v>
      </c>
      <c r="C2765" s="2" t="s">
        <v>41</v>
      </c>
      <c r="D2765" t="s">
        <v>13</v>
      </c>
      <c r="E2765">
        <v>146500</v>
      </c>
      <c r="F2765" t="s">
        <v>14</v>
      </c>
      <c r="G2765" t="s">
        <v>51</v>
      </c>
      <c r="H2765" t="s">
        <v>16</v>
      </c>
      <c r="I2765">
        <v>2710.25</v>
      </c>
      <c r="J2765">
        <v>1084.0999999999999</v>
      </c>
      <c r="K2765">
        <v>1626.15</v>
      </c>
    </row>
    <row r="2766" spans="1:11" x14ac:dyDescent="0.25">
      <c r="A2766" t="s">
        <v>2806</v>
      </c>
      <c r="B2766" s="1">
        <v>46031.606226851851</v>
      </c>
      <c r="C2766" s="2" t="s">
        <v>26</v>
      </c>
      <c r="D2766" t="s">
        <v>45</v>
      </c>
      <c r="E2766">
        <v>67237</v>
      </c>
      <c r="F2766" t="s">
        <v>50</v>
      </c>
      <c r="G2766" t="s">
        <v>24</v>
      </c>
      <c r="H2766" t="s">
        <v>56</v>
      </c>
      <c r="I2766">
        <v>672.37</v>
      </c>
      <c r="J2766">
        <v>0</v>
      </c>
      <c r="K2766">
        <v>672.37</v>
      </c>
    </row>
    <row r="2767" spans="1:11" x14ac:dyDescent="0.25">
      <c r="A2767" t="s">
        <v>2807</v>
      </c>
      <c r="B2767" s="1">
        <v>45780.297511574077</v>
      </c>
      <c r="C2767" s="2" t="s">
        <v>39</v>
      </c>
      <c r="D2767" t="s">
        <v>19</v>
      </c>
      <c r="E2767">
        <v>134134</v>
      </c>
      <c r="F2767" t="s">
        <v>14</v>
      </c>
      <c r="G2767" t="s">
        <v>84</v>
      </c>
      <c r="H2767" t="s">
        <v>16</v>
      </c>
      <c r="I2767">
        <v>5</v>
      </c>
      <c r="J2767">
        <v>0</v>
      </c>
      <c r="K2767">
        <v>5</v>
      </c>
    </row>
    <row r="2768" spans="1:11" x14ac:dyDescent="0.25">
      <c r="A2768" t="s">
        <v>2808</v>
      </c>
      <c r="B2768" s="1">
        <v>45797.40697916667</v>
      </c>
      <c r="C2768" s="2" t="s">
        <v>12</v>
      </c>
      <c r="D2768" t="s">
        <v>23</v>
      </c>
      <c r="E2768">
        <v>1072</v>
      </c>
      <c r="F2768" t="s">
        <v>14</v>
      </c>
      <c r="G2768" t="s">
        <v>58</v>
      </c>
      <c r="H2768" t="s">
        <v>16</v>
      </c>
      <c r="I2768">
        <v>0</v>
      </c>
      <c r="J2768">
        <v>0</v>
      </c>
      <c r="K2768">
        <v>0</v>
      </c>
    </row>
    <row r="2769" spans="1:11" x14ac:dyDescent="0.25">
      <c r="A2769" t="s">
        <v>2809</v>
      </c>
      <c r="B2769" s="1">
        <v>45944.905682870369</v>
      </c>
      <c r="C2769" s="2" t="s">
        <v>22</v>
      </c>
      <c r="D2769" t="s">
        <v>23</v>
      </c>
      <c r="E2769">
        <v>4502</v>
      </c>
      <c r="F2769" t="s">
        <v>14</v>
      </c>
      <c r="G2769" t="s">
        <v>58</v>
      </c>
      <c r="H2769" t="s">
        <v>16</v>
      </c>
      <c r="I2769">
        <v>0</v>
      </c>
      <c r="J2769">
        <v>0</v>
      </c>
      <c r="K2769">
        <v>0</v>
      </c>
    </row>
    <row r="2770" spans="1:11" x14ac:dyDescent="0.25">
      <c r="A2770" t="s">
        <v>2810</v>
      </c>
      <c r="B2770" s="1">
        <v>45815.121053240742</v>
      </c>
      <c r="C2770" s="2" t="s">
        <v>18</v>
      </c>
      <c r="D2770" t="s">
        <v>23</v>
      </c>
      <c r="E2770">
        <v>53</v>
      </c>
      <c r="F2770" t="s">
        <v>14</v>
      </c>
      <c r="G2770" t="s">
        <v>27</v>
      </c>
      <c r="H2770" t="s">
        <v>16</v>
      </c>
      <c r="I2770">
        <v>0</v>
      </c>
      <c r="J2770">
        <v>0</v>
      </c>
      <c r="K2770">
        <v>0</v>
      </c>
    </row>
    <row r="2771" spans="1:11" x14ac:dyDescent="0.25">
      <c r="A2771" t="s">
        <v>2811</v>
      </c>
      <c r="B2771" s="1">
        <v>45824.944328703707</v>
      </c>
      <c r="C2771" s="2" t="s">
        <v>26</v>
      </c>
      <c r="D2771" t="s">
        <v>19</v>
      </c>
      <c r="E2771">
        <v>59533</v>
      </c>
      <c r="F2771" t="s">
        <v>14</v>
      </c>
      <c r="G2771" t="s">
        <v>34</v>
      </c>
      <c r="H2771" t="s">
        <v>16</v>
      </c>
      <c r="I2771">
        <v>5</v>
      </c>
      <c r="J2771">
        <v>0</v>
      </c>
      <c r="K2771">
        <v>5</v>
      </c>
    </row>
    <row r="2772" spans="1:11" x14ac:dyDescent="0.25">
      <c r="A2772" t="s">
        <v>2812</v>
      </c>
      <c r="B2772" s="1">
        <v>46126.55091435185</v>
      </c>
      <c r="C2772" s="2" t="s">
        <v>26</v>
      </c>
      <c r="D2772" t="s">
        <v>45</v>
      </c>
      <c r="E2772">
        <v>41269</v>
      </c>
      <c r="F2772" t="s">
        <v>14</v>
      </c>
      <c r="G2772" t="s">
        <v>58</v>
      </c>
      <c r="H2772" t="s">
        <v>56</v>
      </c>
      <c r="I2772">
        <v>412.69</v>
      </c>
      <c r="J2772">
        <v>0</v>
      </c>
      <c r="K2772">
        <v>412.69</v>
      </c>
    </row>
    <row r="2773" spans="1:11" x14ac:dyDescent="0.25">
      <c r="A2773" t="s">
        <v>2813</v>
      </c>
      <c r="B2773" s="1">
        <v>45791.148321759261</v>
      </c>
      <c r="C2773" s="2" t="s">
        <v>41</v>
      </c>
      <c r="D2773" t="s">
        <v>19</v>
      </c>
      <c r="E2773">
        <v>135412</v>
      </c>
      <c r="F2773" t="s">
        <v>14</v>
      </c>
      <c r="G2773" t="s">
        <v>15</v>
      </c>
      <c r="H2773" t="s">
        <v>16</v>
      </c>
      <c r="I2773">
        <v>5</v>
      </c>
      <c r="J2773">
        <v>0</v>
      </c>
      <c r="K2773">
        <v>5</v>
      </c>
    </row>
    <row r="2774" spans="1:11" x14ac:dyDescent="0.25">
      <c r="A2774" t="s">
        <v>2814</v>
      </c>
      <c r="B2774" s="1">
        <v>45837.20989583333</v>
      </c>
      <c r="C2774" s="2" t="s">
        <v>26</v>
      </c>
      <c r="D2774" t="s">
        <v>45</v>
      </c>
      <c r="E2774">
        <v>100123</v>
      </c>
      <c r="F2774" t="s">
        <v>14</v>
      </c>
      <c r="G2774" t="s">
        <v>58</v>
      </c>
      <c r="H2774" t="s">
        <v>71</v>
      </c>
      <c r="I2774">
        <v>1001.23</v>
      </c>
      <c r="J2774">
        <v>0</v>
      </c>
      <c r="K2774">
        <v>1001.23</v>
      </c>
    </row>
    <row r="2775" spans="1:11" x14ac:dyDescent="0.25">
      <c r="A2775" t="s">
        <v>2815</v>
      </c>
      <c r="B2775" s="1">
        <v>45840.428865740738</v>
      </c>
      <c r="C2775" s="2" t="s">
        <v>26</v>
      </c>
      <c r="D2775" t="s">
        <v>33</v>
      </c>
      <c r="E2775">
        <v>53589</v>
      </c>
      <c r="F2775" t="s">
        <v>14</v>
      </c>
      <c r="G2775" t="s">
        <v>34</v>
      </c>
      <c r="H2775" t="s">
        <v>16</v>
      </c>
      <c r="I2775">
        <v>0</v>
      </c>
      <c r="J2775">
        <v>0</v>
      </c>
      <c r="K2775">
        <v>0</v>
      </c>
    </row>
    <row r="2776" spans="1:11" x14ac:dyDescent="0.25">
      <c r="A2776" t="s">
        <v>2816</v>
      </c>
      <c r="B2776" s="1">
        <v>45956.437557870369</v>
      </c>
      <c r="C2776" s="2" t="s">
        <v>41</v>
      </c>
      <c r="D2776" t="s">
        <v>45</v>
      </c>
      <c r="E2776">
        <v>67294</v>
      </c>
      <c r="F2776" t="s">
        <v>50</v>
      </c>
      <c r="G2776" t="s">
        <v>58</v>
      </c>
      <c r="H2776" t="s">
        <v>178</v>
      </c>
      <c r="I2776">
        <v>672.94</v>
      </c>
      <c r="J2776">
        <v>0</v>
      </c>
      <c r="K2776">
        <v>672.94</v>
      </c>
    </row>
    <row r="2777" spans="1:11" x14ac:dyDescent="0.25">
      <c r="A2777" t="s">
        <v>2817</v>
      </c>
      <c r="B2777" s="1">
        <v>46104.205682870372</v>
      </c>
      <c r="C2777" s="2" t="s">
        <v>41</v>
      </c>
      <c r="D2777" t="s">
        <v>33</v>
      </c>
      <c r="E2777">
        <v>141645</v>
      </c>
      <c r="F2777" t="s">
        <v>14</v>
      </c>
      <c r="G2777" t="s">
        <v>34</v>
      </c>
      <c r="H2777" t="s">
        <v>16</v>
      </c>
      <c r="I2777">
        <v>0</v>
      </c>
      <c r="J2777">
        <v>0</v>
      </c>
      <c r="K2777">
        <v>0</v>
      </c>
    </row>
    <row r="2778" spans="1:11" x14ac:dyDescent="0.25">
      <c r="A2778" t="s">
        <v>2818</v>
      </c>
      <c r="B2778" s="1">
        <v>45881.693067129629</v>
      </c>
      <c r="C2778" s="2" t="s">
        <v>29</v>
      </c>
      <c r="D2778" t="s">
        <v>33</v>
      </c>
      <c r="E2778">
        <v>44779</v>
      </c>
      <c r="F2778" t="s">
        <v>14</v>
      </c>
      <c r="G2778" t="s">
        <v>34</v>
      </c>
      <c r="H2778" t="s">
        <v>16</v>
      </c>
      <c r="I2778">
        <v>0</v>
      </c>
      <c r="J2778">
        <v>0</v>
      </c>
      <c r="K2778">
        <v>0</v>
      </c>
    </row>
    <row r="2779" spans="1:11" x14ac:dyDescent="0.25">
      <c r="A2779" t="s">
        <v>2819</v>
      </c>
      <c r="B2779" s="1">
        <v>45899.704618055555</v>
      </c>
      <c r="C2779" s="2" t="s">
        <v>18</v>
      </c>
      <c r="D2779" t="s">
        <v>45</v>
      </c>
      <c r="E2779">
        <v>148594</v>
      </c>
      <c r="F2779" t="s">
        <v>14</v>
      </c>
      <c r="G2779" t="s">
        <v>51</v>
      </c>
      <c r="H2779" t="s">
        <v>71</v>
      </c>
      <c r="I2779">
        <v>1485.94</v>
      </c>
      <c r="J2779">
        <v>0</v>
      </c>
      <c r="K2779">
        <v>1485.94</v>
      </c>
    </row>
    <row r="2780" spans="1:11" x14ac:dyDescent="0.25">
      <c r="A2780" t="s">
        <v>2820</v>
      </c>
      <c r="B2780" s="1">
        <v>46130.42224537037</v>
      </c>
      <c r="C2780" s="2" t="s">
        <v>32</v>
      </c>
      <c r="D2780" t="s">
        <v>45</v>
      </c>
      <c r="E2780">
        <v>90605</v>
      </c>
      <c r="F2780" t="s">
        <v>14</v>
      </c>
      <c r="G2780" t="s">
        <v>30</v>
      </c>
      <c r="H2780" t="s">
        <v>59</v>
      </c>
      <c r="I2780">
        <v>906.05</v>
      </c>
      <c r="J2780">
        <v>0</v>
      </c>
      <c r="K2780">
        <v>906.05</v>
      </c>
    </row>
    <row r="2781" spans="1:11" x14ac:dyDescent="0.25">
      <c r="A2781" t="s">
        <v>2821</v>
      </c>
      <c r="B2781" s="1">
        <v>46055.010983796295</v>
      </c>
      <c r="C2781" s="2" t="s">
        <v>41</v>
      </c>
      <c r="D2781" t="s">
        <v>19</v>
      </c>
      <c r="E2781">
        <v>103535</v>
      </c>
      <c r="F2781" t="s">
        <v>14</v>
      </c>
      <c r="G2781" t="s">
        <v>15</v>
      </c>
      <c r="H2781" t="s">
        <v>16</v>
      </c>
      <c r="I2781">
        <v>5</v>
      </c>
      <c r="J2781">
        <v>0</v>
      </c>
      <c r="K2781">
        <v>5</v>
      </c>
    </row>
    <row r="2782" spans="1:11" x14ac:dyDescent="0.25">
      <c r="A2782" t="s">
        <v>2822</v>
      </c>
      <c r="B2782" s="1">
        <v>45985.493564814817</v>
      </c>
      <c r="C2782" s="2" t="s">
        <v>41</v>
      </c>
      <c r="D2782" t="s">
        <v>13</v>
      </c>
      <c r="E2782">
        <v>219000</v>
      </c>
      <c r="F2782" t="s">
        <v>14</v>
      </c>
      <c r="G2782" t="s">
        <v>30</v>
      </c>
      <c r="H2782" t="s">
        <v>16</v>
      </c>
      <c r="I2782">
        <v>4051.5</v>
      </c>
      <c r="J2782">
        <v>1620.6</v>
      </c>
      <c r="K2782">
        <v>2430.9</v>
      </c>
    </row>
    <row r="2783" spans="1:11" x14ac:dyDescent="0.25">
      <c r="A2783" t="s">
        <v>2823</v>
      </c>
      <c r="B2783" s="1">
        <v>46097.844942129632</v>
      </c>
      <c r="C2783" s="2" t="s">
        <v>29</v>
      </c>
      <c r="D2783" t="s">
        <v>23</v>
      </c>
      <c r="E2783">
        <v>3599</v>
      </c>
      <c r="F2783" t="s">
        <v>14</v>
      </c>
      <c r="G2783" t="s">
        <v>34</v>
      </c>
      <c r="H2783" t="s">
        <v>16</v>
      </c>
      <c r="I2783">
        <v>0</v>
      </c>
      <c r="J2783">
        <v>0</v>
      </c>
      <c r="K2783">
        <v>0</v>
      </c>
    </row>
    <row r="2784" spans="1:11" x14ac:dyDescent="0.25">
      <c r="A2784" t="s">
        <v>2824</v>
      </c>
      <c r="B2784" s="1">
        <v>45977.901759259257</v>
      </c>
      <c r="C2784" s="2" t="s">
        <v>12</v>
      </c>
      <c r="D2784" t="s">
        <v>19</v>
      </c>
      <c r="E2784">
        <v>121872</v>
      </c>
      <c r="F2784" t="s">
        <v>14</v>
      </c>
      <c r="G2784" t="s">
        <v>30</v>
      </c>
      <c r="H2784" t="s">
        <v>16</v>
      </c>
      <c r="I2784">
        <v>5</v>
      </c>
      <c r="J2784">
        <v>0</v>
      </c>
      <c r="K2784">
        <v>5</v>
      </c>
    </row>
    <row r="2785" spans="1:11" x14ac:dyDescent="0.25">
      <c r="A2785" t="s">
        <v>2825</v>
      </c>
      <c r="B2785" s="1">
        <v>45931.795902777776</v>
      </c>
      <c r="C2785" s="2" t="s">
        <v>22</v>
      </c>
      <c r="D2785" t="s">
        <v>45</v>
      </c>
      <c r="E2785">
        <v>142758</v>
      </c>
      <c r="F2785" t="s">
        <v>14</v>
      </c>
      <c r="G2785" t="s">
        <v>30</v>
      </c>
      <c r="H2785" t="s">
        <v>56</v>
      </c>
      <c r="I2785">
        <v>1427.58</v>
      </c>
      <c r="J2785">
        <v>0</v>
      </c>
      <c r="K2785">
        <v>1427.58</v>
      </c>
    </row>
    <row r="2786" spans="1:11" x14ac:dyDescent="0.25">
      <c r="A2786" t="s">
        <v>2826</v>
      </c>
      <c r="B2786" s="1">
        <v>45818.685162037036</v>
      </c>
      <c r="C2786" s="2" t="s">
        <v>29</v>
      </c>
      <c r="D2786" t="s">
        <v>13</v>
      </c>
      <c r="E2786">
        <v>101500</v>
      </c>
      <c r="F2786" t="s">
        <v>99</v>
      </c>
      <c r="G2786" t="s">
        <v>15</v>
      </c>
      <c r="H2786" t="s">
        <v>16</v>
      </c>
      <c r="I2786">
        <v>1877.75</v>
      </c>
      <c r="J2786">
        <v>751.1</v>
      </c>
      <c r="K2786">
        <v>1126.6500000000001</v>
      </c>
    </row>
    <row r="2787" spans="1:11" x14ac:dyDescent="0.25">
      <c r="A2787" t="s">
        <v>2827</v>
      </c>
      <c r="B2787" s="1">
        <v>46132.192291666666</v>
      </c>
      <c r="C2787" s="2" t="s">
        <v>39</v>
      </c>
      <c r="D2787" t="s">
        <v>13</v>
      </c>
      <c r="E2787">
        <v>105000</v>
      </c>
      <c r="F2787" t="s">
        <v>50</v>
      </c>
      <c r="G2787" t="s">
        <v>34</v>
      </c>
      <c r="H2787" t="s">
        <v>16</v>
      </c>
      <c r="I2787">
        <v>1942.5</v>
      </c>
      <c r="J2787">
        <v>777</v>
      </c>
      <c r="K2787">
        <v>1165.5</v>
      </c>
    </row>
    <row r="2788" spans="1:11" x14ac:dyDescent="0.25">
      <c r="A2788" t="s">
        <v>2828</v>
      </c>
      <c r="B2788" s="1">
        <v>45883.772962962961</v>
      </c>
      <c r="C2788" s="2" t="s">
        <v>41</v>
      </c>
      <c r="D2788" t="s">
        <v>19</v>
      </c>
      <c r="E2788">
        <v>122568</v>
      </c>
      <c r="F2788" t="s">
        <v>14</v>
      </c>
      <c r="G2788" t="s">
        <v>20</v>
      </c>
      <c r="H2788" t="s">
        <v>16</v>
      </c>
      <c r="I2788">
        <v>5</v>
      </c>
      <c r="J2788">
        <v>0</v>
      </c>
      <c r="K2788">
        <v>5</v>
      </c>
    </row>
    <row r="2789" spans="1:11" x14ac:dyDescent="0.25">
      <c r="A2789" t="s">
        <v>2829</v>
      </c>
      <c r="B2789" s="1">
        <v>45923.715289351851</v>
      </c>
      <c r="C2789" s="2" t="s">
        <v>18</v>
      </c>
      <c r="D2789" t="s">
        <v>45</v>
      </c>
      <c r="E2789">
        <v>74913</v>
      </c>
      <c r="F2789" t="s">
        <v>14</v>
      </c>
      <c r="G2789" t="s">
        <v>30</v>
      </c>
      <c r="H2789" t="s">
        <v>46</v>
      </c>
      <c r="I2789">
        <v>749.13</v>
      </c>
      <c r="J2789">
        <v>0</v>
      </c>
      <c r="K2789">
        <v>749.13</v>
      </c>
    </row>
    <row r="2790" spans="1:11" x14ac:dyDescent="0.25">
      <c r="A2790" t="s">
        <v>2830</v>
      </c>
      <c r="B2790" s="1">
        <v>45893.286435185182</v>
      </c>
      <c r="C2790" s="2" t="s">
        <v>32</v>
      </c>
      <c r="D2790" t="s">
        <v>19</v>
      </c>
      <c r="E2790">
        <v>121818</v>
      </c>
      <c r="F2790" t="s">
        <v>14</v>
      </c>
      <c r="G2790" t="s">
        <v>34</v>
      </c>
      <c r="H2790" t="s">
        <v>16</v>
      </c>
      <c r="I2790">
        <v>5</v>
      </c>
      <c r="J2790">
        <v>0</v>
      </c>
      <c r="K2790">
        <v>5</v>
      </c>
    </row>
    <row r="2791" spans="1:11" x14ac:dyDescent="0.25">
      <c r="A2791" t="s">
        <v>2831</v>
      </c>
      <c r="B2791" s="1">
        <v>45842.500081018516</v>
      </c>
      <c r="C2791" s="2" t="s">
        <v>39</v>
      </c>
      <c r="D2791" t="s">
        <v>23</v>
      </c>
      <c r="E2791">
        <v>3246</v>
      </c>
      <c r="F2791" t="s">
        <v>14</v>
      </c>
      <c r="G2791" t="s">
        <v>27</v>
      </c>
      <c r="H2791" t="s">
        <v>16</v>
      </c>
      <c r="I2791">
        <v>0</v>
      </c>
      <c r="J2791">
        <v>0</v>
      </c>
      <c r="K2791">
        <v>0</v>
      </c>
    </row>
    <row r="2792" spans="1:11" x14ac:dyDescent="0.25">
      <c r="A2792" t="s">
        <v>2832</v>
      </c>
      <c r="B2792" s="1">
        <v>46107.542372685188</v>
      </c>
      <c r="C2792" s="2" t="s">
        <v>39</v>
      </c>
      <c r="D2792" t="s">
        <v>33</v>
      </c>
      <c r="E2792">
        <v>142726</v>
      </c>
      <c r="F2792" t="s">
        <v>14</v>
      </c>
      <c r="G2792" t="s">
        <v>24</v>
      </c>
      <c r="H2792" t="s">
        <v>16</v>
      </c>
      <c r="I2792">
        <v>0</v>
      </c>
      <c r="J2792">
        <v>0</v>
      </c>
      <c r="K2792">
        <v>0</v>
      </c>
    </row>
    <row r="2793" spans="1:11" x14ac:dyDescent="0.25">
      <c r="A2793" t="s">
        <v>2833</v>
      </c>
      <c r="B2793" s="1">
        <v>45849.732951388891</v>
      </c>
      <c r="C2793" s="2" t="s">
        <v>41</v>
      </c>
      <c r="D2793" t="s">
        <v>23</v>
      </c>
      <c r="E2793">
        <v>4197</v>
      </c>
      <c r="F2793" t="s">
        <v>14</v>
      </c>
      <c r="G2793" t="s">
        <v>51</v>
      </c>
      <c r="H2793" t="s">
        <v>16</v>
      </c>
      <c r="I2793">
        <v>0</v>
      </c>
      <c r="J2793">
        <v>0</v>
      </c>
      <c r="K2793">
        <v>0</v>
      </c>
    </row>
    <row r="2794" spans="1:11" x14ac:dyDescent="0.25">
      <c r="A2794" t="s">
        <v>2834</v>
      </c>
      <c r="B2794" s="1">
        <v>46012.549155092594</v>
      </c>
      <c r="C2794" s="2" t="s">
        <v>39</v>
      </c>
      <c r="D2794" t="s">
        <v>13</v>
      </c>
      <c r="E2794">
        <v>147000</v>
      </c>
      <c r="F2794" t="s">
        <v>14</v>
      </c>
      <c r="G2794" t="s">
        <v>84</v>
      </c>
      <c r="H2794" t="s">
        <v>16</v>
      </c>
      <c r="I2794">
        <v>2719.5</v>
      </c>
      <c r="J2794">
        <v>1087.8</v>
      </c>
      <c r="K2794">
        <v>1631.7</v>
      </c>
    </row>
    <row r="2795" spans="1:11" x14ac:dyDescent="0.25">
      <c r="A2795" t="s">
        <v>2835</v>
      </c>
      <c r="B2795" s="1">
        <v>45800.670659722222</v>
      </c>
      <c r="C2795" s="2" t="s">
        <v>41</v>
      </c>
      <c r="D2795" t="s">
        <v>13</v>
      </c>
      <c r="E2795">
        <v>15000</v>
      </c>
      <c r="F2795" t="s">
        <v>14</v>
      </c>
      <c r="G2795" t="s">
        <v>58</v>
      </c>
      <c r="H2795" t="s">
        <v>16</v>
      </c>
      <c r="I2795">
        <v>277.5</v>
      </c>
      <c r="J2795">
        <v>111</v>
      </c>
      <c r="K2795">
        <v>166.5</v>
      </c>
    </row>
    <row r="2796" spans="1:11" x14ac:dyDescent="0.25">
      <c r="A2796" t="s">
        <v>2836</v>
      </c>
      <c r="B2796" s="1">
        <v>45969.644224537034</v>
      </c>
      <c r="C2796" s="2" t="s">
        <v>29</v>
      </c>
      <c r="D2796" t="s">
        <v>23</v>
      </c>
      <c r="E2796">
        <v>2982</v>
      </c>
      <c r="F2796" t="s">
        <v>14</v>
      </c>
      <c r="G2796" t="s">
        <v>27</v>
      </c>
      <c r="H2796" t="s">
        <v>16</v>
      </c>
      <c r="I2796">
        <v>0</v>
      </c>
      <c r="J2796">
        <v>0</v>
      </c>
      <c r="K2796">
        <v>0</v>
      </c>
    </row>
    <row r="2797" spans="1:11" x14ac:dyDescent="0.25">
      <c r="A2797" t="s">
        <v>2837</v>
      </c>
      <c r="B2797" s="1">
        <v>46023.093935185185</v>
      </c>
      <c r="C2797" s="2" t="s">
        <v>26</v>
      </c>
      <c r="D2797" t="s">
        <v>23</v>
      </c>
      <c r="E2797">
        <v>4846</v>
      </c>
      <c r="F2797" t="s">
        <v>14</v>
      </c>
      <c r="G2797" t="s">
        <v>34</v>
      </c>
      <c r="H2797" t="s">
        <v>16</v>
      </c>
      <c r="I2797">
        <v>0</v>
      </c>
      <c r="J2797">
        <v>0</v>
      </c>
      <c r="K2797">
        <v>0</v>
      </c>
    </row>
    <row r="2798" spans="1:11" x14ac:dyDescent="0.25">
      <c r="A2798" t="s">
        <v>2838</v>
      </c>
      <c r="B2798" s="1">
        <v>45962.63071759259</v>
      </c>
      <c r="C2798" s="2" t="s">
        <v>29</v>
      </c>
      <c r="D2798" t="s">
        <v>19</v>
      </c>
      <c r="E2798">
        <v>97419</v>
      </c>
      <c r="F2798" t="s">
        <v>14</v>
      </c>
      <c r="G2798" t="s">
        <v>27</v>
      </c>
      <c r="H2798" t="s">
        <v>16</v>
      </c>
      <c r="I2798">
        <v>5</v>
      </c>
      <c r="J2798">
        <v>0</v>
      </c>
      <c r="K2798">
        <v>5</v>
      </c>
    </row>
    <row r="2799" spans="1:11" x14ac:dyDescent="0.25">
      <c r="A2799" t="s">
        <v>2839</v>
      </c>
      <c r="B2799" s="1">
        <v>45990.542384259257</v>
      </c>
      <c r="C2799" s="2" t="s">
        <v>18</v>
      </c>
      <c r="D2799" t="s">
        <v>45</v>
      </c>
      <c r="E2799">
        <v>63075</v>
      </c>
      <c r="F2799" t="s">
        <v>99</v>
      </c>
      <c r="G2799" t="s">
        <v>34</v>
      </c>
      <c r="H2799" t="s">
        <v>59</v>
      </c>
      <c r="I2799">
        <v>630.75</v>
      </c>
      <c r="J2799">
        <v>0</v>
      </c>
      <c r="K2799">
        <v>630.75</v>
      </c>
    </row>
    <row r="2800" spans="1:11" x14ac:dyDescent="0.25">
      <c r="A2800" t="s">
        <v>2840</v>
      </c>
      <c r="B2800" s="1">
        <v>45939.89167824074</v>
      </c>
      <c r="C2800" s="2" t="s">
        <v>12</v>
      </c>
      <c r="D2800" t="s">
        <v>23</v>
      </c>
      <c r="E2800">
        <v>2134</v>
      </c>
      <c r="F2800" t="s">
        <v>50</v>
      </c>
      <c r="G2800" t="s">
        <v>51</v>
      </c>
      <c r="H2800" t="s">
        <v>16</v>
      </c>
      <c r="I2800">
        <v>0</v>
      </c>
      <c r="J2800">
        <v>0</v>
      </c>
      <c r="K2800">
        <v>0</v>
      </c>
    </row>
    <row r="2801" spans="1:11" x14ac:dyDescent="0.25">
      <c r="A2801" t="s">
        <v>2841</v>
      </c>
      <c r="B2801" s="1">
        <v>45911.362268518518</v>
      </c>
      <c r="C2801" s="2" t="s">
        <v>22</v>
      </c>
      <c r="D2801" t="s">
        <v>19</v>
      </c>
      <c r="E2801">
        <v>112858</v>
      </c>
      <c r="F2801" t="s">
        <v>14</v>
      </c>
      <c r="G2801" t="s">
        <v>15</v>
      </c>
      <c r="H2801" t="s">
        <v>16</v>
      </c>
      <c r="I2801">
        <v>5</v>
      </c>
      <c r="J2801">
        <v>0</v>
      </c>
      <c r="K2801">
        <v>5</v>
      </c>
    </row>
    <row r="2802" spans="1:11" x14ac:dyDescent="0.25">
      <c r="A2802" t="s">
        <v>2842</v>
      </c>
      <c r="B2802" s="1">
        <v>45807.569687499999</v>
      </c>
      <c r="C2802" s="2" t="s">
        <v>18</v>
      </c>
      <c r="D2802" t="s">
        <v>45</v>
      </c>
      <c r="E2802">
        <v>127568</v>
      </c>
      <c r="F2802" t="s">
        <v>14</v>
      </c>
      <c r="G2802" t="s">
        <v>15</v>
      </c>
      <c r="H2802" t="s">
        <v>46</v>
      </c>
      <c r="I2802">
        <v>1275.68</v>
      </c>
      <c r="J2802">
        <v>0</v>
      </c>
      <c r="K2802">
        <v>1275.68</v>
      </c>
    </row>
    <row r="2803" spans="1:11" x14ac:dyDescent="0.25">
      <c r="A2803" t="s">
        <v>2843</v>
      </c>
      <c r="B2803" s="1">
        <v>46092.614629629628</v>
      </c>
      <c r="C2803" s="2" t="s">
        <v>22</v>
      </c>
      <c r="D2803" t="s">
        <v>33</v>
      </c>
      <c r="E2803">
        <v>122065</v>
      </c>
      <c r="F2803" t="s">
        <v>14</v>
      </c>
      <c r="G2803" t="s">
        <v>58</v>
      </c>
      <c r="H2803" t="s">
        <v>16</v>
      </c>
      <c r="I2803">
        <v>0</v>
      </c>
      <c r="J2803">
        <v>0</v>
      </c>
      <c r="K2803">
        <v>0</v>
      </c>
    </row>
    <row r="2804" spans="1:11" x14ac:dyDescent="0.25">
      <c r="A2804" t="s">
        <v>2844</v>
      </c>
      <c r="B2804" s="1">
        <v>45930.040937500002</v>
      </c>
      <c r="C2804" s="2" t="s">
        <v>26</v>
      </c>
      <c r="D2804" t="s">
        <v>33</v>
      </c>
      <c r="E2804">
        <v>82699</v>
      </c>
      <c r="F2804" t="s">
        <v>50</v>
      </c>
      <c r="G2804" t="s">
        <v>34</v>
      </c>
      <c r="H2804" t="s">
        <v>16</v>
      </c>
      <c r="I2804">
        <v>0</v>
      </c>
      <c r="J2804">
        <v>0</v>
      </c>
      <c r="K2804">
        <v>0</v>
      </c>
    </row>
    <row r="2805" spans="1:11" x14ac:dyDescent="0.25">
      <c r="A2805" t="s">
        <v>2845</v>
      </c>
      <c r="B2805" s="1">
        <v>45785.202638888892</v>
      </c>
      <c r="C2805" s="2" t="s">
        <v>32</v>
      </c>
      <c r="D2805" t="s">
        <v>23</v>
      </c>
      <c r="E2805">
        <v>610</v>
      </c>
      <c r="F2805" t="s">
        <v>99</v>
      </c>
      <c r="G2805" t="s">
        <v>58</v>
      </c>
      <c r="H2805" t="s">
        <v>16</v>
      </c>
      <c r="I2805">
        <v>0</v>
      </c>
      <c r="J2805">
        <v>0</v>
      </c>
      <c r="K2805">
        <v>0</v>
      </c>
    </row>
    <row r="2806" spans="1:11" x14ac:dyDescent="0.25">
      <c r="A2806" t="s">
        <v>2846</v>
      </c>
      <c r="B2806" s="1">
        <v>45784.801516203705</v>
      </c>
      <c r="C2806" s="2" t="s">
        <v>39</v>
      </c>
      <c r="D2806" t="s">
        <v>45</v>
      </c>
      <c r="E2806">
        <v>61271</v>
      </c>
      <c r="F2806" t="s">
        <v>14</v>
      </c>
      <c r="G2806" t="s">
        <v>20</v>
      </c>
      <c r="H2806" t="s">
        <v>56</v>
      </c>
      <c r="I2806">
        <v>612.71</v>
      </c>
      <c r="J2806">
        <v>0</v>
      </c>
      <c r="K2806">
        <v>612.71</v>
      </c>
    </row>
    <row r="2807" spans="1:11" x14ac:dyDescent="0.25">
      <c r="A2807" t="s">
        <v>2847</v>
      </c>
      <c r="B2807" s="1">
        <v>46023.478263888886</v>
      </c>
      <c r="C2807" s="2" t="s">
        <v>32</v>
      </c>
      <c r="D2807" t="s">
        <v>23</v>
      </c>
      <c r="E2807">
        <v>560</v>
      </c>
      <c r="F2807" t="s">
        <v>14</v>
      </c>
      <c r="G2807" t="s">
        <v>24</v>
      </c>
      <c r="H2807" t="s">
        <v>16</v>
      </c>
      <c r="I2807">
        <v>0</v>
      </c>
      <c r="J2807">
        <v>0</v>
      </c>
      <c r="K2807">
        <v>0</v>
      </c>
    </row>
    <row r="2808" spans="1:11" x14ac:dyDescent="0.25">
      <c r="A2808" t="s">
        <v>2848</v>
      </c>
      <c r="B2808" s="1">
        <v>45968.45208333333</v>
      </c>
      <c r="C2808" s="2" t="s">
        <v>26</v>
      </c>
      <c r="D2808" t="s">
        <v>19</v>
      </c>
      <c r="E2808">
        <v>7780</v>
      </c>
      <c r="F2808" t="s">
        <v>14</v>
      </c>
      <c r="G2808" t="s">
        <v>34</v>
      </c>
      <c r="H2808" t="s">
        <v>16</v>
      </c>
      <c r="I2808">
        <v>5</v>
      </c>
      <c r="J2808">
        <v>0</v>
      </c>
      <c r="K2808">
        <v>5</v>
      </c>
    </row>
    <row r="2809" spans="1:11" x14ac:dyDescent="0.25">
      <c r="A2809" t="s">
        <v>2849</v>
      </c>
      <c r="B2809" s="1">
        <v>45897.385185185187</v>
      </c>
      <c r="C2809" s="2" t="s">
        <v>12</v>
      </c>
      <c r="D2809" t="s">
        <v>23</v>
      </c>
      <c r="E2809">
        <v>1096</v>
      </c>
      <c r="F2809" t="s">
        <v>14</v>
      </c>
      <c r="G2809" t="s">
        <v>30</v>
      </c>
      <c r="H2809" t="s">
        <v>16</v>
      </c>
      <c r="I2809">
        <v>0</v>
      </c>
      <c r="J2809">
        <v>0</v>
      </c>
      <c r="K2809">
        <v>0</v>
      </c>
    </row>
    <row r="2810" spans="1:11" x14ac:dyDescent="0.25">
      <c r="A2810" t="s">
        <v>2850</v>
      </c>
      <c r="B2810" s="1">
        <v>45978.525810185187</v>
      </c>
      <c r="C2810" s="2" t="s">
        <v>18</v>
      </c>
      <c r="D2810" t="s">
        <v>33</v>
      </c>
      <c r="E2810">
        <v>78952</v>
      </c>
      <c r="F2810" t="s">
        <v>99</v>
      </c>
      <c r="G2810" t="s">
        <v>27</v>
      </c>
      <c r="H2810" t="s">
        <v>16</v>
      </c>
      <c r="I2810">
        <v>0</v>
      </c>
      <c r="J2810">
        <v>0</v>
      </c>
      <c r="K2810">
        <v>0</v>
      </c>
    </row>
    <row r="2811" spans="1:11" x14ac:dyDescent="0.25">
      <c r="A2811" t="s">
        <v>2851</v>
      </c>
      <c r="B2811" s="1">
        <v>46129.800046296295</v>
      </c>
      <c r="C2811" s="2" t="s">
        <v>26</v>
      </c>
      <c r="D2811" t="s">
        <v>13</v>
      </c>
      <c r="E2811">
        <v>33000</v>
      </c>
      <c r="F2811" t="s">
        <v>50</v>
      </c>
      <c r="G2811" t="s">
        <v>15</v>
      </c>
      <c r="H2811" t="s">
        <v>16</v>
      </c>
      <c r="I2811">
        <v>610.5</v>
      </c>
      <c r="J2811">
        <v>244.2</v>
      </c>
      <c r="K2811">
        <v>366.3</v>
      </c>
    </row>
    <row r="2812" spans="1:11" x14ac:dyDescent="0.25">
      <c r="A2812" t="s">
        <v>2852</v>
      </c>
      <c r="B2812" s="1">
        <v>45933.92491898148</v>
      </c>
      <c r="C2812" s="2" t="s">
        <v>12</v>
      </c>
      <c r="D2812" t="s">
        <v>23</v>
      </c>
      <c r="E2812">
        <v>3489</v>
      </c>
      <c r="F2812" t="s">
        <v>14</v>
      </c>
      <c r="G2812" t="s">
        <v>34</v>
      </c>
      <c r="H2812" t="s">
        <v>16</v>
      </c>
      <c r="I2812">
        <v>0</v>
      </c>
      <c r="J2812">
        <v>0</v>
      </c>
      <c r="K2812">
        <v>0</v>
      </c>
    </row>
    <row r="2813" spans="1:11" x14ac:dyDescent="0.25">
      <c r="A2813" t="s">
        <v>2853</v>
      </c>
      <c r="B2813" s="1">
        <v>45874.52952546296</v>
      </c>
      <c r="C2813" s="2" t="s">
        <v>29</v>
      </c>
      <c r="D2813" t="s">
        <v>33</v>
      </c>
      <c r="E2813">
        <v>27235</v>
      </c>
      <c r="F2813" t="s">
        <v>50</v>
      </c>
      <c r="G2813" t="s">
        <v>24</v>
      </c>
      <c r="H2813" t="s">
        <v>16</v>
      </c>
      <c r="I2813">
        <v>0</v>
      </c>
      <c r="J2813">
        <v>0</v>
      </c>
      <c r="K2813">
        <v>0</v>
      </c>
    </row>
    <row r="2814" spans="1:11" x14ac:dyDescent="0.25">
      <c r="A2814" t="s">
        <v>2854</v>
      </c>
      <c r="B2814" s="1">
        <v>46136.433761574073</v>
      </c>
      <c r="C2814" s="2" t="s">
        <v>39</v>
      </c>
      <c r="D2814" t="s">
        <v>23</v>
      </c>
      <c r="E2814">
        <v>3157</v>
      </c>
      <c r="F2814" t="s">
        <v>14</v>
      </c>
      <c r="G2814" t="s">
        <v>30</v>
      </c>
      <c r="H2814" t="s">
        <v>16</v>
      </c>
      <c r="I2814">
        <v>0</v>
      </c>
      <c r="J2814">
        <v>0</v>
      </c>
      <c r="K2814">
        <v>0</v>
      </c>
    </row>
    <row r="2815" spans="1:11" x14ac:dyDescent="0.25">
      <c r="A2815" t="s">
        <v>2855</v>
      </c>
      <c r="B2815" s="1">
        <v>45889.090185185189</v>
      </c>
      <c r="C2815" s="2" t="s">
        <v>12</v>
      </c>
      <c r="D2815" t="s">
        <v>23</v>
      </c>
      <c r="E2815">
        <v>645</v>
      </c>
      <c r="F2815" t="s">
        <v>14</v>
      </c>
      <c r="G2815" t="s">
        <v>27</v>
      </c>
      <c r="H2815" t="s">
        <v>16</v>
      </c>
      <c r="I2815">
        <v>0</v>
      </c>
      <c r="J2815">
        <v>0</v>
      </c>
      <c r="K2815">
        <v>0</v>
      </c>
    </row>
    <row r="2816" spans="1:11" x14ac:dyDescent="0.25">
      <c r="A2816" t="s">
        <v>2856</v>
      </c>
      <c r="B2816" s="1">
        <v>45994.562118055554</v>
      </c>
      <c r="C2816" s="2" t="s">
        <v>26</v>
      </c>
      <c r="D2816" t="s">
        <v>45</v>
      </c>
      <c r="E2816">
        <v>110331</v>
      </c>
      <c r="F2816" t="s">
        <v>99</v>
      </c>
      <c r="G2816" t="s">
        <v>24</v>
      </c>
      <c r="H2816" t="s">
        <v>46</v>
      </c>
      <c r="I2816">
        <v>1103.31</v>
      </c>
      <c r="J2816">
        <v>0</v>
      </c>
      <c r="K2816">
        <v>1103.31</v>
      </c>
    </row>
    <row r="2817" spans="1:11" x14ac:dyDescent="0.25">
      <c r="A2817" t="s">
        <v>2857</v>
      </c>
      <c r="B2817" s="1">
        <v>45900.322754629633</v>
      </c>
      <c r="C2817" s="2" t="s">
        <v>18</v>
      </c>
      <c r="D2817" t="s">
        <v>13</v>
      </c>
      <c r="E2817">
        <v>10000</v>
      </c>
      <c r="F2817" t="s">
        <v>14</v>
      </c>
      <c r="G2817" t="s">
        <v>15</v>
      </c>
      <c r="H2817" t="s">
        <v>16</v>
      </c>
      <c r="I2817">
        <v>185</v>
      </c>
      <c r="J2817">
        <v>74</v>
      </c>
      <c r="K2817">
        <v>111</v>
      </c>
    </row>
    <row r="2818" spans="1:11" x14ac:dyDescent="0.25">
      <c r="A2818" t="s">
        <v>2858</v>
      </c>
      <c r="B2818" s="1">
        <v>46139.271817129629</v>
      </c>
      <c r="C2818" s="2" t="s">
        <v>39</v>
      </c>
      <c r="D2818" t="s">
        <v>33</v>
      </c>
      <c r="E2818">
        <v>100114</v>
      </c>
      <c r="F2818" t="s">
        <v>14</v>
      </c>
      <c r="G2818" t="s">
        <v>84</v>
      </c>
      <c r="H2818" t="s">
        <v>16</v>
      </c>
      <c r="I2818">
        <v>0</v>
      </c>
      <c r="J2818">
        <v>0</v>
      </c>
      <c r="K2818">
        <v>0</v>
      </c>
    </row>
    <row r="2819" spans="1:11" x14ac:dyDescent="0.25">
      <c r="A2819" t="s">
        <v>2859</v>
      </c>
      <c r="B2819" s="1">
        <v>46026.708819444444</v>
      </c>
      <c r="C2819" s="2" t="s">
        <v>41</v>
      </c>
      <c r="D2819" t="s">
        <v>45</v>
      </c>
      <c r="E2819">
        <v>97682</v>
      </c>
      <c r="F2819" t="s">
        <v>14</v>
      </c>
      <c r="G2819" t="s">
        <v>34</v>
      </c>
      <c r="H2819" t="s">
        <v>46</v>
      </c>
      <c r="I2819">
        <v>976.82</v>
      </c>
      <c r="J2819">
        <v>0</v>
      </c>
      <c r="K2819">
        <v>976.82</v>
      </c>
    </row>
    <row r="2820" spans="1:11" x14ac:dyDescent="0.25">
      <c r="A2820" t="s">
        <v>2860</v>
      </c>
      <c r="B2820" s="1">
        <v>45943.505648148152</v>
      </c>
      <c r="C2820" s="2" t="s">
        <v>39</v>
      </c>
      <c r="D2820" t="s">
        <v>19</v>
      </c>
      <c r="E2820">
        <v>46395</v>
      </c>
      <c r="F2820" t="s">
        <v>14</v>
      </c>
      <c r="G2820" t="s">
        <v>51</v>
      </c>
      <c r="H2820" t="s">
        <v>16</v>
      </c>
      <c r="I2820">
        <v>5</v>
      </c>
      <c r="J2820">
        <v>0</v>
      </c>
      <c r="K2820">
        <v>5</v>
      </c>
    </row>
    <row r="2821" spans="1:11" x14ac:dyDescent="0.25">
      <c r="A2821" t="s">
        <v>2861</v>
      </c>
      <c r="B2821" s="1">
        <v>46076.838541666664</v>
      </c>
      <c r="C2821" s="2" t="s">
        <v>12</v>
      </c>
      <c r="D2821" t="s">
        <v>33</v>
      </c>
      <c r="E2821">
        <v>108843</v>
      </c>
      <c r="F2821" t="s">
        <v>14</v>
      </c>
      <c r="G2821" t="s">
        <v>30</v>
      </c>
      <c r="H2821" t="s">
        <v>16</v>
      </c>
      <c r="I2821">
        <v>0</v>
      </c>
      <c r="J2821">
        <v>0</v>
      </c>
      <c r="K2821">
        <v>0</v>
      </c>
    </row>
    <row r="2822" spans="1:11" x14ac:dyDescent="0.25">
      <c r="A2822" t="s">
        <v>2862</v>
      </c>
      <c r="B2822" s="1">
        <v>45928.424432870372</v>
      </c>
      <c r="C2822" s="2" t="s">
        <v>18</v>
      </c>
      <c r="D2822" t="s">
        <v>45</v>
      </c>
      <c r="E2822">
        <v>29767</v>
      </c>
      <c r="F2822" t="s">
        <v>14</v>
      </c>
      <c r="G2822" t="s">
        <v>84</v>
      </c>
      <c r="H2822" t="s">
        <v>178</v>
      </c>
      <c r="I2822">
        <v>297.67</v>
      </c>
      <c r="J2822">
        <v>0</v>
      </c>
      <c r="K2822">
        <v>297.67</v>
      </c>
    </row>
    <row r="2823" spans="1:11" x14ac:dyDescent="0.25">
      <c r="A2823" t="s">
        <v>2863</v>
      </c>
      <c r="B2823" s="1">
        <v>45816.05023148148</v>
      </c>
      <c r="C2823" s="2" t="s">
        <v>18</v>
      </c>
      <c r="D2823" t="s">
        <v>13</v>
      </c>
      <c r="E2823">
        <v>105000</v>
      </c>
      <c r="F2823" t="s">
        <v>14</v>
      </c>
      <c r="G2823" t="s">
        <v>27</v>
      </c>
      <c r="H2823" t="s">
        <v>16</v>
      </c>
      <c r="I2823">
        <v>1942.5</v>
      </c>
      <c r="J2823">
        <v>777</v>
      </c>
      <c r="K2823">
        <v>1165.5</v>
      </c>
    </row>
    <row r="2824" spans="1:11" x14ac:dyDescent="0.25">
      <c r="A2824" t="s">
        <v>2864</v>
      </c>
      <c r="B2824" s="1">
        <v>45934.30164351852</v>
      </c>
      <c r="C2824" s="2" t="s">
        <v>26</v>
      </c>
      <c r="D2824" t="s">
        <v>45</v>
      </c>
      <c r="E2824">
        <v>57309</v>
      </c>
      <c r="F2824" t="s">
        <v>14</v>
      </c>
      <c r="G2824" t="s">
        <v>58</v>
      </c>
      <c r="H2824" t="s">
        <v>178</v>
      </c>
      <c r="I2824">
        <v>573.09</v>
      </c>
      <c r="J2824">
        <v>0</v>
      </c>
      <c r="K2824">
        <v>573.09</v>
      </c>
    </row>
    <row r="2825" spans="1:11" x14ac:dyDescent="0.25">
      <c r="A2825" t="s">
        <v>2865</v>
      </c>
      <c r="B2825" s="1">
        <v>45862.204687500001</v>
      </c>
      <c r="C2825" s="2" t="s">
        <v>12</v>
      </c>
      <c r="D2825" t="s">
        <v>23</v>
      </c>
      <c r="E2825">
        <v>1974</v>
      </c>
      <c r="F2825" t="s">
        <v>14</v>
      </c>
      <c r="G2825" t="s">
        <v>58</v>
      </c>
      <c r="H2825" t="s">
        <v>16</v>
      </c>
      <c r="I2825">
        <v>0</v>
      </c>
      <c r="J2825">
        <v>0</v>
      </c>
      <c r="K2825">
        <v>0</v>
      </c>
    </row>
    <row r="2826" spans="1:11" x14ac:dyDescent="0.25">
      <c r="A2826" t="s">
        <v>2866</v>
      </c>
      <c r="B2826" s="1">
        <v>45989.940046296295</v>
      </c>
      <c r="C2826" s="2" t="s">
        <v>22</v>
      </c>
      <c r="D2826" t="s">
        <v>23</v>
      </c>
      <c r="E2826">
        <v>1707</v>
      </c>
      <c r="F2826" t="s">
        <v>14</v>
      </c>
      <c r="G2826" t="s">
        <v>51</v>
      </c>
      <c r="H2826" t="s">
        <v>16</v>
      </c>
      <c r="I2826">
        <v>0</v>
      </c>
      <c r="J2826">
        <v>0</v>
      </c>
      <c r="K2826">
        <v>0</v>
      </c>
    </row>
    <row r="2827" spans="1:11" x14ac:dyDescent="0.25">
      <c r="A2827" t="s">
        <v>2867</v>
      </c>
      <c r="B2827" s="1">
        <v>45924.157094907408</v>
      </c>
      <c r="C2827" s="2" t="s">
        <v>12</v>
      </c>
      <c r="D2827" t="s">
        <v>13</v>
      </c>
      <c r="E2827">
        <v>162000</v>
      </c>
      <c r="F2827" t="s">
        <v>14</v>
      </c>
      <c r="G2827" t="s">
        <v>51</v>
      </c>
      <c r="H2827" t="s">
        <v>16</v>
      </c>
      <c r="I2827">
        <v>2997</v>
      </c>
      <c r="J2827">
        <v>1198.8</v>
      </c>
      <c r="K2827">
        <v>1798.2</v>
      </c>
    </row>
    <row r="2828" spans="1:11" x14ac:dyDescent="0.25">
      <c r="A2828" t="s">
        <v>2868</v>
      </c>
      <c r="B2828" s="1">
        <v>45897.007476851853</v>
      </c>
      <c r="C2828" s="2" t="s">
        <v>32</v>
      </c>
      <c r="D2828" t="s">
        <v>19</v>
      </c>
      <c r="E2828">
        <v>98188</v>
      </c>
      <c r="F2828" t="s">
        <v>14</v>
      </c>
      <c r="G2828" t="s">
        <v>51</v>
      </c>
      <c r="H2828" t="s">
        <v>16</v>
      </c>
      <c r="I2828">
        <v>5</v>
      </c>
      <c r="J2828">
        <v>0</v>
      </c>
      <c r="K2828">
        <v>5</v>
      </c>
    </row>
    <row r="2829" spans="1:11" x14ac:dyDescent="0.25">
      <c r="A2829" t="s">
        <v>2869</v>
      </c>
      <c r="B2829" s="1">
        <v>45837.597453703704</v>
      </c>
      <c r="C2829" s="2" t="s">
        <v>22</v>
      </c>
      <c r="D2829" t="s">
        <v>33</v>
      </c>
      <c r="E2829">
        <v>93139</v>
      </c>
      <c r="F2829" t="s">
        <v>14</v>
      </c>
      <c r="G2829" t="s">
        <v>84</v>
      </c>
      <c r="H2829" t="s">
        <v>16</v>
      </c>
      <c r="I2829">
        <v>0</v>
      </c>
      <c r="J2829">
        <v>0</v>
      </c>
      <c r="K2829">
        <v>0</v>
      </c>
    </row>
    <row r="2830" spans="1:11" x14ac:dyDescent="0.25">
      <c r="A2830" t="s">
        <v>2870</v>
      </c>
      <c r="B2830" s="1">
        <v>46002.086909722224</v>
      </c>
      <c r="C2830" s="2" t="s">
        <v>41</v>
      </c>
      <c r="D2830" t="s">
        <v>33</v>
      </c>
      <c r="E2830">
        <v>88037</v>
      </c>
      <c r="F2830" t="s">
        <v>14</v>
      </c>
      <c r="G2830" t="s">
        <v>24</v>
      </c>
      <c r="H2830" t="s">
        <v>16</v>
      </c>
      <c r="I2830">
        <v>0</v>
      </c>
      <c r="J2830">
        <v>0</v>
      </c>
      <c r="K2830">
        <v>0</v>
      </c>
    </row>
    <row r="2831" spans="1:11" x14ac:dyDescent="0.25">
      <c r="A2831" t="s">
        <v>2871</v>
      </c>
      <c r="B2831" s="1">
        <v>45940.936886574076</v>
      </c>
      <c r="C2831" s="2" t="s">
        <v>39</v>
      </c>
      <c r="D2831" t="s">
        <v>13</v>
      </c>
      <c r="E2831">
        <v>184000</v>
      </c>
      <c r="F2831" t="s">
        <v>14</v>
      </c>
      <c r="G2831" t="s">
        <v>15</v>
      </c>
      <c r="H2831" t="s">
        <v>16</v>
      </c>
      <c r="I2831">
        <v>3404</v>
      </c>
      <c r="J2831">
        <v>1361.6</v>
      </c>
      <c r="K2831">
        <v>2042.4</v>
      </c>
    </row>
    <row r="2832" spans="1:11" x14ac:dyDescent="0.25">
      <c r="A2832" t="s">
        <v>2872</v>
      </c>
      <c r="B2832" s="1">
        <v>45852.724861111114</v>
      </c>
      <c r="C2832" s="2" t="s">
        <v>41</v>
      </c>
      <c r="D2832" t="s">
        <v>45</v>
      </c>
      <c r="E2832">
        <v>34442</v>
      </c>
      <c r="F2832" t="s">
        <v>14</v>
      </c>
      <c r="G2832" t="s">
        <v>58</v>
      </c>
      <c r="H2832" t="s">
        <v>71</v>
      </c>
      <c r="I2832">
        <v>344.42</v>
      </c>
      <c r="J2832">
        <v>0</v>
      </c>
      <c r="K2832">
        <v>344.42</v>
      </c>
    </row>
    <row r="2833" spans="1:11" x14ac:dyDescent="0.25">
      <c r="A2833" t="s">
        <v>2873</v>
      </c>
      <c r="B2833" s="1">
        <v>46019.370694444442</v>
      </c>
      <c r="C2833" s="2" t="s">
        <v>22</v>
      </c>
      <c r="D2833" t="s">
        <v>19</v>
      </c>
      <c r="E2833">
        <v>129652</v>
      </c>
      <c r="F2833" t="s">
        <v>14</v>
      </c>
      <c r="G2833" t="s">
        <v>24</v>
      </c>
      <c r="H2833" t="s">
        <v>16</v>
      </c>
      <c r="I2833">
        <v>5</v>
      </c>
      <c r="J2833">
        <v>0</v>
      </c>
      <c r="K2833">
        <v>5</v>
      </c>
    </row>
    <row r="2834" spans="1:11" x14ac:dyDescent="0.25">
      <c r="A2834" t="s">
        <v>2874</v>
      </c>
      <c r="B2834" s="1">
        <v>45868.420115740744</v>
      </c>
      <c r="C2834" s="2" t="s">
        <v>39</v>
      </c>
      <c r="D2834" t="s">
        <v>45</v>
      </c>
      <c r="E2834">
        <v>79868</v>
      </c>
      <c r="F2834" t="s">
        <v>50</v>
      </c>
      <c r="G2834" t="s">
        <v>58</v>
      </c>
      <c r="H2834" t="s">
        <v>59</v>
      </c>
      <c r="I2834">
        <v>798.68</v>
      </c>
      <c r="J2834">
        <v>0</v>
      </c>
      <c r="K2834">
        <v>798.68</v>
      </c>
    </row>
    <row r="2835" spans="1:11" x14ac:dyDescent="0.25">
      <c r="A2835" t="s">
        <v>2875</v>
      </c>
      <c r="B2835" s="1">
        <v>45980.301828703705</v>
      </c>
      <c r="C2835" s="2" t="s">
        <v>39</v>
      </c>
      <c r="D2835" t="s">
        <v>33</v>
      </c>
      <c r="E2835">
        <v>118418</v>
      </c>
      <c r="F2835" t="s">
        <v>14</v>
      </c>
      <c r="G2835" t="s">
        <v>34</v>
      </c>
      <c r="H2835" t="s">
        <v>16</v>
      </c>
      <c r="I2835">
        <v>0</v>
      </c>
      <c r="J2835">
        <v>0</v>
      </c>
      <c r="K2835">
        <v>0</v>
      </c>
    </row>
    <row r="2836" spans="1:11" x14ac:dyDescent="0.25">
      <c r="A2836" t="s">
        <v>2876</v>
      </c>
      <c r="B2836" s="1">
        <v>46021.077557870369</v>
      </c>
      <c r="C2836" s="2" t="s">
        <v>18</v>
      </c>
      <c r="D2836" t="s">
        <v>13</v>
      </c>
      <c r="E2836">
        <v>226500</v>
      </c>
      <c r="F2836" t="s">
        <v>14</v>
      </c>
      <c r="G2836" t="s">
        <v>27</v>
      </c>
      <c r="H2836" t="s">
        <v>16</v>
      </c>
      <c r="I2836">
        <v>4190.25</v>
      </c>
      <c r="J2836">
        <v>1676.1</v>
      </c>
      <c r="K2836">
        <v>2514.15</v>
      </c>
    </row>
    <row r="2837" spans="1:11" x14ac:dyDescent="0.25">
      <c r="A2837" t="s">
        <v>2877</v>
      </c>
      <c r="B2837" s="1">
        <v>46087.729768518519</v>
      </c>
      <c r="C2837" s="2" t="s">
        <v>22</v>
      </c>
      <c r="D2837" t="s">
        <v>23</v>
      </c>
      <c r="E2837">
        <v>2988</v>
      </c>
      <c r="F2837" t="s">
        <v>14</v>
      </c>
      <c r="G2837" t="s">
        <v>34</v>
      </c>
      <c r="H2837" t="s">
        <v>16</v>
      </c>
      <c r="I2837">
        <v>0</v>
      </c>
      <c r="J2837">
        <v>0</v>
      </c>
      <c r="K2837">
        <v>0</v>
      </c>
    </row>
    <row r="2838" spans="1:11" x14ac:dyDescent="0.25">
      <c r="A2838" t="s">
        <v>2878</v>
      </c>
      <c r="B2838" s="1">
        <v>46016.479618055557</v>
      </c>
      <c r="C2838" s="2" t="s">
        <v>41</v>
      </c>
      <c r="D2838" t="s">
        <v>19</v>
      </c>
      <c r="E2838">
        <v>70146</v>
      </c>
      <c r="F2838" t="s">
        <v>14</v>
      </c>
      <c r="G2838" t="s">
        <v>20</v>
      </c>
      <c r="H2838" t="s">
        <v>16</v>
      </c>
      <c r="I2838">
        <v>5</v>
      </c>
      <c r="J2838">
        <v>0</v>
      </c>
      <c r="K2838">
        <v>5</v>
      </c>
    </row>
    <row r="2839" spans="1:11" x14ac:dyDescent="0.25">
      <c r="A2839" t="s">
        <v>2879</v>
      </c>
      <c r="B2839" s="1">
        <v>45939.324826388889</v>
      </c>
      <c r="C2839" s="2" t="s">
        <v>41</v>
      </c>
      <c r="D2839" t="s">
        <v>23</v>
      </c>
      <c r="E2839">
        <v>1473</v>
      </c>
      <c r="F2839" t="s">
        <v>50</v>
      </c>
      <c r="G2839" t="s">
        <v>34</v>
      </c>
      <c r="H2839" t="s">
        <v>16</v>
      </c>
      <c r="I2839">
        <v>0</v>
      </c>
      <c r="J2839">
        <v>0</v>
      </c>
      <c r="K2839">
        <v>0</v>
      </c>
    </row>
    <row r="2840" spans="1:11" x14ac:dyDescent="0.25">
      <c r="A2840" t="s">
        <v>2880</v>
      </c>
      <c r="B2840" s="1">
        <v>45892.117303240739</v>
      </c>
      <c r="C2840" s="2" t="s">
        <v>26</v>
      </c>
      <c r="D2840" t="s">
        <v>33</v>
      </c>
      <c r="E2840">
        <v>84269</v>
      </c>
      <c r="F2840" t="s">
        <v>14</v>
      </c>
      <c r="G2840" t="s">
        <v>58</v>
      </c>
      <c r="H2840" t="s">
        <v>16</v>
      </c>
      <c r="I2840">
        <v>0</v>
      </c>
      <c r="J2840">
        <v>0</v>
      </c>
      <c r="K2840">
        <v>0</v>
      </c>
    </row>
    <row r="2841" spans="1:11" x14ac:dyDescent="0.25">
      <c r="A2841" t="s">
        <v>2881</v>
      </c>
      <c r="B2841" s="1">
        <v>46068.381701388891</v>
      </c>
      <c r="C2841" s="2" t="s">
        <v>18</v>
      </c>
      <c r="D2841" t="s">
        <v>19</v>
      </c>
      <c r="E2841">
        <v>113722</v>
      </c>
      <c r="F2841" t="s">
        <v>50</v>
      </c>
      <c r="G2841" t="s">
        <v>51</v>
      </c>
      <c r="H2841" t="s">
        <v>16</v>
      </c>
      <c r="I2841">
        <v>5</v>
      </c>
      <c r="J2841">
        <v>0</v>
      </c>
      <c r="K2841">
        <v>5</v>
      </c>
    </row>
    <row r="2842" spans="1:11" x14ac:dyDescent="0.25">
      <c r="A2842" t="s">
        <v>2882</v>
      </c>
      <c r="B2842" s="1">
        <v>45919.004293981481</v>
      </c>
      <c r="C2842" s="2" t="s">
        <v>26</v>
      </c>
      <c r="D2842" t="s">
        <v>33</v>
      </c>
      <c r="E2842">
        <v>70298</v>
      </c>
      <c r="F2842" t="s">
        <v>50</v>
      </c>
      <c r="G2842" t="s">
        <v>24</v>
      </c>
      <c r="H2842" t="s">
        <v>16</v>
      </c>
      <c r="I2842">
        <v>0</v>
      </c>
      <c r="J2842">
        <v>0</v>
      </c>
      <c r="K2842">
        <v>0</v>
      </c>
    </row>
    <row r="2843" spans="1:11" x14ac:dyDescent="0.25">
      <c r="A2843" t="s">
        <v>2883</v>
      </c>
      <c r="B2843" s="1">
        <v>46045.412499999999</v>
      </c>
      <c r="C2843" s="2" t="s">
        <v>22</v>
      </c>
      <c r="D2843" t="s">
        <v>13</v>
      </c>
      <c r="E2843">
        <v>81500</v>
      </c>
      <c r="F2843" t="s">
        <v>14</v>
      </c>
      <c r="G2843" t="s">
        <v>15</v>
      </c>
      <c r="H2843" t="s">
        <v>16</v>
      </c>
      <c r="I2843">
        <v>1507.75</v>
      </c>
      <c r="J2843">
        <v>603.1</v>
      </c>
      <c r="K2843">
        <v>904.65</v>
      </c>
    </row>
    <row r="2844" spans="1:11" x14ac:dyDescent="0.25">
      <c r="A2844" t="s">
        <v>2884</v>
      </c>
      <c r="B2844" s="1">
        <v>46034.990115740744</v>
      </c>
      <c r="C2844" s="2" t="s">
        <v>29</v>
      </c>
      <c r="D2844" t="s">
        <v>23</v>
      </c>
      <c r="E2844">
        <v>1196</v>
      </c>
      <c r="F2844" t="s">
        <v>14</v>
      </c>
      <c r="G2844" t="s">
        <v>34</v>
      </c>
      <c r="H2844" t="s">
        <v>16</v>
      </c>
      <c r="I2844">
        <v>0</v>
      </c>
      <c r="J2844">
        <v>0</v>
      </c>
      <c r="K2844">
        <v>0</v>
      </c>
    </row>
    <row r="2845" spans="1:11" x14ac:dyDescent="0.25">
      <c r="A2845" t="s">
        <v>2885</v>
      </c>
      <c r="B2845" s="1">
        <v>46078.863229166665</v>
      </c>
      <c r="C2845" s="2" t="s">
        <v>39</v>
      </c>
      <c r="D2845" t="s">
        <v>33</v>
      </c>
      <c r="E2845">
        <v>141609</v>
      </c>
      <c r="F2845" t="s">
        <v>50</v>
      </c>
      <c r="G2845" t="s">
        <v>34</v>
      </c>
      <c r="H2845" t="s">
        <v>16</v>
      </c>
      <c r="I2845">
        <v>0</v>
      </c>
      <c r="J2845">
        <v>0</v>
      </c>
      <c r="K2845">
        <v>0</v>
      </c>
    </row>
    <row r="2846" spans="1:11" x14ac:dyDescent="0.25">
      <c r="A2846" t="s">
        <v>2886</v>
      </c>
      <c r="B2846" s="1">
        <v>46070.384421296294</v>
      </c>
      <c r="C2846" s="2" t="s">
        <v>22</v>
      </c>
      <c r="D2846" t="s">
        <v>19</v>
      </c>
      <c r="E2846">
        <v>2319</v>
      </c>
      <c r="F2846" t="s">
        <v>50</v>
      </c>
      <c r="G2846" t="s">
        <v>24</v>
      </c>
      <c r="H2846" t="s">
        <v>16</v>
      </c>
      <c r="I2846">
        <v>5</v>
      </c>
      <c r="J2846">
        <v>0</v>
      </c>
      <c r="K2846">
        <v>5</v>
      </c>
    </row>
    <row r="2847" spans="1:11" x14ac:dyDescent="0.25">
      <c r="A2847" t="s">
        <v>2887</v>
      </c>
      <c r="B2847" s="1">
        <v>45870.790532407409</v>
      </c>
      <c r="C2847" s="2" t="s">
        <v>22</v>
      </c>
      <c r="D2847" t="s">
        <v>33</v>
      </c>
      <c r="E2847">
        <v>11631</v>
      </c>
      <c r="F2847" t="s">
        <v>14</v>
      </c>
      <c r="G2847" t="s">
        <v>20</v>
      </c>
      <c r="H2847" t="s">
        <v>16</v>
      </c>
      <c r="I2847">
        <v>0</v>
      </c>
      <c r="J2847">
        <v>0</v>
      </c>
      <c r="K2847">
        <v>0</v>
      </c>
    </row>
    <row r="2848" spans="1:11" x14ac:dyDescent="0.25">
      <c r="A2848" t="s">
        <v>2888</v>
      </c>
      <c r="B2848" s="1">
        <v>45925.93509259259</v>
      </c>
      <c r="C2848" s="2" t="s">
        <v>41</v>
      </c>
      <c r="D2848" t="s">
        <v>13</v>
      </c>
      <c r="E2848">
        <v>124000</v>
      </c>
      <c r="F2848" t="s">
        <v>14</v>
      </c>
      <c r="G2848" t="s">
        <v>24</v>
      </c>
      <c r="H2848" t="s">
        <v>16</v>
      </c>
      <c r="I2848">
        <v>2294</v>
      </c>
      <c r="J2848">
        <v>917.6</v>
      </c>
      <c r="K2848">
        <v>1376.4</v>
      </c>
    </row>
    <row r="2849" spans="1:11" x14ac:dyDescent="0.25">
      <c r="A2849" t="s">
        <v>2889</v>
      </c>
      <c r="B2849" s="1">
        <v>46048.552789351852</v>
      </c>
      <c r="C2849" s="2" t="s">
        <v>26</v>
      </c>
      <c r="D2849" t="s">
        <v>23</v>
      </c>
      <c r="E2849">
        <v>4459</v>
      </c>
      <c r="F2849" t="s">
        <v>14</v>
      </c>
      <c r="G2849" t="s">
        <v>34</v>
      </c>
      <c r="H2849" t="s">
        <v>16</v>
      </c>
      <c r="I2849">
        <v>0</v>
      </c>
      <c r="J2849">
        <v>0</v>
      </c>
      <c r="K2849">
        <v>0</v>
      </c>
    </row>
    <row r="2850" spans="1:11" x14ac:dyDescent="0.25">
      <c r="A2850" t="s">
        <v>2890</v>
      </c>
      <c r="B2850" s="1">
        <v>46108.249548611115</v>
      </c>
      <c r="C2850" s="2" t="s">
        <v>39</v>
      </c>
      <c r="D2850" t="s">
        <v>19</v>
      </c>
      <c r="E2850">
        <v>53424</v>
      </c>
      <c r="F2850" t="s">
        <v>14</v>
      </c>
      <c r="G2850" t="s">
        <v>58</v>
      </c>
      <c r="H2850" t="s">
        <v>16</v>
      </c>
      <c r="I2850">
        <v>5</v>
      </c>
      <c r="J2850">
        <v>0</v>
      </c>
      <c r="K2850">
        <v>5</v>
      </c>
    </row>
    <row r="2851" spans="1:11" x14ac:dyDescent="0.25">
      <c r="A2851" t="s">
        <v>2891</v>
      </c>
      <c r="B2851" s="1">
        <v>46032.541435185187</v>
      </c>
      <c r="C2851" s="2" t="s">
        <v>26</v>
      </c>
      <c r="D2851" t="s">
        <v>45</v>
      </c>
      <c r="E2851">
        <v>95338</v>
      </c>
      <c r="F2851" t="s">
        <v>14</v>
      </c>
      <c r="G2851" t="s">
        <v>51</v>
      </c>
      <c r="H2851" t="s">
        <v>56</v>
      </c>
      <c r="I2851">
        <v>953.38</v>
      </c>
      <c r="J2851">
        <v>0</v>
      </c>
      <c r="K2851">
        <v>953.38</v>
      </c>
    </row>
    <row r="2852" spans="1:11" x14ac:dyDescent="0.25">
      <c r="A2852" t="s">
        <v>2892</v>
      </c>
      <c r="B2852" s="1">
        <v>45832.17627314815</v>
      </c>
      <c r="C2852" s="2" t="s">
        <v>22</v>
      </c>
      <c r="D2852" t="s">
        <v>33</v>
      </c>
      <c r="E2852">
        <v>120444</v>
      </c>
      <c r="F2852" t="s">
        <v>14</v>
      </c>
      <c r="G2852" t="s">
        <v>30</v>
      </c>
      <c r="H2852" t="s">
        <v>16</v>
      </c>
      <c r="I2852">
        <v>0</v>
      </c>
      <c r="J2852">
        <v>0</v>
      </c>
      <c r="K2852">
        <v>0</v>
      </c>
    </row>
    <row r="2853" spans="1:11" x14ac:dyDescent="0.25">
      <c r="A2853" t="s">
        <v>2893</v>
      </c>
      <c r="B2853" s="1">
        <v>45936.545428240737</v>
      </c>
      <c r="C2853" s="2" t="s">
        <v>12</v>
      </c>
      <c r="D2853" t="s">
        <v>23</v>
      </c>
      <c r="E2853">
        <v>286</v>
      </c>
      <c r="F2853" t="s">
        <v>14</v>
      </c>
      <c r="G2853" t="s">
        <v>58</v>
      </c>
      <c r="H2853" t="s">
        <v>16</v>
      </c>
      <c r="I2853">
        <v>0</v>
      </c>
      <c r="J2853">
        <v>0</v>
      </c>
      <c r="K2853">
        <v>0</v>
      </c>
    </row>
    <row r="2854" spans="1:11" x14ac:dyDescent="0.25">
      <c r="A2854" t="s">
        <v>2894</v>
      </c>
      <c r="B2854" s="1">
        <v>45846.233101851853</v>
      </c>
      <c r="C2854" s="2" t="s">
        <v>39</v>
      </c>
      <c r="D2854" t="s">
        <v>33</v>
      </c>
      <c r="E2854">
        <v>15038</v>
      </c>
      <c r="F2854" t="s">
        <v>14</v>
      </c>
      <c r="G2854" t="s">
        <v>24</v>
      </c>
      <c r="H2854" t="s">
        <v>16</v>
      </c>
      <c r="I2854">
        <v>0</v>
      </c>
      <c r="J2854">
        <v>0</v>
      </c>
      <c r="K2854">
        <v>0</v>
      </c>
    </row>
    <row r="2855" spans="1:11" x14ac:dyDescent="0.25">
      <c r="A2855" t="s">
        <v>2895</v>
      </c>
      <c r="B2855" s="1">
        <v>45973.082152777781</v>
      </c>
      <c r="C2855" s="2" t="s">
        <v>22</v>
      </c>
      <c r="D2855" t="s">
        <v>19</v>
      </c>
      <c r="E2855">
        <v>65531</v>
      </c>
      <c r="F2855" t="s">
        <v>14</v>
      </c>
      <c r="G2855" t="s">
        <v>20</v>
      </c>
      <c r="H2855" t="s">
        <v>16</v>
      </c>
      <c r="I2855">
        <v>5</v>
      </c>
      <c r="J2855">
        <v>0</v>
      </c>
      <c r="K2855">
        <v>5</v>
      </c>
    </row>
    <row r="2856" spans="1:11" x14ac:dyDescent="0.25">
      <c r="A2856" t="s">
        <v>2896</v>
      </c>
      <c r="B2856" s="1">
        <v>45938.593009259261</v>
      </c>
      <c r="C2856" s="2" t="s">
        <v>32</v>
      </c>
      <c r="D2856" t="s">
        <v>13</v>
      </c>
      <c r="E2856">
        <v>183500</v>
      </c>
      <c r="F2856" t="s">
        <v>14</v>
      </c>
      <c r="G2856" t="s">
        <v>51</v>
      </c>
      <c r="H2856" t="s">
        <v>16</v>
      </c>
      <c r="I2856">
        <v>3394.75</v>
      </c>
      <c r="J2856">
        <v>1357.9</v>
      </c>
      <c r="K2856">
        <v>2036.85</v>
      </c>
    </row>
    <row r="2857" spans="1:11" x14ac:dyDescent="0.25">
      <c r="A2857" t="s">
        <v>2897</v>
      </c>
      <c r="B2857" s="1">
        <v>46044.174386574072</v>
      </c>
      <c r="C2857" s="2" t="s">
        <v>29</v>
      </c>
      <c r="D2857" t="s">
        <v>45</v>
      </c>
      <c r="E2857">
        <v>15575</v>
      </c>
      <c r="F2857" t="s">
        <v>14</v>
      </c>
      <c r="G2857" t="s">
        <v>30</v>
      </c>
      <c r="H2857" t="s">
        <v>46</v>
      </c>
      <c r="I2857">
        <v>155.75</v>
      </c>
      <c r="J2857">
        <v>0</v>
      </c>
      <c r="K2857">
        <v>155.75</v>
      </c>
    </row>
    <row r="2858" spans="1:11" x14ac:dyDescent="0.25">
      <c r="A2858" t="s">
        <v>2898</v>
      </c>
      <c r="B2858" s="1">
        <v>45915.840520833335</v>
      </c>
      <c r="C2858" s="2" t="s">
        <v>26</v>
      </c>
      <c r="D2858" t="s">
        <v>23</v>
      </c>
      <c r="E2858">
        <v>2597</v>
      </c>
      <c r="F2858" t="s">
        <v>14</v>
      </c>
      <c r="G2858" t="s">
        <v>34</v>
      </c>
      <c r="H2858" t="s">
        <v>16</v>
      </c>
      <c r="I2858">
        <v>0</v>
      </c>
      <c r="J2858">
        <v>0</v>
      </c>
      <c r="K2858">
        <v>0</v>
      </c>
    </row>
    <row r="2859" spans="1:11" x14ac:dyDescent="0.25">
      <c r="A2859" t="s">
        <v>2899</v>
      </c>
      <c r="B2859" s="1">
        <v>45779.888368055559</v>
      </c>
      <c r="C2859" s="2" t="s">
        <v>39</v>
      </c>
      <c r="D2859" t="s">
        <v>13</v>
      </c>
      <c r="E2859">
        <v>90500</v>
      </c>
      <c r="F2859" t="s">
        <v>50</v>
      </c>
      <c r="G2859" t="s">
        <v>58</v>
      </c>
      <c r="H2859" t="s">
        <v>16</v>
      </c>
      <c r="I2859">
        <v>1674.25</v>
      </c>
      <c r="J2859">
        <v>669.7</v>
      </c>
      <c r="K2859">
        <v>1004.55</v>
      </c>
    </row>
    <row r="2860" spans="1:11" x14ac:dyDescent="0.25">
      <c r="A2860" t="s">
        <v>2900</v>
      </c>
      <c r="B2860" s="1">
        <v>45947.61855324074</v>
      </c>
      <c r="C2860" s="2" t="s">
        <v>41</v>
      </c>
      <c r="D2860" t="s">
        <v>23</v>
      </c>
      <c r="E2860">
        <v>4316</v>
      </c>
      <c r="F2860" t="s">
        <v>14</v>
      </c>
      <c r="G2860" t="s">
        <v>58</v>
      </c>
      <c r="H2860" t="s">
        <v>16</v>
      </c>
      <c r="I2860">
        <v>0</v>
      </c>
      <c r="J2860">
        <v>0</v>
      </c>
      <c r="K2860">
        <v>0</v>
      </c>
    </row>
    <row r="2861" spans="1:11" x14ac:dyDescent="0.25">
      <c r="A2861" t="s">
        <v>2901</v>
      </c>
      <c r="B2861" s="1">
        <v>46086.34207175926</v>
      </c>
      <c r="C2861" s="2" t="s">
        <v>32</v>
      </c>
      <c r="D2861" t="s">
        <v>33</v>
      </c>
      <c r="E2861">
        <v>125531</v>
      </c>
      <c r="F2861" t="s">
        <v>99</v>
      </c>
      <c r="G2861" t="s">
        <v>58</v>
      </c>
      <c r="H2861" t="s">
        <v>16</v>
      </c>
      <c r="I2861">
        <v>0</v>
      </c>
      <c r="J2861">
        <v>0</v>
      </c>
      <c r="K2861">
        <v>0</v>
      </c>
    </row>
    <row r="2862" spans="1:11" x14ac:dyDescent="0.25">
      <c r="A2862" t="s">
        <v>2902</v>
      </c>
      <c r="B2862" s="1">
        <v>45947.680162037039</v>
      </c>
      <c r="C2862" s="2" t="s">
        <v>29</v>
      </c>
      <c r="D2862" t="s">
        <v>13</v>
      </c>
      <c r="E2862">
        <v>19000</v>
      </c>
      <c r="F2862" t="s">
        <v>14</v>
      </c>
      <c r="G2862" t="s">
        <v>24</v>
      </c>
      <c r="H2862" t="s">
        <v>16</v>
      </c>
      <c r="I2862">
        <v>351.5</v>
      </c>
      <c r="J2862">
        <v>140.6</v>
      </c>
      <c r="K2862">
        <v>210.9</v>
      </c>
    </row>
    <row r="2863" spans="1:11" x14ac:dyDescent="0.25">
      <c r="A2863" t="s">
        <v>2903</v>
      </c>
      <c r="B2863" s="1">
        <v>46084.068657407406</v>
      </c>
      <c r="C2863" s="2" t="s">
        <v>22</v>
      </c>
      <c r="D2863" t="s">
        <v>33</v>
      </c>
      <c r="E2863">
        <v>146372</v>
      </c>
      <c r="F2863" t="s">
        <v>14</v>
      </c>
      <c r="G2863" t="s">
        <v>15</v>
      </c>
      <c r="H2863" t="s">
        <v>16</v>
      </c>
      <c r="I2863">
        <v>0</v>
      </c>
      <c r="J2863">
        <v>0</v>
      </c>
      <c r="K2863">
        <v>0</v>
      </c>
    </row>
    <row r="2864" spans="1:11" x14ac:dyDescent="0.25">
      <c r="A2864" t="s">
        <v>2904</v>
      </c>
      <c r="B2864" s="1">
        <v>45982.195405092592</v>
      </c>
      <c r="C2864" s="2" t="s">
        <v>32</v>
      </c>
      <c r="D2864" t="s">
        <v>23</v>
      </c>
      <c r="E2864">
        <v>4526</v>
      </c>
      <c r="F2864" t="s">
        <v>14</v>
      </c>
      <c r="G2864" t="s">
        <v>24</v>
      </c>
      <c r="H2864" t="s">
        <v>16</v>
      </c>
      <c r="I2864">
        <v>0</v>
      </c>
      <c r="J2864">
        <v>0</v>
      </c>
      <c r="K2864">
        <v>0</v>
      </c>
    </row>
    <row r="2865" spans="1:11" x14ac:dyDescent="0.25">
      <c r="A2865" t="s">
        <v>2905</v>
      </c>
      <c r="B2865" s="1">
        <v>46026.881527777776</v>
      </c>
      <c r="C2865" s="2" t="s">
        <v>26</v>
      </c>
      <c r="D2865" t="s">
        <v>13</v>
      </c>
      <c r="E2865">
        <v>100000</v>
      </c>
      <c r="F2865" t="s">
        <v>50</v>
      </c>
      <c r="G2865" t="s">
        <v>34</v>
      </c>
      <c r="H2865" t="s">
        <v>16</v>
      </c>
      <c r="I2865">
        <v>1850</v>
      </c>
      <c r="J2865">
        <v>740</v>
      </c>
      <c r="K2865">
        <v>1110</v>
      </c>
    </row>
    <row r="2866" spans="1:11" x14ac:dyDescent="0.25">
      <c r="A2866" t="s">
        <v>2906</v>
      </c>
      <c r="B2866" s="1">
        <v>45897.847037037034</v>
      </c>
      <c r="C2866" s="2" t="s">
        <v>18</v>
      </c>
      <c r="D2866" t="s">
        <v>13</v>
      </c>
      <c r="E2866">
        <v>4000</v>
      </c>
      <c r="F2866" t="s">
        <v>50</v>
      </c>
      <c r="G2866" t="s">
        <v>34</v>
      </c>
      <c r="H2866" t="s">
        <v>16</v>
      </c>
      <c r="I2866">
        <v>74</v>
      </c>
      <c r="J2866">
        <v>29.6</v>
      </c>
      <c r="K2866">
        <v>44.4</v>
      </c>
    </row>
    <row r="2867" spans="1:11" x14ac:dyDescent="0.25">
      <c r="A2867" t="s">
        <v>2907</v>
      </c>
      <c r="B2867" s="1">
        <v>46042.856608796297</v>
      </c>
      <c r="C2867" s="2" t="s">
        <v>39</v>
      </c>
      <c r="D2867" t="s">
        <v>23</v>
      </c>
      <c r="E2867">
        <v>4593</v>
      </c>
      <c r="F2867" t="s">
        <v>14</v>
      </c>
      <c r="G2867" t="s">
        <v>34</v>
      </c>
      <c r="H2867" t="s">
        <v>16</v>
      </c>
      <c r="I2867">
        <v>0</v>
      </c>
      <c r="J2867">
        <v>0</v>
      </c>
      <c r="K2867">
        <v>0</v>
      </c>
    </row>
    <row r="2868" spans="1:11" x14ac:dyDescent="0.25">
      <c r="A2868" t="s">
        <v>2908</v>
      </c>
      <c r="B2868" s="1">
        <v>45931.049629629626</v>
      </c>
      <c r="C2868" s="2" t="s">
        <v>18</v>
      </c>
      <c r="D2868" t="s">
        <v>45</v>
      </c>
      <c r="E2868">
        <v>46136</v>
      </c>
      <c r="F2868" t="s">
        <v>14</v>
      </c>
      <c r="G2868" t="s">
        <v>30</v>
      </c>
      <c r="H2868" t="s">
        <v>46</v>
      </c>
      <c r="I2868">
        <v>461.36</v>
      </c>
      <c r="J2868">
        <v>0</v>
      </c>
      <c r="K2868">
        <v>461.36</v>
      </c>
    </row>
    <row r="2869" spans="1:11" x14ac:dyDescent="0.25">
      <c r="A2869" t="s">
        <v>2909</v>
      </c>
      <c r="B2869" s="1">
        <v>46090.834062499998</v>
      </c>
      <c r="C2869" s="2" t="s">
        <v>41</v>
      </c>
      <c r="D2869" t="s">
        <v>45</v>
      </c>
      <c r="E2869">
        <v>2799</v>
      </c>
      <c r="F2869" t="s">
        <v>14</v>
      </c>
      <c r="G2869" t="s">
        <v>27</v>
      </c>
      <c r="H2869" t="s">
        <v>56</v>
      </c>
      <c r="I2869">
        <v>27.99</v>
      </c>
      <c r="J2869">
        <v>0</v>
      </c>
      <c r="K2869">
        <v>27.99</v>
      </c>
    </row>
    <row r="2870" spans="1:11" x14ac:dyDescent="0.25">
      <c r="A2870" t="s">
        <v>2910</v>
      </c>
      <c r="B2870" s="1">
        <v>46014.868437500001</v>
      </c>
      <c r="C2870" s="2" t="s">
        <v>12</v>
      </c>
      <c r="D2870" t="s">
        <v>13</v>
      </c>
      <c r="E2870">
        <v>24500</v>
      </c>
      <c r="F2870" t="s">
        <v>50</v>
      </c>
      <c r="G2870" t="s">
        <v>15</v>
      </c>
      <c r="H2870" t="s">
        <v>16</v>
      </c>
      <c r="I2870">
        <v>453.25</v>
      </c>
      <c r="J2870">
        <v>181.3</v>
      </c>
      <c r="K2870">
        <v>271.95</v>
      </c>
    </row>
    <row r="2871" spans="1:11" x14ac:dyDescent="0.25">
      <c r="A2871" t="s">
        <v>2911</v>
      </c>
      <c r="B2871" s="1">
        <v>46046.202303240738</v>
      </c>
      <c r="C2871" s="2" t="s">
        <v>32</v>
      </c>
      <c r="D2871" t="s">
        <v>23</v>
      </c>
      <c r="E2871">
        <v>2709</v>
      </c>
      <c r="F2871" t="s">
        <v>14</v>
      </c>
      <c r="G2871" t="s">
        <v>15</v>
      </c>
      <c r="H2871" t="s">
        <v>16</v>
      </c>
      <c r="I2871">
        <v>0</v>
      </c>
      <c r="J2871">
        <v>0</v>
      </c>
      <c r="K2871">
        <v>0</v>
      </c>
    </row>
    <row r="2872" spans="1:11" x14ac:dyDescent="0.25">
      <c r="A2872" t="s">
        <v>2912</v>
      </c>
      <c r="B2872" s="1">
        <v>45982.851377314815</v>
      </c>
      <c r="C2872" s="2" t="s">
        <v>41</v>
      </c>
      <c r="D2872" t="s">
        <v>19</v>
      </c>
      <c r="E2872">
        <v>34073</v>
      </c>
      <c r="F2872" t="s">
        <v>14</v>
      </c>
      <c r="G2872" t="s">
        <v>30</v>
      </c>
      <c r="H2872" t="s">
        <v>16</v>
      </c>
      <c r="I2872">
        <v>5</v>
      </c>
      <c r="J2872">
        <v>0</v>
      </c>
      <c r="K2872">
        <v>5</v>
      </c>
    </row>
    <row r="2873" spans="1:11" x14ac:dyDescent="0.25">
      <c r="A2873" t="s">
        <v>2913</v>
      </c>
      <c r="B2873" s="1">
        <v>45910.425636574073</v>
      </c>
      <c r="C2873" s="2" t="s">
        <v>18</v>
      </c>
      <c r="D2873" t="s">
        <v>23</v>
      </c>
      <c r="E2873">
        <v>883</v>
      </c>
      <c r="F2873" t="s">
        <v>14</v>
      </c>
      <c r="G2873" t="s">
        <v>24</v>
      </c>
      <c r="H2873" t="s">
        <v>16</v>
      </c>
      <c r="I2873">
        <v>0</v>
      </c>
      <c r="J2873">
        <v>0</v>
      </c>
      <c r="K2873">
        <v>0</v>
      </c>
    </row>
    <row r="2874" spans="1:11" x14ac:dyDescent="0.25">
      <c r="A2874" t="s">
        <v>2914</v>
      </c>
      <c r="B2874" s="1">
        <v>46102.276087962964</v>
      </c>
      <c r="C2874" s="2" t="s">
        <v>22</v>
      </c>
      <c r="D2874" t="s">
        <v>33</v>
      </c>
      <c r="E2874">
        <v>112562</v>
      </c>
      <c r="F2874" t="s">
        <v>14</v>
      </c>
      <c r="G2874" t="s">
        <v>34</v>
      </c>
      <c r="H2874" t="s">
        <v>16</v>
      </c>
      <c r="I2874">
        <v>0</v>
      </c>
      <c r="J2874">
        <v>0</v>
      </c>
      <c r="K2874">
        <v>0</v>
      </c>
    </row>
    <row r="2875" spans="1:11" x14ac:dyDescent="0.25">
      <c r="A2875" t="s">
        <v>2915</v>
      </c>
      <c r="B2875" s="1">
        <v>46104.593587962961</v>
      </c>
      <c r="C2875" s="2" t="s">
        <v>12</v>
      </c>
      <c r="D2875" t="s">
        <v>19</v>
      </c>
      <c r="E2875">
        <v>39482</v>
      </c>
      <c r="F2875" t="s">
        <v>14</v>
      </c>
      <c r="G2875" t="s">
        <v>58</v>
      </c>
      <c r="H2875" t="s">
        <v>16</v>
      </c>
      <c r="I2875">
        <v>5</v>
      </c>
      <c r="J2875">
        <v>0</v>
      </c>
      <c r="K2875">
        <v>5</v>
      </c>
    </row>
    <row r="2876" spans="1:11" x14ac:dyDescent="0.25">
      <c r="A2876" t="s">
        <v>2916</v>
      </c>
      <c r="B2876" s="1">
        <v>46083.480104166665</v>
      </c>
      <c r="C2876" s="2" t="s">
        <v>18</v>
      </c>
      <c r="D2876" t="s">
        <v>19</v>
      </c>
      <c r="E2876">
        <v>53879</v>
      </c>
      <c r="F2876" t="s">
        <v>14</v>
      </c>
      <c r="G2876" t="s">
        <v>84</v>
      </c>
      <c r="H2876" t="s">
        <v>16</v>
      </c>
      <c r="I2876">
        <v>5</v>
      </c>
      <c r="J2876">
        <v>0</v>
      </c>
      <c r="K2876">
        <v>5</v>
      </c>
    </row>
    <row r="2877" spans="1:11" x14ac:dyDescent="0.25">
      <c r="A2877" t="s">
        <v>2917</v>
      </c>
      <c r="B2877" s="1">
        <v>45975.122789351852</v>
      </c>
      <c r="C2877" s="2" t="s">
        <v>41</v>
      </c>
      <c r="D2877" t="s">
        <v>19</v>
      </c>
      <c r="E2877">
        <v>57620</v>
      </c>
      <c r="F2877" t="s">
        <v>14</v>
      </c>
      <c r="G2877" t="s">
        <v>51</v>
      </c>
      <c r="H2877" t="s">
        <v>16</v>
      </c>
      <c r="I2877">
        <v>5</v>
      </c>
      <c r="J2877">
        <v>0</v>
      </c>
      <c r="K2877">
        <v>5</v>
      </c>
    </row>
    <row r="2878" spans="1:11" x14ac:dyDescent="0.25">
      <c r="A2878" t="s">
        <v>2918</v>
      </c>
      <c r="B2878" s="1">
        <v>45986.816678240742</v>
      </c>
      <c r="C2878" s="2" t="s">
        <v>18</v>
      </c>
      <c r="D2878" t="s">
        <v>13</v>
      </c>
      <c r="E2878">
        <v>130500</v>
      </c>
      <c r="F2878" t="s">
        <v>14</v>
      </c>
      <c r="G2878" t="s">
        <v>24</v>
      </c>
      <c r="H2878" t="s">
        <v>16</v>
      </c>
      <c r="I2878">
        <v>2414.25</v>
      </c>
      <c r="J2878">
        <v>965.7</v>
      </c>
      <c r="K2878">
        <v>1448.55</v>
      </c>
    </row>
    <row r="2879" spans="1:11" x14ac:dyDescent="0.25">
      <c r="A2879" t="s">
        <v>2919</v>
      </c>
      <c r="B2879" s="1">
        <v>45902.343101851853</v>
      </c>
      <c r="C2879" s="2" t="s">
        <v>12</v>
      </c>
      <c r="D2879" t="s">
        <v>45</v>
      </c>
      <c r="E2879">
        <v>138396</v>
      </c>
      <c r="F2879" t="s">
        <v>50</v>
      </c>
      <c r="G2879" t="s">
        <v>34</v>
      </c>
      <c r="H2879" t="s">
        <v>178</v>
      </c>
      <c r="I2879">
        <v>1383.96</v>
      </c>
      <c r="J2879">
        <v>0</v>
      </c>
      <c r="K2879">
        <v>1383.96</v>
      </c>
    </row>
    <row r="2880" spans="1:11" x14ac:dyDescent="0.25">
      <c r="A2880" t="s">
        <v>2920</v>
      </c>
      <c r="B2880" s="1">
        <v>45899.718414351853</v>
      </c>
      <c r="C2880" s="2" t="s">
        <v>18</v>
      </c>
      <c r="D2880" t="s">
        <v>19</v>
      </c>
      <c r="E2880">
        <v>77053</v>
      </c>
      <c r="F2880" t="s">
        <v>14</v>
      </c>
      <c r="G2880" t="s">
        <v>84</v>
      </c>
      <c r="H2880" t="s">
        <v>16</v>
      </c>
      <c r="I2880">
        <v>5</v>
      </c>
      <c r="J2880">
        <v>0</v>
      </c>
      <c r="K2880">
        <v>5</v>
      </c>
    </row>
    <row r="2881" spans="1:11" x14ac:dyDescent="0.25">
      <c r="A2881" t="s">
        <v>2921</v>
      </c>
      <c r="B2881" s="1">
        <v>45914.651678240742</v>
      </c>
      <c r="C2881" s="2" t="s">
        <v>41</v>
      </c>
      <c r="D2881" t="s">
        <v>19</v>
      </c>
      <c r="E2881">
        <v>57786</v>
      </c>
      <c r="F2881" t="s">
        <v>14</v>
      </c>
      <c r="G2881" t="s">
        <v>58</v>
      </c>
      <c r="H2881" t="s">
        <v>16</v>
      </c>
      <c r="I2881">
        <v>5</v>
      </c>
      <c r="J2881">
        <v>0</v>
      </c>
      <c r="K2881">
        <v>5</v>
      </c>
    </row>
    <row r="2882" spans="1:11" x14ac:dyDescent="0.25">
      <c r="A2882" t="s">
        <v>2922</v>
      </c>
      <c r="B2882" s="1">
        <v>45819.091504629629</v>
      </c>
      <c r="C2882" s="2" t="s">
        <v>18</v>
      </c>
      <c r="D2882" t="s">
        <v>13</v>
      </c>
      <c r="E2882">
        <v>97500</v>
      </c>
      <c r="F2882" t="s">
        <v>14</v>
      </c>
      <c r="G2882" t="s">
        <v>15</v>
      </c>
      <c r="H2882" t="s">
        <v>16</v>
      </c>
      <c r="I2882">
        <v>1803.75</v>
      </c>
      <c r="J2882">
        <v>721.5</v>
      </c>
      <c r="K2882">
        <v>1082.25</v>
      </c>
    </row>
    <row r="2883" spans="1:11" x14ac:dyDescent="0.25">
      <c r="A2883" t="s">
        <v>2923</v>
      </c>
      <c r="B2883" s="1">
        <v>46047.829479166663</v>
      </c>
      <c r="C2883" s="2" t="s">
        <v>32</v>
      </c>
      <c r="D2883" t="s">
        <v>45</v>
      </c>
      <c r="E2883">
        <v>53950</v>
      </c>
      <c r="F2883" t="s">
        <v>50</v>
      </c>
      <c r="G2883" t="s">
        <v>58</v>
      </c>
      <c r="H2883" t="s">
        <v>59</v>
      </c>
      <c r="I2883">
        <v>539.5</v>
      </c>
      <c r="J2883">
        <v>0</v>
      </c>
      <c r="K2883">
        <v>539.5</v>
      </c>
    </row>
    <row r="2884" spans="1:11" x14ac:dyDescent="0.25">
      <c r="A2884" t="s">
        <v>2924</v>
      </c>
      <c r="B2884" s="1">
        <v>45783.003067129626</v>
      </c>
      <c r="C2884" s="2" t="s">
        <v>26</v>
      </c>
      <c r="D2884" t="s">
        <v>23</v>
      </c>
      <c r="E2884">
        <v>3541</v>
      </c>
      <c r="F2884" t="s">
        <v>14</v>
      </c>
      <c r="G2884" t="s">
        <v>24</v>
      </c>
      <c r="H2884" t="s">
        <v>16</v>
      </c>
      <c r="I2884">
        <v>0</v>
      </c>
      <c r="J2884">
        <v>0</v>
      </c>
      <c r="K2884">
        <v>0</v>
      </c>
    </row>
    <row r="2885" spans="1:11" x14ac:dyDescent="0.25">
      <c r="A2885" t="s">
        <v>2925</v>
      </c>
      <c r="B2885" s="1">
        <v>45807.632037037038</v>
      </c>
      <c r="C2885" s="2" t="s">
        <v>22</v>
      </c>
      <c r="D2885" t="s">
        <v>19</v>
      </c>
      <c r="E2885">
        <v>127891</v>
      </c>
      <c r="F2885" t="s">
        <v>14</v>
      </c>
      <c r="G2885" t="s">
        <v>24</v>
      </c>
      <c r="H2885" t="s">
        <v>16</v>
      </c>
      <c r="I2885">
        <v>5</v>
      </c>
      <c r="J2885">
        <v>0</v>
      </c>
      <c r="K2885">
        <v>5</v>
      </c>
    </row>
    <row r="2886" spans="1:11" x14ac:dyDescent="0.25">
      <c r="A2886" t="s">
        <v>2926</v>
      </c>
      <c r="B2886" s="1">
        <v>45997.582118055558</v>
      </c>
      <c r="C2886" s="2" t="s">
        <v>41</v>
      </c>
      <c r="D2886" t="s">
        <v>13</v>
      </c>
      <c r="E2886">
        <v>206000</v>
      </c>
      <c r="F2886" t="s">
        <v>14</v>
      </c>
      <c r="G2886" t="s">
        <v>34</v>
      </c>
      <c r="H2886" t="s">
        <v>16</v>
      </c>
      <c r="I2886">
        <v>3811</v>
      </c>
      <c r="J2886">
        <v>1524.4</v>
      </c>
      <c r="K2886">
        <v>2286.6</v>
      </c>
    </row>
    <row r="2887" spans="1:11" x14ac:dyDescent="0.25">
      <c r="A2887" t="s">
        <v>2927</v>
      </c>
      <c r="B2887" s="1">
        <v>45979.861400462964</v>
      </c>
      <c r="C2887" s="2" t="s">
        <v>12</v>
      </c>
      <c r="D2887" t="s">
        <v>45</v>
      </c>
      <c r="E2887">
        <v>107842</v>
      </c>
      <c r="F2887" t="s">
        <v>50</v>
      </c>
      <c r="G2887" t="s">
        <v>15</v>
      </c>
      <c r="H2887" t="s">
        <v>56</v>
      </c>
      <c r="I2887">
        <v>1078.42</v>
      </c>
      <c r="J2887">
        <v>0</v>
      </c>
      <c r="K2887">
        <v>1078.42</v>
      </c>
    </row>
    <row r="2888" spans="1:11" x14ac:dyDescent="0.25">
      <c r="A2888" t="s">
        <v>2928</v>
      </c>
      <c r="B2888" s="1">
        <v>45887.771782407406</v>
      </c>
      <c r="C2888" s="2" t="s">
        <v>22</v>
      </c>
      <c r="D2888" t="s">
        <v>33</v>
      </c>
      <c r="E2888">
        <v>34128</v>
      </c>
      <c r="F2888" t="s">
        <v>14</v>
      </c>
      <c r="G2888" t="s">
        <v>20</v>
      </c>
      <c r="H2888" t="s">
        <v>16</v>
      </c>
      <c r="I2888">
        <v>0</v>
      </c>
      <c r="J2888">
        <v>0</v>
      </c>
      <c r="K2888">
        <v>0</v>
      </c>
    </row>
    <row r="2889" spans="1:11" x14ac:dyDescent="0.25">
      <c r="A2889" t="s">
        <v>2929</v>
      </c>
      <c r="B2889" s="1">
        <v>45947.355520833335</v>
      </c>
      <c r="C2889" s="2" t="s">
        <v>18</v>
      </c>
      <c r="D2889" t="s">
        <v>19</v>
      </c>
      <c r="E2889">
        <v>125342</v>
      </c>
      <c r="F2889" t="s">
        <v>50</v>
      </c>
      <c r="G2889" t="s">
        <v>27</v>
      </c>
      <c r="H2889" t="s">
        <v>16</v>
      </c>
      <c r="I2889">
        <v>5</v>
      </c>
      <c r="J2889">
        <v>0</v>
      </c>
      <c r="K2889">
        <v>5</v>
      </c>
    </row>
    <row r="2890" spans="1:11" x14ac:dyDescent="0.25">
      <c r="A2890" t="s">
        <v>2930</v>
      </c>
      <c r="B2890" s="1">
        <v>45924.413391203707</v>
      </c>
      <c r="C2890" s="2" t="s">
        <v>12</v>
      </c>
      <c r="D2890" t="s">
        <v>23</v>
      </c>
      <c r="E2890">
        <v>571</v>
      </c>
      <c r="F2890" t="s">
        <v>14</v>
      </c>
      <c r="G2890" t="s">
        <v>27</v>
      </c>
      <c r="H2890" t="s">
        <v>16</v>
      </c>
      <c r="I2890">
        <v>0</v>
      </c>
      <c r="J2890">
        <v>0</v>
      </c>
      <c r="K2890">
        <v>0</v>
      </c>
    </row>
    <row r="2891" spans="1:11" x14ac:dyDescent="0.25">
      <c r="A2891" t="s">
        <v>2931</v>
      </c>
      <c r="B2891" s="1">
        <v>46059.95722222222</v>
      </c>
      <c r="C2891" s="2" t="s">
        <v>22</v>
      </c>
      <c r="D2891" t="s">
        <v>19</v>
      </c>
      <c r="E2891">
        <v>72377</v>
      </c>
      <c r="F2891" t="s">
        <v>14</v>
      </c>
      <c r="G2891" t="s">
        <v>84</v>
      </c>
      <c r="H2891" t="s">
        <v>16</v>
      </c>
      <c r="I2891">
        <v>5</v>
      </c>
      <c r="J2891">
        <v>0</v>
      </c>
      <c r="K2891">
        <v>5</v>
      </c>
    </row>
    <row r="2892" spans="1:11" x14ac:dyDescent="0.25">
      <c r="A2892" t="s">
        <v>2932</v>
      </c>
      <c r="B2892" s="1">
        <v>46092.686990740738</v>
      </c>
      <c r="C2892" s="2" t="s">
        <v>32</v>
      </c>
      <c r="D2892" t="s">
        <v>19</v>
      </c>
      <c r="E2892">
        <v>95177</v>
      </c>
      <c r="F2892" t="s">
        <v>50</v>
      </c>
      <c r="G2892" t="s">
        <v>15</v>
      </c>
      <c r="H2892" t="s">
        <v>16</v>
      </c>
      <c r="I2892">
        <v>5</v>
      </c>
      <c r="J2892">
        <v>0</v>
      </c>
      <c r="K2892">
        <v>5</v>
      </c>
    </row>
    <row r="2893" spans="1:11" x14ac:dyDescent="0.25">
      <c r="A2893" t="s">
        <v>2933</v>
      </c>
      <c r="B2893" s="1">
        <v>45839.028391203705</v>
      </c>
      <c r="C2893" s="2" t="s">
        <v>29</v>
      </c>
      <c r="D2893" t="s">
        <v>33</v>
      </c>
      <c r="E2893">
        <v>5676</v>
      </c>
      <c r="F2893" t="s">
        <v>50</v>
      </c>
      <c r="G2893" t="s">
        <v>51</v>
      </c>
      <c r="H2893" t="s">
        <v>16</v>
      </c>
      <c r="I2893">
        <v>0</v>
      </c>
      <c r="J2893">
        <v>0</v>
      </c>
      <c r="K2893">
        <v>0</v>
      </c>
    </row>
    <row r="2894" spans="1:11" x14ac:dyDescent="0.25">
      <c r="A2894" t="s">
        <v>2934</v>
      </c>
      <c r="B2894" s="1">
        <v>46132.622418981482</v>
      </c>
      <c r="C2894" s="2" t="s">
        <v>41</v>
      </c>
      <c r="D2894" t="s">
        <v>23</v>
      </c>
      <c r="E2894">
        <v>3219</v>
      </c>
      <c r="F2894" t="s">
        <v>14</v>
      </c>
      <c r="G2894" t="s">
        <v>84</v>
      </c>
      <c r="H2894" t="s">
        <v>16</v>
      </c>
      <c r="I2894">
        <v>0</v>
      </c>
      <c r="J2894">
        <v>0</v>
      </c>
      <c r="K2894">
        <v>0</v>
      </c>
    </row>
    <row r="2895" spans="1:11" x14ac:dyDescent="0.25">
      <c r="A2895" t="s">
        <v>2935</v>
      </c>
      <c r="B2895" s="1">
        <v>45802.44730324074</v>
      </c>
      <c r="C2895" s="2" t="s">
        <v>29</v>
      </c>
      <c r="D2895" t="s">
        <v>33</v>
      </c>
      <c r="E2895">
        <v>134258</v>
      </c>
      <c r="F2895" t="s">
        <v>14</v>
      </c>
      <c r="G2895" t="s">
        <v>24</v>
      </c>
      <c r="H2895" t="s">
        <v>16</v>
      </c>
      <c r="I2895">
        <v>0</v>
      </c>
      <c r="J2895">
        <v>0</v>
      </c>
      <c r="K2895">
        <v>0</v>
      </c>
    </row>
    <row r="2896" spans="1:11" x14ac:dyDescent="0.25">
      <c r="A2896" t="s">
        <v>2936</v>
      </c>
      <c r="B2896" s="1">
        <v>46127.515497685185</v>
      </c>
      <c r="C2896" s="2" t="s">
        <v>26</v>
      </c>
      <c r="D2896" t="s">
        <v>45</v>
      </c>
      <c r="E2896">
        <v>78029</v>
      </c>
      <c r="F2896" t="s">
        <v>50</v>
      </c>
      <c r="G2896" t="s">
        <v>84</v>
      </c>
      <c r="H2896" t="s">
        <v>71</v>
      </c>
      <c r="I2896">
        <v>780.29</v>
      </c>
      <c r="J2896">
        <v>0</v>
      </c>
      <c r="K2896">
        <v>780.29</v>
      </c>
    </row>
    <row r="2897" spans="1:11" x14ac:dyDescent="0.25">
      <c r="A2897" t="s">
        <v>2937</v>
      </c>
      <c r="B2897" s="1">
        <v>46024.971053240741</v>
      </c>
      <c r="C2897" s="2" t="s">
        <v>12</v>
      </c>
      <c r="D2897" t="s">
        <v>33</v>
      </c>
      <c r="E2897">
        <v>118530</v>
      </c>
      <c r="F2897" t="s">
        <v>14</v>
      </c>
      <c r="G2897" t="s">
        <v>27</v>
      </c>
      <c r="H2897" t="s">
        <v>16</v>
      </c>
      <c r="I2897">
        <v>0</v>
      </c>
      <c r="J2897">
        <v>0</v>
      </c>
      <c r="K2897">
        <v>0</v>
      </c>
    </row>
    <row r="2898" spans="1:11" x14ac:dyDescent="0.25">
      <c r="A2898" t="s">
        <v>2938</v>
      </c>
      <c r="B2898" s="1">
        <v>45955.304305555554</v>
      </c>
      <c r="C2898" s="2" t="s">
        <v>22</v>
      </c>
      <c r="D2898" t="s">
        <v>13</v>
      </c>
      <c r="E2898">
        <v>40000</v>
      </c>
      <c r="F2898" t="s">
        <v>14</v>
      </c>
      <c r="G2898" t="s">
        <v>58</v>
      </c>
      <c r="H2898" t="s">
        <v>16</v>
      </c>
      <c r="I2898">
        <v>740</v>
      </c>
      <c r="J2898">
        <v>296</v>
      </c>
      <c r="K2898">
        <v>444</v>
      </c>
    </row>
    <row r="2899" spans="1:11" x14ac:dyDescent="0.25">
      <c r="A2899" t="s">
        <v>2939</v>
      </c>
      <c r="B2899" s="1">
        <v>46115.029629629629</v>
      </c>
      <c r="C2899" s="2" t="s">
        <v>32</v>
      </c>
      <c r="D2899" t="s">
        <v>45</v>
      </c>
      <c r="E2899">
        <v>79087</v>
      </c>
      <c r="F2899" t="s">
        <v>14</v>
      </c>
      <c r="G2899" t="s">
        <v>84</v>
      </c>
      <c r="H2899" t="s">
        <v>178</v>
      </c>
      <c r="I2899">
        <v>790.87</v>
      </c>
      <c r="J2899">
        <v>0</v>
      </c>
      <c r="K2899">
        <v>790.87</v>
      </c>
    </row>
    <row r="2900" spans="1:11" x14ac:dyDescent="0.25">
      <c r="A2900" t="s">
        <v>2940</v>
      </c>
      <c r="B2900" s="1">
        <v>46056.528923611113</v>
      </c>
      <c r="C2900" s="2" t="s">
        <v>29</v>
      </c>
      <c r="D2900" t="s">
        <v>13</v>
      </c>
      <c r="E2900">
        <v>59000</v>
      </c>
      <c r="F2900" t="s">
        <v>50</v>
      </c>
      <c r="G2900" t="s">
        <v>27</v>
      </c>
      <c r="H2900" t="s">
        <v>16</v>
      </c>
      <c r="I2900">
        <v>1091.5</v>
      </c>
      <c r="J2900">
        <v>436.6</v>
      </c>
      <c r="K2900">
        <v>654.9</v>
      </c>
    </row>
    <row r="2901" spans="1:11" x14ac:dyDescent="0.25">
      <c r="A2901" t="s">
        <v>2941</v>
      </c>
      <c r="B2901" s="1">
        <v>45897.484976851854</v>
      </c>
      <c r="C2901" s="2" t="s">
        <v>29</v>
      </c>
      <c r="D2901" t="s">
        <v>13</v>
      </c>
      <c r="E2901">
        <v>234500</v>
      </c>
      <c r="F2901" t="s">
        <v>14</v>
      </c>
      <c r="G2901" t="s">
        <v>20</v>
      </c>
      <c r="H2901" t="s">
        <v>16</v>
      </c>
      <c r="I2901">
        <v>4338.25</v>
      </c>
      <c r="J2901">
        <v>1735.3</v>
      </c>
      <c r="K2901">
        <v>2602.9499999999998</v>
      </c>
    </row>
    <row r="2902" spans="1:11" x14ac:dyDescent="0.25">
      <c r="A2902" t="s">
        <v>2942</v>
      </c>
      <c r="B2902" s="1">
        <v>46063.913587962961</v>
      </c>
      <c r="C2902" s="2" t="s">
        <v>26</v>
      </c>
      <c r="D2902" t="s">
        <v>19</v>
      </c>
      <c r="E2902">
        <v>4241</v>
      </c>
      <c r="F2902" t="s">
        <v>99</v>
      </c>
      <c r="G2902" t="s">
        <v>30</v>
      </c>
      <c r="H2902" t="s">
        <v>16</v>
      </c>
      <c r="I2902">
        <v>5</v>
      </c>
      <c r="J2902">
        <v>0</v>
      </c>
      <c r="K2902">
        <v>5</v>
      </c>
    </row>
    <row r="2903" spans="1:11" x14ac:dyDescent="0.25">
      <c r="A2903" t="s">
        <v>2943</v>
      </c>
      <c r="B2903" s="1">
        <v>45905.063391203701</v>
      </c>
      <c r="C2903" s="2" t="s">
        <v>18</v>
      </c>
      <c r="D2903" t="s">
        <v>13</v>
      </c>
      <c r="E2903">
        <v>99000</v>
      </c>
      <c r="F2903" t="s">
        <v>14</v>
      </c>
      <c r="G2903" t="s">
        <v>51</v>
      </c>
      <c r="H2903" t="s">
        <v>16</v>
      </c>
      <c r="I2903">
        <v>1831.5</v>
      </c>
      <c r="J2903">
        <v>732.6</v>
      </c>
      <c r="K2903">
        <v>1098.9000000000001</v>
      </c>
    </row>
    <row r="2904" spans="1:11" x14ac:dyDescent="0.25">
      <c r="A2904" t="s">
        <v>2944</v>
      </c>
      <c r="B2904" s="1">
        <v>46093.104618055557</v>
      </c>
      <c r="C2904" s="2" t="s">
        <v>29</v>
      </c>
      <c r="D2904" t="s">
        <v>33</v>
      </c>
      <c r="E2904">
        <v>10018</v>
      </c>
      <c r="F2904" t="s">
        <v>14</v>
      </c>
      <c r="G2904" t="s">
        <v>84</v>
      </c>
      <c r="H2904" t="s">
        <v>16</v>
      </c>
      <c r="I2904">
        <v>0</v>
      </c>
      <c r="J2904">
        <v>0</v>
      </c>
      <c r="K2904">
        <v>0</v>
      </c>
    </row>
    <row r="2905" spans="1:11" x14ac:dyDescent="0.25">
      <c r="A2905" t="s">
        <v>2945</v>
      </c>
      <c r="B2905" s="1">
        <v>46112.108668981484</v>
      </c>
      <c r="C2905" s="2" t="s">
        <v>18</v>
      </c>
      <c r="D2905" t="s">
        <v>23</v>
      </c>
      <c r="E2905">
        <v>3022</v>
      </c>
      <c r="F2905" t="s">
        <v>14</v>
      </c>
      <c r="G2905" t="s">
        <v>30</v>
      </c>
      <c r="H2905" t="s">
        <v>16</v>
      </c>
      <c r="I2905">
        <v>0</v>
      </c>
      <c r="J2905">
        <v>0</v>
      </c>
      <c r="K2905">
        <v>0</v>
      </c>
    </row>
    <row r="2906" spans="1:11" x14ac:dyDescent="0.25">
      <c r="A2906" t="s">
        <v>2946</v>
      </c>
      <c r="B2906" s="1">
        <v>46063.352662037039</v>
      </c>
      <c r="C2906" s="2" t="s">
        <v>32</v>
      </c>
      <c r="D2906" t="s">
        <v>33</v>
      </c>
      <c r="E2906">
        <v>128369</v>
      </c>
      <c r="F2906" t="s">
        <v>14</v>
      </c>
      <c r="G2906" t="s">
        <v>34</v>
      </c>
      <c r="H2906" t="s">
        <v>16</v>
      </c>
      <c r="I2906">
        <v>0</v>
      </c>
      <c r="J2906">
        <v>0</v>
      </c>
      <c r="K2906">
        <v>0</v>
      </c>
    </row>
    <row r="2907" spans="1:11" x14ac:dyDescent="0.25">
      <c r="A2907" t="s">
        <v>2947</v>
      </c>
      <c r="B2907" s="1">
        <v>45999.426689814813</v>
      </c>
      <c r="C2907" s="2" t="s">
        <v>18</v>
      </c>
      <c r="D2907" t="s">
        <v>23</v>
      </c>
      <c r="E2907">
        <v>2651</v>
      </c>
      <c r="F2907" t="s">
        <v>50</v>
      </c>
      <c r="G2907" t="s">
        <v>58</v>
      </c>
      <c r="H2907" t="s">
        <v>16</v>
      </c>
      <c r="I2907">
        <v>0</v>
      </c>
      <c r="J2907">
        <v>0</v>
      </c>
      <c r="K2907">
        <v>0</v>
      </c>
    </row>
    <row r="2908" spans="1:11" x14ac:dyDescent="0.25">
      <c r="A2908" t="s">
        <v>2948</v>
      </c>
      <c r="B2908" s="1">
        <v>45799.730682870373</v>
      </c>
      <c r="C2908" s="2" t="s">
        <v>12</v>
      </c>
      <c r="D2908" t="s">
        <v>13</v>
      </c>
      <c r="E2908">
        <v>161500</v>
      </c>
      <c r="F2908" t="s">
        <v>14</v>
      </c>
      <c r="G2908" t="s">
        <v>34</v>
      </c>
      <c r="H2908" t="s">
        <v>16</v>
      </c>
      <c r="I2908">
        <v>2987.75</v>
      </c>
      <c r="J2908">
        <v>1195.0999999999999</v>
      </c>
      <c r="K2908">
        <v>1792.65</v>
      </c>
    </row>
    <row r="2909" spans="1:11" x14ac:dyDescent="0.25">
      <c r="A2909" t="s">
        <v>2949</v>
      </c>
      <c r="B2909" s="1">
        <v>46042.568553240744</v>
      </c>
      <c r="C2909" s="2" t="s">
        <v>12</v>
      </c>
      <c r="D2909" t="s">
        <v>13</v>
      </c>
      <c r="E2909">
        <v>202500</v>
      </c>
      <c r="F2909" t="s">
        <v>99</v>
      </c>
      <c r="G2909" t="s">
        <v>84</v>
      </c>
      <c r="H2909" t="s">
        <v>16</v>
      </c>
      <c r="I2909">
        <v>3746.25</v>
      </c>
      <c r="J2909">
        <v>1498.5</v>
      </c>
      <c r="K2909">
        <v>2247.75</v>
      </c>
    </row>
    <row r="2910" spans="1:11" x14ac:dyDescent="0.25">
      <c r="A2910" t="s">
        <v>2950</v>
      </c>
      <c r="B2910" s="1">
        <v>46097.167442129627</v>
      </c>
      <c r="C2910" s="2" t="s">
        <v>26</v>
      </c>
      <c r="D2910" t="s">
        <v>45</v>
      </c>
      <c r="E2910">
        <v>121963</v>
      </c>
      <c r="F2910" t="s">
        <v>99</v>
      </c>
      <c r="G2910" t="s">
        <v>34</v>
      </c>
      <c r="H2910" t="s">
        <v>56</v>
      </c>
      <c r="I2910">
        <v>1219.6300000000001</v>
      </c>
      <c r="J2910">
        <v>0</v>
      </c>
      <c r="K2910">
        <v>1219.6300000000001</v>
      </c>
    </row>
    <row r="2911" spans="1:11" x14ac:dyDescent="0.25">
      <c r="A2911" t="s">
        <v>2951</v>
      </c>
      <c r="B2911" s="1">
        <v>46052.725474537037</v>
      </c>
      <c r="C2911" s="2" t="s">
        <v>26</v>
      </c>
      <c r="D2911" t="s">
        <v>13</v>
      </c>
      <c r="E2911">
        <v>215000</v>
      </c>
      <c r="F2911" t="s">
        <v>14</v>
      </c>
      <c r="G2911" t="s">
        <v>20</v>
      </c>
      <c r="H2911" t="s">
        <v>16</v>
      </c>
      <c r="I2911">
        <v>3977.5</v>
      </c>
      <c r="J2911">
        <v>1591</v>
      </c>
      <c r="K2911">
        <v>2386.5</v>
      </c>
    </row>
    <row r="2912" spans="1:11" x14ac:dyDescent="0.25">
      <c r="A2912" t="s">
        <v>2952</v>
      </c>
      <c r="B2912" s="1">
        <v>45937.633402777778</v>
      </c>
      <c r="C2912" s="2" t="s">
        <v>41</v>
      </c>
      <c r="D2912" t="s">
        <v>33</v>
      </c>
      <c r="E2912">
        <v>100316</v>
      </c>
      <c r="F2912" t="s">
        <v>14</v>
      </c>
      <c r="G2912" t="s">
        <v>34</v>
      </c>
      <c r="H2912" t="s">
        <v>16</v>
      </c>
      <c r="I2912">
        <v>0</v>
      </c>
      <c r="J2912">
        <v>0</v>
      </c>
      <c r="K2912">
        <v>0</v>
      </c>
    </row>
    <row r="2913" spans="1:11" x14ac:dyDescent="0.25">
      <c r="A2913" t="s">
        <v>2953</v>
      </c>
      <c r="B2913" s="1">
        <v>45902.733969907407</v>
      </c>
      <c r="C2913" s="2" t="s">
        <v>26</v>
      </c>
      <c r="D2913" t="s">
        <v>45</v>
      </c>
      <c r="E2913">
        <v>95888</v>
      </c>
      <c r="F2913" t="s">
        <v>14</v>
      </c>
      <c r="G2913" t="s">
        <v>20</v>
      </c>
      <c r="H2913" t="s">
        <v>71</v>
      </c>
      <c r="I2913">
        <v>958.88</v>
      </c>
      <c r="J2913">
        <v>0</v>
      </c>
      <c r="K2913">
        <v>958.88</v>
      </c>
    </row>
    <row r="2914" spans="1:11" x14ac:dyDescent="0.25">
      <c r="A2914" t="s">
        <v>2954</v>
      </c>
      <c r="B2914" s="1">
        <v>46079.264328703706</v>
      </c>
      <c r="C2914" s="2" t="s">
        <v>12</v>
      </c>
      <c r="D2914" t="s">
        <v>19</v>
      </c>
      <c r="E2914">
        <v>6692</v>
      </c>
      <c r="F2914" t="s">
        <v>14</v>
      </c>
      <c r="G2914" t="s">
        <v>58</v>
      </c>
      <c r="H2914" t="s">
        <v>16</v>
      </c>
      <c r="I2914">
        <v>5</v>
      </c>
      <c r="J2914">
        <v>0</v>
      </c>
      <c r="K2914">
        <v>5</v>
      </c>
    </row>
    <row r="2915" spans="1:11" x14ac:dyDescent="0.25">
      <c r="A2915" t="s">
        <v>2955</v>
      </c>
      <c r="B2915" s="1">
        <v>45865.014155092591</v>
      </c>
      <c r="C2915" s="2" t="s">
        <v>12</v>
      </c>
      <c r="D2915" t="s">
        <v>13</v>
      </c>
      <c r="E2915">
        <v>225000</v>
      </c>
      <c r="F2915" t="s">
        <v>50</v>
      </c>
      <c r="G2915" t="s">
        <v>24</v>
      </c>
      <c r="H2915" t="s">
        <v>16</v>
      </c>
      <c r="I2915">
        <v>4162.5</v>
      </c>
      <c r="J2915">
        <v>1665</v>
      </c>
      <c r="K2915">
        <v>2497.5</v>
      </c>
    </row>
    <row r="2916" spans="1:11" x14ac:dyDescent="0.25">
      <c r="A2916" t="s">
        <v>2956</v>
      </c>
      <c r="B2916" s="1">
        <v>45948.908449074072</v>
      </c>
      <c r="C2916" s="2" t="s">
        <v>22</v>
      </c>
      <c r="D2916" t="s">
        <v>19</v>
      </c>
      <c r="E2916">
        <v>50631</v>
      </c>
      <c r="F2916" t="s">
        <v>50</v>
      </c>
      <c r="G2916" t="s">
        <v>84</v>
      </c>
      <c r="H2916" t="s">
        <v>16</v>
      </c>
      <c r="I2916">
        <v>5</v>
      </c>
      <c r="J2916">
        <v>0</v>
      </c>
      <c r="K2916">
        <v>5</v>
      </c>
    </row>
    <row r="2917" spans="1:11" x14ac:dyDescent="0.25">
      <c r="A2917" t="s">
        <v>2957</v>
      </c>
      <c r="B2917" s="1">
        <v>45825.390300925923</v>
      </c>
      <c r="C2917" s="2" t="s">
        <v>29</v>
      </c>
      <c r="D2917" t="s">
        <v>19</v>
      </c>
      <c r="E2917">
        <v>17755</v>
      </c>
      <c r="F2917" t="s">
        <v>14</v>
      </c>
      <c r="G2917" t="s">
        <v>58</v>
      </c>
      <c r="H2917" t="s">
        <v>16</v>
      </c>
      <c r="I2917">
        <v>5</v>
      </c>
      <c r="J2917">
        <v>0</v>
      </c>
      <c r="K2917">
        <v>5</v>
      </c>
    </row>
    <row r="2918" spans="1:11" x14ac:dyDescent="0.25">
      <c r="A2918" t="s">
        <v>2958</v>
      </c>
      <c r="B2918" s="1">
        <v>46134.692314814813</v>
      </c>
      <c r="C2918" s="2" t="s">
        <v>39</v>
      </c>
      <c r="D2918" t="s">
        <v>45</v>
      </c>
      <c r="E2918">
        <v>101207</v>
      </c>
      <c r="F2918" t="s">
        <v>14</v>
      </c>
      <c r="G2918" t="s">
        <v>34</v>
      </c>
      <c r="H2918" t="s">
        <v>46</v>
      </c>
      <c r="I2918">
        <v>1012.07</v>
      </c>
      <c r="J2918">
        <v>0</v>
      </c>
      <c r="K2918">
        <v>1012.07</v>
      </c>
    </row>
    <row r="2919" spans="1:11" x14ac:dyDescent="0.25">
      <c r="A2919" t="s">
        <v>2959</v>
      </c>
      <c r="B2919" s="1">
        <v>45796.919675925928</v>
      </c>
      <c r="C2919" s="2" t="s">
        <v>41</v>
      </c>
      <c r="D2919" t="s">
        <v>33</v>
      </c>
      <c r="E2919">
        <v>69313</v>
      </c>
      <c r="F2919" t="s">
        <v>14</v>
      </c>
      <c r="G2919" t="s">
        <v>51</v>
      </c>
      <c r="H2919" t="s">
        <v>16</v>
      </c>
      <c r="I2919">
        <v>0</v>
      </c>
      <c r="J2919">
        <v>0</v>
      </c>
      <c r="K2919">
        <v>0</v>
      </c>
    </row>
    <row r="2920" spans="1:11" x14ac:dyDescent="0.25">
      <c r="A2920" t="s">
        <v>2960</v>
      </c>
      <c r="B2920" s="1">
        <v>45987.798750000002</v>
      </c>
      <c r="C2920" s="2" t="s">
        <v>22</v>
      </c>
      <c r="D2920" t="s">
        <v>13</v>
      </c>
      <c r="E2920">
        <v>183000</v>
      </c>
      <c r="F2920" t="s">
        <v>14</v>
      </c>
      <c r="G2920" t="s">
        <v>51</v>
      </c>
      <c r="H2920" t="s">
        <v>16</v>
      </c>
      <c r="I2920">
        <v>3385.5</v>
      </c>
      <c r="J2920">
        <v>1354.2</v>
      </c>
      <c r="K2920">
        <v>2031.3</v>
      </c>
    </row>
    <row r="2921" spans="1:11" x14ac:dyDescent="0.25">
      <c r="A2921" t="s">
        <v>2961</v>
      </c>
      <c r="B2921" s="1">
        <v>45926.75712962963</v>
      </c>
      <c r="C2921" s="2" t="s">
        <v>29</v>
      </c>
      <c r="D2921" t="s">
        <v>33</v>
      </c>
      <c r="E2921">
        <v>36329</v>
      </c>
      <c r="F2921" t="s">
        <v>14</v>
      </c>
      <c r="G2921" t="s">
        <v>34</v>
      </c>
      <c r="H2921" t="s">
        <v>16</v>
      </c>
      <c r="I2921">
        <v>0</v>
      </c>
      <c r="J2921">
        <v>0</v>
      </c>
      <c r="K2921">
        <v>0</v>
      </c>
    </row>
    <row r="2922" spans="1:11" x14ac:dyDescent="0.25">
      <c r="A2922" t="s">
        <v>2962</v>
      </c>
      <c r="B2922" s="1">
        <v>45987.631747685184</v>
      </c>
      <c r="C2922" s="2" t="s">
        <v>29</v>
      </c>
      <c r="D2922" t="s">
        <v>45</v>
      </c>
      <c r="E2922">
        <v>59163</v>
      </c>
      <c r="F2922" t="s">
        <v>14</v>
      </c>
      <c r="G2922" t="s">
        <v>15</v>
      </c>
      <c r="H2922" t="s">
        <v>178</v>
      </c>
      <c r="I2922">
        <v>591.63</v>
      </c>
      <c r="J2922">
        <v>0</v>
      </c>
      <c r="K2922">
        <v>591.63</v>
      </c>
    </row>
    <row r="2923" spans="1:11" x14ac:dyDescent="0.25">
      <c r="A2923" t="s">
        <v>2963</v>
      </c>
      <c r="B2923" s="1">
        <v>46072.758125</v>
      </c>
      <c r="C2923" s="2" t="s">
        <v>29</v>
      </c>
      <c r="D2923" t="s">
        <v>45</v>
      </c>
      <c r="E2923">
        <v>16723</v>
      </c>
      <c r="F2923" t="s">
        <v>50</v>
      </c>
      <c r="G2923" t="s">
        <v>58</v>
      </c>
      <c r="H2923" t="s">
        <v>71</v>
      </c>
      <c r="I2923">
        <v>167.23</v>
      </c>
      <c r="J2923">
        <v>0</v>
      </c>
      <c r="K2923">
        <v>167.23</v>
      </c>
    </row>
    <row r="2924" spans="1:11" x14ac:dyDescent="0.25">
      <c r="A2924" t="s">
        <v>2964</v>
      </c>
      <c r="B2924" s="1">
        <v>45964.265567129631</v>
      </c>
      <c r="C2924" s="2" t="s">
        <v>12</v>
      </c>
      <c r="D2924" t="s">
        <v>23</v>
      </c>
      <c r="E2924">
        <v>1830</v>
      </c>
      <c r="F2924" t="s">
        <v>14</v>
      </c>
      <c r="G2924" t="s">
        <v>15</v>
      </c>
      <c r="H2924" t="s">
        <v>16</v>
      </c>
      <c r="I2924">
        <v>0</v>
      </c>
      <c r="J2924">
        <v>0</v>
      </c>
      <c r="K2924">
        <v>0</v>
      </c>
    </row>
    <row r="2925" spans="1:11" x14ac:dyDescent="0.25">
      <c r="A2925" t="s">
        <v>2965</v>
      </c>
      <c r="B2925" s="1">
        <v>45793.686886574076</v>
      </c>
      <c r="C2925" s="2" t="s">
        <v>29</v>
      </c>
      <c r="D2925" t="s">
        <v>45</v>
      </c>
      <c r="E2925">
        <v>96909</v>
      </c>
      <c r="F2925" t="s">
        <v>14</v>
      </c>
      <c r="G2925" t="s">
        <v>30</v>
      </c>
      <c r="H2925" t="s">
        <v>59</v>
      </c>
      <c r="I2925">
        <v>969.09</v>
      </c>
      <c r="J2925">
        <v>0</v>
      </c>
      <c r="K2925">
        <v>969.09</v>
      </c>
    </row>
    <row r="2926" spans="1:11" x14ac:dyDescent="0.25">
      <c r="A2926" t="s">
        <v>2966</v>
      </c>
      <c r="B2926" s="1">
        <v>45938.24486111111</v>
      </c>
      <c r="C2926" s="2" t="s">
        <v>41</v>
      </c>
      <c r="D2926" t="s">
        <v>45</v>
      </c>
      <c r="E2926">
        <v>33183</v>
      </c>
      <c r="F2926" t="s">
        <v>14</v>
      </c>
      <c r="G2926" t="s">
        <v>27</v>
      </c>
      <c r="H2926" t="s">
        <v>178</v>
      </c>
      <c r="I2926">
        <v>331.83</v>
      </c>
      <c r="J2926">
        <v>0</v>
      </c>
      <c r="K2926">
        <v>331.83</v>
      </c>
    </row>
    <row r="2927" spans="1:11" x14ac:dyDescent="0.25">
      <c r="A2927" t="s">
        <v>2967</v>
      </c>
      <c r="B2927" s="1">
        <v>45966.211655092593</v>
      </c>
      <c r="C2927" s="2" t="s">
        <v>22</v>
      </c>
      <c r="D2927" t="s">
        <v>33</v>
      </c>
      <c r="E2927">
        <v>1243</v>
      </c>
      <c r="F2927" t="s">
        <v>14</v>
      </c>
      <c r="G2927" t="s">
        <v>24</v>
      </c>
      <c r="H2927" t="s">
        <v>16</v>
      </c>
      <c r="I2927">
        <v>0</v>
      </c>
      <c r="J2927">
        <v>0</v>
      </c>
      <c r="K2927">
        <v>0</v>
      </c>
    </row>
    <row r="2928" spans="1:11" x14ac:dyDescent="0.25">
      <c r="A2928" t="s">
        <v>2968</v>
      </c>
      <c r="B2928" s="1">
        <v>46134.045416666668</v>
      </c>
      <c r="C2928" s="2" t="s">
        <v>18</v>
      </c>
      <c r="D2928" t="s">
        <v>45</v>
      </c>
      <c r="E2928">
        <v>119306</v>
      </c>
      <c r="F2928" t="s">
        <v>14</v>
      </c>
      <c r="G2928" t="s">
        <v>84</v>
      </c>
      <c r="H2928" t="s">
        <v>178</v>
      </c>
      <c r="I2928">
        <v>1193.06</v>
      </c>
      <c r="J2928">
        <v>0</v>
      </c>
      <c r="K2928">
        <v>1193.06</v>
      </c>
    </row>
    <row r="2929" spans="1:11" x14ac:dyDescent="0.25">
      <c r="A2929" t="s">
        <v>2969</v>
      </c>
      <c r="B2929" s="1">
        <v>45830.270231481481</v>
      </c>
      <c r="C2929" s="2" t="s">
        <v>29</v>
      </c>
      <c r="D2929" t="s">
        <v>13</v>
      </c>
      <c r="E2929">
        <v>169500</v>
      </c>
      <c r="F2929" t="s">
        <v>14</v>
      </c>
      <c r="G2929" t="s">
        <v>15</v>
      </c>
      <c r="H2929" t="s">
        <v>16</v>
      </c>
      <c r="I2929">
        <v>3135.75</v>
      </c>
      <c r="J2929">
        <v>1254.3</v>
      </c>
      <c r="K2929">
        <v>1881.45</v>
      </c>
    </row>
    <row r="2930" spans="1:11" x14ac:dyDescent="0.25">
      <c r="A2930" t="s">
        <v>2970</v>
      </c>
      <c r="B2930" s="1">
        <v>45862.466967592591</v>
      </c>
      <c r="C2930" s="2" t="s">
        <v>39</v>
      </c>
      <c r="D2930" t="s">
        <v>45</v>
      </c>
      <c r="E2930">
        <v>20787</v>
      </c>
      <c r="F2930" t="s">
        <v>14</v>
      </c>
      <c r="G2930" t="s">
        <v>34</v>
      </c>
      <c r="H2930" t="s">
        <v>71</v>
      </c>
      <c r="I2930">
        <v>207.87</v>
      </c>
      <c r="J2930">
        <v>0</v>
      </c>
      <c r="K2930">
        <v>207.87</v>
      </c>
    </row>
    <row r="2931" spans="1:11" x14ac:dyDescent="0.25">
      <c r="A2931" t="s">
        <v>2971</v>
      </c>
      <c r="B2931" s="1">
        <v>45906.402199074073</v>
      </c>
      <c r="C2931" s="2" t="s">
        <v>41</v>
      </c>
      <c r="D2931" t="s">
        <v>23</v>
      </c>
      <c r="E2931">
        <v>2338</v>
      </c>
      <c r="F2931" t="s">
        <v>14</v>
      </c>
      <c r="G2931" t="s">
        <v>58</v>
      </c>
      <c r="H2931" t="s">
        <v>16</v>
      </c>
      <c r="I2931">
        <v>0</v>
      </c>
      <c r="J2931">
        <v>0</v>
      </c>
      <c r="K2931">
        <v>0</v>
      </c>
    </row>
    <row r="2932" spans="1:11" x14ac:dyDescent="0.25">
      <c r="A2932" t="s">
        <v>2972</v>
      </c>
      <c r="B2932" s="1">
        <v>45962.207037037035</v>
      </c>
      <c r="C2932" s="2" t="s">
        <v>32</v>
      </c>
      <c r="D2932" t="s">
        <v>13</v>
      </c>
      <c r="E2932">
        <v>97500</v>
      </c>
      <c r="F2932" t="s">
        <v>14</v>
      </c>
      <c r="G2932" t="s">
        <v>34</v>
      </c>
      <c r="H2932" t="s">
        <v>16</v>
      </c>
      <c r="I2932">
        <v>1803.75</v>
      </c>
      <c r="J2932">
        <v>721.5</v>
      </c>
      <c r="K2932">
        <v>1082.25</v>
      </c>
    </row>
    <row r="2933" spans="1:11" x14ac:dyDescent="0.25">
      <c r="A2933" t="s">
        <v>2973</v>
      </c>
      <c r="B2933" s="1">
        <v>46102.704027777778</v>
      </c>
      <c r="C2933" s="2" t="s">
        <v>39</v>
      </c>
      <c r="D2933" t="s">
        <v>45</v>
      </c>
      <c r="E2933">
        <v>7079</v>
      </c>
      <c r="F2933" t="s">
        <v>14</v>
      </c>
      <c r="G2933" t="s">
        <v>84</v>
      </c>
      <c r="H2933" t="s">
        <v>59</v>
      </c>
      <c r="I2933">
        <v>70.790000000000006</v>
      </c>
      <c r="J2933">
        <v>0</v>
      </c>
      <c r="K2933">
        <v>70.790000000000006</v>
      </c>
    </row>
    <row r="2934" spans="1:11" x14ac:dyDescent="0.25">
      <c r="A2934" t="s">
        <v>2974</v>
      </c>
      <c r="B2934" s="1">
        <v>45856.637592592589</v>
      </c>
      <c r="C2934" s="2" t="s">
        <v>39</v>
      </c>
      <c r="D2934" t="s">
        <v>23</v>
      </c>
      <c r="E2934">
        <v>2152</v>
      </c>
      <c r="F2934" t="s">
        <v>14</v>
      </c>
      <c r="G2934" t="s">
        <v>34</v>
      </c>
      <c r="H2934" t="s">
        <v>16</v>
      </c>
      <c r="I2934">
        <v>0</v>
      </c>
      <c r="J2934">
        <v>0</v>
      </c>
      <c r="K2934">
        <v>0</v>
      </c>
    </row>
    <row r="2935" spans="1:11" x14ac:dyDescent="0.25">
      <c r="A2935" t="s">
        <v>2975</v>
      </c>
      <c r="B2935" s="1">
        <v>45811.988078703704</v>
      </c>
      <c r="C2935" s="2" t="s">
        <v>22</v>
      </c>
      <c r="D2935" t="s">
        <v>33</v>
      </c>
      <c r="E2935">
        <v>76410</v>
      </c>
      <c r="F2935" t="s">
        <v>50</v>
      </c>
      <c r="G2935" t="s">
        <v>15</v>
      </c>
      <c r="H2935" t="s">
        <v>16</v>
      </c>
      <c r="I2935">
        <v>0</v>
      </c>
      <c r="J2935">
        <v>0</v>
      </c>
      <c r="K2935">
        <v>0</v>
      </c>
    </row>
    <row r="2936" spans="1:11" x14ac:dyDescent="0.25">
      <c r="A2936" t="s">
        <v>2976</v>
      </c>
      <c r="B2936" s="1">
        <v>46063.156493055554</v>
      </c>
      <c r="C2936" s="2" t="s">
        <v>29</v>
      </c>
      <c r="D2936" t="s">
        <v>13</v>
      </c>
      <c r="E2936">
        <v>77000</v>
      </c>
      <c r="F2936" t="s">
        <v>50</v>
      </c>
      <c r="G2936" t="s">
        <v>24</v>
      </c>
      <c r="H2936" t="s">
        <v>16</v>
      </c>
      <c r="I2936">
        <v>1424.5</v>
      </c>
      <c r="J2936">
        <v>569.79999999999995</v>
      </c>
      <c r="K2936">
        <v>854.7</v>
      </c>
    </row>
    <row r="2937" spans="1:11" x14ac:dyDescent="0.25">
      <c r="A2937" t="s">
        <v>2977</v>
      </c>
      <c r="B2937" s="1">
        <v>46018.769166666665</v>
      </c>
      <c r="C2937" s="2" t="s">
        <v>32</v>
      </c>
      <c r="D2937" t="s">
        <v>23</v>
      </c>
      <c r="E2937">
        <v>4850</v>
      </c>
      <c r="F2937" t="s">
        <v>14</v>
      </c>
      <c r="G2937" t="s">
        <v>20</v>
      </c>
      <c r="H2937" t="s">
        <v>16</v>
      </c>
      <c r="I2937">
        <v>0</v>
      </c>
      <c r="J2937">
        <v>0</v>
      </c>
      <c r="K2937">
        <v>0</v>
      </c>
    </row>
    <row r="2938" spans="1:11" x14ac:dyDescent="0.25">
      <c r="A2938" t="s">
        <v>2978</v>
      </c>
      <c r="B2938" s="1">
        <v>45831.50712962963</v>
      </c>
      <c r="C2938" s="2" t="s">
        <v>32</v>
      </c>
      <c r="D2938" t="s">
        <v>23</v>
      </c>
      <c r="E2938">
        <v>2455</v>
      </c>
      <c r="F2938" t="s">
        <v>14</v>
      </c>
      <c r="G2938" t="s">
        <v>58</v>
      </c>
      <c r="H2938" t="s">
        <v>16</v>
      </c>
      <c r="I2938">
        <v>0</v>
      </c>
      <c r="J2938">
        <v>0</v>
      </c>
      <c r="K2938">
        <v>0</v>
      </c>
    </row>
    <row r="2939" spans="1:11" x14ac:dyDescent="0.25">
      <c r="A2939" t="s">
        <v>2979</v>
      </c>
      <c r="B2939" s="1">
        <v>45985.16201388889</v>
      </c>
      <c r="C2939" s="2" t="s">
        <v>32</v>
      </c>
      <c r="D2939" t="s">
        <v>19</v>
      </c>
      <c r="E2939">
        <v>32055</v>
      </c>
      <c r="F2939" t="s">
        <v>14</v>
      </c>
      <c r="G2939" t="s">
        <v>30</v>
      </c>
      <c r="H2939" t="s">
        <v>16</v>
      </c>
      <c r="I2939">
        <v>5</v>
      </c>
      <c r="J2939">
        <v>0</v>
      </c>
      <c r="K2939">
        <v>5</v>
      </c>
    </row>
    <row r="2940" spans="1:11" x14ac:dyDescent="0.25">
      <c r="A2940" t="s">
        <v>2980</v>
      </c>
      <c r="B2940" s="1">
        <v>45959.776712962965</v>
      </c>
      <c r="C2940" s="2" t="s">
        <v>18</v>
      </c>
      <c r="D2940" t="s">
        <v>33</v>
      </c>
      <c r="E2940">
        <v>144242</v>
      </c>
      <c r="F2940" t="s">
        <v>14</v>
      </c>
      <c r="G2940" t="s">
        <v>34</v>
      </c>
      <c r="H2940" t="s">
        <v>16</v>
      </c>
      <c r="I2940">
        <v>0</v>
      </c>
      <c r="J2940">
        <v>0</v>
      </c>
      <c r="K2940">
        <v>0</v>
      </c>
    </row>
    <row r="2941" spans="1:11" x14ac:dyDescent="0.25">
      <c r="A2941" t="s">
        <v>2981</v>
      </c>
      <c r="B2941" s="1">
        <v>45869.518576388888</v>
      </c>
      <c r="C2941" s="2" t="s">
        <v>29</v>
      </c>
      <c r="D2941" t="s">
        <v>13</v>
      </c>
      <c r="E2941">
        <v>102500</v>
      </c>
      <c r="F2941" t="s">
        <v>14</v>
      </c>
      <c r="G2941" t="s">
        <v>30</v>
      </c>
      <c r="H2941" t="s">
        <v>16</v>
      </c>
      <c r="I2941">
        <v>1896.25</v>
      </c>
      <c r="J2941">
        <v>758.5</v>
      </c>
      <c r="K2941">
        <v>1137.75</v>
      </c>
    </row>
    <row r="2942" spans="1:11" x14ac:dyDescent="0.25">
      <c r="A2942" t="s">
        <v>2982</v>
      </c>
      <c r="B2942" s="1">
        <v>46127.381608796299</v>
      </c>
      <c r="C2942" s="2" t="s">
        <v>22</v>
      </c>
      <c r="D2942" t="s">
        <v>33</v>
      </c>
      <c r="E2942">
        <v>60628</v>
      </c>
      <c r="F2942" t="s">
        <v>50</v>
      </c>
      <c r="G2942" t="s">
        <v>20</v>
      </c>
      <c r="H2942" t="s">
        <v>16</v>
      </c>
      <c r="I2942">
        <v>0</v>
      </c>
      <c r="J2942">
        <v>0</v>
      </c>
      <c r="K2942">
        <v>0</v>
      </c>
    </row>
    <row r="2943" spans="1:11" x14ac:dyDescent="0.25">
      <c r="A2943" t="s">
        <v>2983</v>
      </c>
      <c r="B2943" s="1">
        <v>45924.367314814815</v>
      </c>
      <c r="C2943" s="2" t="s">
        <v>32</v>
      </c>
      <c r="D2943" t="s">
        <v>33</v>
      </c>
      <c r="E2943">
        <v>101004</v>
      </c>
      <c r="F2943" t="s">
        <v>14</v>
      </c>
      <c r="G2943" t="s">
        <v>30</v>
      </c>
      <c r="H2943" t="s">
        <v>16</v>
      </c>
      <c r="I2943">
        <v>0</v>
      </c>
      <c r="J2943">
        <v>0</v>
      </c>
      <c r="K2943">
        <v>0</v>
      </c>
    </row>
    <row r="2944" spans="1:11" x14ac:dyDescent="0.25">
      <c r="A2944" t="s">
        <v>2984</v>
      </c>
      <c r="B2944" s="1">
        <v>45987.260810185187</v>
      </c>
      <c r="C2944" s="2" t="s">
        <v>29</v>
      </c>
      <c r="D2944" t="s">
        <v>13</v>
      </c>
      <c r="E2944">
        <v>107000</v>
      </c>
      <c r="F2944" t="s">
        <v>99</v>
      </c>
      <c r="G2944" t="s">
        <v>58</v>
      </c>
      <c r="H2944" t="s">
        <v>16</v>
      </c>
      <c r="I2944">
        <v>1979.5</v>
      </c>
      <c r="J2944">
        <v>791.8</v>
      </c>
      <c r="K2944">
        <v>1187.7</v>
      </c>
    </row>
    <row r="2945" spans="1:11" x14ac:dyDescent="0.25">
      <c r="A2945" t="s">
        <v>2985</v>
      </c>
      <c r="B2945" s="1">
        <v>46101.340208333335</v>
      </c>
      <c r="C2945" s="2" t="s">
        <v>41</v>
      </c>
      <c r="D2945" t="s">
        <v>45</v>
      </c>
      <c r="E2945">
        <v>87710</v>
      </c>
      <c r="F2945" t="s">
        <v>50</v>
      </c>
      <c r="G2945" t="s">
        <v>34</v>
      </c>
      <c r="H2945" t="s">
        <v>71</v>
      </c>
      <c r="I2945">
        <v>877.1</v>
      </c>
      <c r="J2945">
        <v>0</v>
      </c>
      <c r="K2945">
        <v>877.1</v>
      </c>
    </row>
    <row r="2946" spans="1:11" x14ac:dyDescent="0.25">
      <c r="A2946" t="s">
        <v>2986</v>
      </c>
      <c r="B2946" s="1">
        <v>46105.496712962966</v>
      </c>
      <c r="C2946" s="2" t="s">
        <v>41</v>
      </c>
      <c r="D2946" t="s">
        <v>45</v>
      </c>
      <c r="E2946">
        <v>781</v>
      </c>
      <c r="F2946" t="s">
        <v>14</v>
      </c>
      <c r="G2946" t="s">
        <v>34</v>
      </c>
      <c r="H2946" t="s">
        <v>178</v>
      </c>
      <c r="I2946">
        <v>7.81</v>
      </c>
      <c r="J2946">
        <v>0</v>
      </c>
      <c r="K2946">
        <v>7.81</v>
      </c>
    </row>
    <row r="2947" spans="1:11" x14ac:dyDescent="0.25">
      <c r="A2947" t="s">
        <v>2987</v>
      </c>
      <c r="B2947" s="1">
        <v>45844.747291666667</v>
      </c>
      <c r="C2947" s="2" t="s">
        <v>32</v>
      </c>
      <c r="D2947" t="s">
        <v>13</v>
      </c>
      <c r="E2947">
        <v>130500</v>
      </c>
      <c r="F2947" t="s">
        <v>14</v>
      </c>
      <c r="G2947" t="s">
        <v>84</v>
      </c>
      <c r="H2947" t="s">
        <v>16</v>
      </c>
      <c r="I2947">
        <v>2414.25</v>
      </c>
      <c r="J2947">
        <v>965.7</v>
      </c>
      <c r="K2947">
        <v>1448.55</v>
      </c>
    </row>
    <row r="2948" spans="1:11" x14ac:dyDescent="0.25">
      <c r="A2948" t="s">
        <v>2988</v>
      </c>
      <c r="B2948" s="1">
        <v>46032.665497685186</v>
      </c>
      <c r="C2948" s="2" t="s">
        <v>32</v>
      </c>
      <c r="D2948" t="s">
        <v>33</v>
      </c>
      <c r="E2948">
        <v>6279</v>
      </c>
      <c r="F2948" t="s">
        <v>14</v>
      </c>
      <c r="G2948" t="s">
        <v>34</v>
      </c>
      <c r="H2948" t="s">
        <v>16</v>
      </c>
      <c r="I2948">
        <v>0</v>
      </c>
      <c r="J2948">
        <v>0</v>
      </c>
      <c r="K2948">
        <v>0</v>
      </c>
    </row>
    <row r="2949" spans="1:11" x14ac:dyDescent="0.25">
      <c r="A2949" t="s">
        <v>2989</v>
      </c>
      <c r="B2949" s="1">
        <v>46114.29960648148</v>
      </c>
      <c r="C2949" s="2" t="s">
        <v>29</v>
      </c>
      <c r="D2949" t="s">
        <v>13</v>
      </c>
      <c r="E2949">
        <v>113000</v>
      </c>
      <c r="F2949" t="s">
        <v>14</v>
      </c>
      <c r="G2949" t="s">
        <v>34</v>
      </c>
      <c r="H2949" t="s">
        <v>16</v>
      </c>
      <c r="I2949">
        <v>2090.5</v>
      </c>
      <c r="J2949">
        <v>836.2</v>
      </c>
      <c r="K2949">
        <v>1254.3</v>
      </c>
    </row>
    <row r="2950" spans="1:11" x14ac:dyDescent="0.25">
      <c r="A2950" t="s">
        <v>2990</v>
      </c>
      <c r="B2950" s="1">
        <v>46098.913888888892</v>
      </c>
      <c r="C2950" s="2" t="s">
        <v>32</v>
      </c>
      <c r="D2950" t="s">
        <v>13</v>
      </c>
      <c r="E2950">
        <v>118000</v>
      </c>
      <c r="F2950" t="s">
        <v>14</v>
      </c>
      <c r="G2950" t="s">
        <v>20</v>
      </c>
      <c r="H2950" t="s">
        <v>16</v>
      </c>
      <c r="I2950">
        <v>2183</v>
      </c>
      <c r="J2950">
        <v>873.2</v>
      </c>
      <c r="K2950">
        <v>1309.8</v>
      </c>
    </row>
    <row r="2951" spans="1:11" x14ac:dyDescent="0.25">
      <c r="A2951" t="s">
        <v>2991</v>
      </c>
      <c r="B2951" s="1">
        <v>45879.402754629627</v>
      </c>
      <c r="C2951" s="2" t="s">
        <v>12</v>
      </c>
      <c r="D2951" t="s">
        <v>13</v>
      </c>
      <c r="E2951">
        <v>16500</v>
      </c>
      <c r="F2951" t="s">
        <v>14</v>
      </c>
      <c r="G2951" t="s">
        <v>34</v>
      </c>
      <c r="H2951" t="s">
        <v>16</v>
      </c>
      <c r="I2951">
        <v>305.25</v>
      </c>
      <c r="J2951">
        <v>122.1</v>
      </c>
      <c r="K2951">
        <v>183.15</v>
      </c>
    </row>
    <row r="2952" spans="1:11" x14ac:dyDescent="0.25">
      <c r="A2952" t="s">
        <v>2992</v>
      </c>
      <c r="B2952" s="1">
        <v>46126.736840277779</v>
      </c>
      <c r="C2952" s="2" t="s">
        <v>29</v>
      </c>
      <c r="D2952" t="s">
        <v>33</v>
      </c>
      <c r="E2952">
        <v>113572</v>
      </c>
      <c r="F2952" t="s">
        <v>14</v>
      </c>
      <c r="G2952" t="s">
        <v>30</v>
      </c>
      <c r="H2952" t="s">
        <v>16</v>
      </c>
      <c r="I2952">
        <v>0</v>
      </c>
      <c r="J2952">
        <v>0</v>
      </c>
      <c r="K2952">
        <v>0</v>
      </c>
    </row>
    <row r="2953" spans="1:11" x14ac:dyDescent="0.25">
      <c r="A2953" t="s">
        <v>2993</v>
      </c>
      <c r="B2953" s="1">
        <v>46121.810532407406</v>
      </c>
      <c r="C2953" s="2" t="s">
        <v>39</v>
      </c>
      <c r="D2953" t="s">
        <v>19</v>
      </c>
      <c r="E2953">
        <v>104898</v>
      </c>
      <c r="F2953" t="s">
        <v>14</v>
      </c>
      <c r="G2953" t="s">
        <v>15</v>
      </c>
      <c r="H2953" t="s">
        <v>16</v>
      </c>
      <c r="I2953">
        <v>5</v>
      </c>
      <c r="J2953">
        <v>0</v>
      </c>
      <c r="K2953">
        <v>5</v>
      </c>
    </row>
    <row r="2954" spans="1:11" x14ac:dyDescent="0.25">
      <c r="A2954" t="s">
        <v>2994</v>
      </c>
      <c r="B2954" s="1">
        <v>45800.736875000002</v>
      </c>
      <c r="C2954" s="2" t="s">
        <v>12</v>
      </c>
      <c r="D2954" t="s">
        <v>33</v>
      </c>
      <c r="E2954">
        <v>7961</v>
      </c>
      <c r="F2954" t="s">
        <v>14</v>
      </c>
      <c r="G2954" t="s">
        <v>27</v>
      </c>
      <c r="H2954" t="s">
        <v>16</v>
      </c>
      <c r="I2954">
        <v>0</v>
      </c>
      <c r="J2954">
        <v>0</v>
      </c>
      <c r="K2954">
        <v>0</v>
      </c>
    </row>
    <row r="2955" spans="1:11" x14ac:dyDescent="0.25">
      <c r="A2955" t="s">
        <v>2995</v>
      </c>
      <c r="B2955" s="1">
        <v>45825.840115740742</v>
      </c>
      <c r="C2955" s="2" t="s">
        <v>29</v>
      </c>
      <c r="D2955" t="s">
        <v>13</v>
      </c>
      <c r="E2955">
        <v>32500</v>
      </c>
      <c r="F2955" t="s">
        <v>50</v>
      </c>
      <c r="G2955" t="s">
        <v>20</v>
      </c>
      <c r="H2955" t="s">
        <v>16</v>
      </c>
      <c r="I2955">
        <v>601.25</v>
      </c>
      <c r="J2955">
        <v>240.5</v>
      </c>
      <c r="K2955">
        <v>360.75</v>
      </c>
    </row>
    <row r="2956" spans="1:11" x14ac:dyDescent="0.25">
      <c r="A2956" t="s">
        <v>2996</v>
      </c>
      <c r="B2956" s="1">
        <v>46065.604687500003</v>
      </c>
      <c r="C2956" s="2" t="s">
        <v>12</v>
      </c>
      <c r="D2956" t="s">
        <v>23</v>
      </c>
      <c r="E2956">
        <v>3545</v>
      </c>
      <c r="F2956" t="s">
        <v>50</v>
      </c>
      <c r="G2956" t="s">
        <v>51</v>
      </c>
      <c r="H2956" t="s">
        <v>16</v>
      </c>
      <c r="I2956">
        <v>0</v>
      </c>
      <c r="J2956">
        <v>0</v>
      </c>
      <c r="K2956">
        <v>0</v>
      </c>
    </row>
    <row r="2957" spans="1:11" x14ac:dyDescent="0.25">
      <c r="A2957" t="s">
        <v>2997</v>
      </c>
      <c r="B2957" s="1">
        <v>45857.491574074076</v>
      </c>
      <c r="C2957" s="2" t="s">
        <v>26</v>
      </c>
      <c r="D2957" t="s">
        <v>45</v>
      </c>
      <c r="E2957">
        <v>77287</v>
      </c>
      <c r="F2957" t="s">
        <v>14</v>
      </c>
      <c r="G2957" t="s">
        <v>15</v>
      </c>
      <c r="H2957" t="s">
        <v>59</v>
      </c>
      <c r="I2957">
        <v>772.87</v>
      </c>
      <c r="J2957">
        <v>0</v>
      </c>
      <c r="K2957">
        <v>772.87</v>
      </c>
    </row>
    <row r="2958" spans="1:11" x14ac:dyDescent="0.25">
      <c r="A2958" t="s">
        <v>2998</v>
      </c>
      <c r="B2958" s="1">
        <v>45892.636678240742</v>
      </c>
      <c r="C2958" s="2" t="s">
        <v>26</v>
      </c>
      <c r="D2958" t="s">
        <v>33</v>
      </c>
      <c r="E2958">
        <v>118235</v>
      </c>
      <c r="F2958" t="s">
        <v>14</v>
      </c>
      <c r="G2958" t="s">
        <v>24</v>
      </c>
      <c r="H2958" t="s">
        <v>16</v>
      </c>
      <c r="I2958">
        <v>0</v>
      </c>
      <c r="J2958">
        <v>0</v>
      </c>
      <c r="K2958">
        <v>0</v>
      </c>
    </row>
    <row r="2959" spans="1:11" x14ac:dyDescent="0.25">
      <c r="A2959" t="s">
        <v>2999</v>
      </c>
      <c r="B2959" s="1">
        <v>46003.342210648145</v>
      </c>
      <c r="C2959" s="2" t="s">
        <v>26</v>
      </c>
      <c r="D2959" t="s">
        <v>45</v>
      </c>
      <c r="E2959">
        <v>9075</v>
      </c>
      <c r="F2959" t="s">
        <v>14</v>
      </c>
      <c r="G2959" t="s">
        <v>20</v>
      </c>
      <c r="H2959" t="s">
        <v>46</v>
      </c>
      <c r="I2959">
        <v>90.75</v>
      </c>
      <c r="J2959">
        <v>0</v>
      </c>
      <c r="K2959">
        <v>90.75</v>
      </c>
    </row>
    <row r="2960" spans="1:11" x14ac:dyDescent="0.25">
      <c r="A2960" t="s">
        <v>3000</v>
      </c>
      <c r="B2960" s="1">
        <v>45855.102708333332</v>
      </c>
      <c r="C2960" s="2" t="s">
        <v>18</v>
      </c>
      <c r="D2960" t="s">
        <v>23</v>
      </c>
      <c r="E2960">
        <v>1977</v>
      </c>
      <c r="F2960" t="s">
        <v>14</v>
      </c>
      <c r="G2960" t="s">
        <v>27</v>
      </c>
      <c r="H2960" t="s">
        <v>16</v>
      </c>
      <c r="I2960">
        <v>0</v>
      </c>
      <c r="J2960">
        <v>0</v>
      </c>
      <c r="K2960">
        <v>0</v>
      </c>
    </row>
    <row r="2961" spans="1:11" x14ac:dyDescent="0.25">
      <c r="A2961" t="s">
        <v>3001</v>
      </c>
      <c r="B2961" s="1">
        <v>45925.867210648146</v>
      </c>
      <c r="C2961" s="2" t="s">
        <v>18</v>
      </c>
      <c r="D2961" t="s">
        <v>33</v>
      </c>
      <c r="E2961">
        <v>134462</v>
      </c>
      <c r="F2961" t="s">
        <v>14</v>
      </c>
      <c r="G2961" t="s">
        <v>30</v>
      </c>
      <c r="H2961" t="s">
        <v>16</v>
      </c>
      <c r="I2961">
        <v>0</v>
      </c>
      <c r="J2961">
        <v>0</v>
      </c>
      <c r="K2961">
        <v>0</v>
      </c>
    </row>
    <row r="2962" spans="1:11" x14ac:dyDescent="0.25">
      <c r="A2962" t="s">
        <v>3002</v>
      </c>
      <c r="B2962" s="1">
        <v>45782.694085648145</v>
      </c>
      <c r="C2962" s="2" t="s">
        <v>39</v>
      </c>
      <c r="D2962" t="s">
        <v>13</v>
      </c>
      <c r="E2962">
        <v>93500</v>
      </c>
      <c r="F2962" t="s">
        <v>14</v>
      </c>
      <c r="G2962" t="s">
        <v>15</v>
      </c>
      <c r="H2962" t="s">
        <v>16</v>
      </c>
      <c r="I2962">
        <v>1729.75</v>
      </c>
      <c r="J2962">
        <v>691.9</v>
      </c>
      <c r="K2962">
        <v>1037.8499999999999</v>
      </c>
    </row>
    <row r="2963" spans="1:11" x14ac:dyDescent="0.25">
      <c r="A2963" t="s">
        <v>3003</v>
      </c>
      <c r="B2963" s="1">
        <v>46076.312731481485</v>
      </c>
      <c r="C2963" s="2" t="s">
        <v>26</v>
      </c>
      <c r="D2963" t="s">
        <v>45</v>
      </c>
      <c r="E2963">
        <v>10868</v>
      </c>
      <c r="F2963" t="s">
        <v>14</v>
      </c>
      <c r="G2963" t="s">
        <v>20</v>
      </c>
      <c r="H2963" t="s">
        <v>46</v>
      </c>
      <c r="I2963">
        <v>108.68</v>
      </c>
      <c r="J2963">
        <v>0</v>
      </c>
      <c r="K2963">
        <v>108.68</v>
      </c>
    </row>
    <row r="2964" spans="1:11" x14ac:dyDescent="0.25">
      <c r="A2964" t="s">
        <v>3004</v>
      </c>
      <c r="B2964" s="1">
        <v>45913.885451388887</v>
      </c>
      <c r="C2964" s="2" t="s">
        <v>26</v>
      </c>
      <c r="D2964" t="s">
        <v>19</v>
      </c>
      <c r="E2964">
        <v>55029</v>
      </c>
      <c r="F2964" t="s">
        <v>14</v>
      </c>
      <c r="G2964" t="s">
        <v>20</v>
      </c>
      <c r="H2964" t="s">
        <v>16</v>
      </c>
      <c r="I2964">
        <v>5</v>
      </c>
      <c r="J2964">
        <v>0</v>
      </c>
      <c r="K2964">
        <v>5</v>
      </c>
    </row>
    <row r="2965" spans="1:11" x14ac:dyDescent="0.25">
      <c r="A2965" t="s">
        <v>3005</v>
      </c>
      <c r="B2965" s="1">
        <v>46013.840729166666</v>
      </c>
      <c r="C2965" s="2" t="s">
        <v>22</v>
      </c>
      <c r="D2965" t="s">
        <v>45</v>
      </c>
      <c r="E2965">
        <v>54119</v>
      </c>
      <c r="F2965" t="s">
        <v>14</v>
      </c>
      <c r="G2965" t="s">
        <v>20</v>
      </c>
      <c r="H2965" t="s">
        <v>46</v>
      </c>
      <c r="I2965">
        <v>541.19000000000005</v>
      </c>
      <c r="J2965">
        <v>0</v>
      </c>
      <c r="K2965">
        <v>541.19000000000005</v>
      </c>
    </row>
    <row r="2966" spans="1:11" x14ac:dyDescent="0.25">
      <c r="A2966" t="s">
        <v>3006</v>
      </c>
      <c r="B2966" s="1">
        <v>46009.659062500003</v>
      </c>
      <c r="C2966" s="2" t="s">
        <v>29</v>
      </c>
      <c r="D2966" t="s">
        <v>45</v>
      </c>
      <c r="E2966">
        <v>117635</v>
      </c>
      <c r="F2966" t="s">
        <v>14</v>
      </c>
      <c r="G2966" t="s">
        <v>84</v>
      </c>
      <c r="H2966" t="s">
        <v>56</v>
      </c>
      <c r="I2966">
        <v>1176.3499999999999</v>
      </c>
      <c r="J2966">
        <v>0</v>
      </c>
      <c r="K2966">
        <v>1176.3499999999999</v>
      </c>
    </row>
    <row r="2967" spans="1:11" x14ac:dyDescent="0.25">
      <c r="A2967" t="s">
        <v>3007</v>
      </c>
      <c r="B2967" s="1">
        <v>46051.813692129632</v>
      </c>
      <c r="C2967" s="2" t="s">
        <v>22</v>
      </c>
      <c r="D2967" t="s">
        <v>23</v>
      </c>
      <c r="E2967">
        <v>3914</v>
      </c>
      <c r="F2967" t="s">
        <v>14</v>
      </c>
      <c r="G2967" t="s">
        <v>24</v>
      </c>
      <c r="H2967" t="s">
        <v>16</v>
      </c>
      <c r="I2967">
        <v>0</v>
      </c>
      <c r="J2967">
        <v>0</v>
      </c>
      <c r="K2967">
        <v>0</v>
      </c>
    </row>
    <row r="2968" spans="1:11" x14ac:dyDescent="0.25">
      <c r="A2968" t="s">
        <v>3008</v>
      </c>
      <c r="B2968" s="1">
        <v>45830.905856481484</v>
      </c>
      <c r="C2968" s="2" t="s">
        <v>26</v>
      </c>
      <c r="D2968" t="s">
        <v>19</v>
      </c>
      <c r="E2968">
        <v>55883</v>
      </c>
      <c r="F2968" t="s">
        <v>14</v>
      </c>
      <c r="G2968" t="s">
        <v>34</v>
      </c>
      <c r="H2968" t="s">
        <v>16</v>
      </c>
      <c r="I2968">
        <v>5</v>
      </c>
      <c r="J2968">
        <v>0</v>
      </c>
      <c r="K2968">
        <v>5</v>
      </c>
    </row>
    <row r="2969" spans="1:11" x14ac:dyDescent="0.25">
      <c r="A2969" t="s">
        <v>3009</v>
      </c>
      <c r="B2969" s="1">
        <v>46034.416342592594</v>
      </c>
      <c r="C2969" s="2" t="s">
        <v>12</v>
      </c>
      <c r="D2969" t="s">
        <v>13</v>
      </c>
      <c r="E2969">
        <v>226000</v>
      </c>
      <c r="F2969" t="s">
        <v>14</v>
      </c>
      <c r="G2969" t="s">
        <v>58</v>
      </c>
      <c r="H2969" t="s">
        <v>16</v>
      </c>
      <c r="I2969">
        <v>4181</v>
      </c>
      <c r="J2969">
        <v>1672.4</v>
      </c>
      <c r="K2969">
        <v>2508.6</v>
      </c>
    </row>
    <row r="2970" spans="1:11" x14ac:dyDescent="0.25">
      <c r="A2970" t="s">
        <v>3010</v>
      </c>
      <c r="B2970" s="1">
        <v>46074.003657407404</v>
      </c>
      <c r="C2970" s="2" t="s">
        <v>29</v>
      </c>
      <c r="D2970" t="s">
        <v>13</v>
      </c>
      <c r="E2970">
        <v>111000</v>
      </c>
      <c r="F2970" t="s">
        <v>14</v>
      </c>
      <c r="G2970" t="s">
        <v>51</v>
      </c>
      <c r="H2970" t="s">
        <v>16</v>
      </c>
      <c r="I2970">
        <v>2053.5</v>
      </c>
      <c r="J2970">
        <v>821.4</v>
      </c>
      <c r="K2970">
        <v>1232.0999999999999</v>
      </c>
    </row>
    <row r="2971" spans="1:11" x14ac:dyDescent="0.25">
      <c r="A2971" t="s">
        <v>3011</v>
      </c>
      <c r="B2971" s="1">
        <v>46057.18922453704</v>
      </c>
      <c r="C2971" s="2" t="s">
        <v>22</v>
      </c>
      <c r="D2971" t="s">
        <v>45</v>
      </c>
      <c r="E2971">
        <v>106443</v>
      </c>
      <c r="F2971" t="s">
        <v>14</v>
      </c>
      <c r="G2971" t="s">
        <v>27</v>
      </c>
      <c r="H2971" t="s">
        <v>46</v>
      </c>
      <c r="I2971">
        <v>1064.43</v>
      </c>
      <c r="J2971">
        <v>0</v>
      </c>
      <c r="K2971">
        <v>1064.43</v>
      </c>
    </row>
    <row r="2972" spans="1:11" x14ac:dyDescent="0.25">
      <c r="A2972" t="s">
        <v>3012</v>
      </c>
      <c r="B2972" s="1">
        <v>45777.849421296298</v>
      </c>
      <c r="C2972" s="2" t="s">
        <v>39</v>
      </c>
      <c r="D2972" t="s">
        <v>45</v>
      </c>
      <c r="E2972">
        <v>73742</v>
      </c>
      <c r="F2972" t="s">
        <v>14</v>
      </c>
      <c r="G2972" t="s">
        <v>30</v>
      </c>
      <c r="H2972" t="s">
        <v>56</v>
      </c>
      <c r="I2972">
        <v>737.42</v>
      </c>
      <c r="J2972">
        <v>0</v>
      </c>
      <c r="K2972">
        <v>737.42</v>
      </c>
    </row>
    <row r="2973" spans="1:11" x14ac:dyDescent="0.25">
      <c r="A2973" t="s">
        <v>3013</v>
      </c>
      <c r="B2973" s="1">
        <v>46048.688414351855</v>
      </c>
      <c r="C2973" s="2" t="s">
        <v>32</v>
      </c>
      <c r="D2973" t="s">
        <v>19</v>
      </c>
      <c r="E2973">
        <v>51553</v>
      </c>
      <c r="F2973" t="s">
        <v>14</v>
      </c>
      <c r="G2973" t="s">
        <v>20</v>
      </c>
      <c r="H2973" t="s">
        <v>16</v>
      </c>
      <c r="I2973">
        <v>5</v>
      </c>
      <c r="J2973">
        <v>0</v>
      </c>
      <c r="K2973">
        <v>5</v>
      </c>
    </row>
    <row r="2974" spans="1:11" x14ac:dyDescent="0.25">
      <c r="A2974" t="s">
        <v>3014</v>
      </c>
      <c r="B2974" s="1">
        <v>45887.763159722221</v>
      </c>
      <c r="C2974" s="2" t="s">
        <v>32</v>
      </c>
      <c r="D2974" t="s">
        <v>23</v>
      </c>
      <c r="E2974">
        <v>247</v>
      </c>
      <c r="F2974" t="s">
        <v>14</v>
      </c>
      <c r="G2974" t="s">
        <v>15</v>
      </c>
      <c r="H2974" t="s">
        <v>16</v>
      </c>
      <c r="I2974">
        <v>0</v>
      </c>
      <c r="J2974">
        <v>0</v>
      </c>
      <c r="K2974">
        <v>0</v>
      </c>
    </row>
    <row r="2975" spans="1:11" x14ac:dyDescent="0.25">
      <c r="A2975" t="s">
        <v>3015</v>
      </c>
      <c r="B2975" s="1">
        <v>46065.449479166666</v>
      </c>
      <c r="C2975" s="2" t="s">
        <v>39</v>
      </c>
      <c r="D2975" t="s">
        <v>23</v>
      </c>
      <c r="E2975">
        <v>637</v>
      </c>
      <c r="F2975" t="s">
        <v>14</v>
      </c>
      <c r="G2975" t="s">
        <v>34</v>
      </c>
      <c r="H2975" t="s">
        <v>16</v>
      </c>
      <c r="I2975">
        <v>0</v>
      </c>
      <c r="J2975">
        <v>0</v>
      </c>
      <c r="K2975">
        <v>0</v>
      </c>
    </row>
    <row r="2976" spans="1:11" x14ac:dyDescent="0.25">
      <c r="A2976" t="s">
        <v>3016</v>
      </c>
      <c r="B2976" s="1">
        <v>45948.733414351853</v>
      </c>
      <c r="C2976" s="2" t="s">
        <v>18</v>
      </c>
      <c r="D2976" t="s">
        <v>45</v>
      </c>
      <c r="E2976">
        <v>21966</v>
      </c>
      <c r="F2976" t="s">
        <v>14</v>
      </c>
      <c r="G2976" t="s">
        <v>34</v>
      </c>
      <c r="H2976" t="s">
        <v>46</v>
      </c>
      <c r="I2976">
        <v>219.66</v>
      </c>
      <c r="J2976">
        <v>0</v>
      </c>
      <c r="K2976">
        <v>219.66</v>
      </c>
    </row>
    <row r="2977" spans="1:11" x14ac:dyDescent="0.25">
      <c r="A2977" t="s">
        <v>3017</v>
      </c>
      <c r="B2977" s="1">
        <v>45893.004317129627</v>
      </c>
      <c r="C2977" s="2" t="s">
        <v>22</v>
      </c>
      <c r="D2977" t="s">
        <v>23</v>
      </c>
      <c r="E2977">
        <v>2909</v>
      </c>
      <c r="F2977" t="s">
        <v>14</v>
      </c>
      <c r="G2977" t="s">
        <v>34</v>
      </c>
      <c r="H2977" t="s">
        <v>16</v>
      </c>
      <c r="I2977">
        <v>0</v>
      </c>
      <c r="J2977">
        <v>0</v>
      </c>
      <c r="K2977">
        <v>0</v>
      </c>
    </row>
    <row r="2978" spans="1:11" x14ac:dyDescent="0.25">
      <c r="A2978" t="s">
        <v>3018</v>
      </c>
      <c r="B2978" s="1">
        <v>45861.945127314815</v>
      </c>
      <c r="C2978" s="2" t="s">
        <v>39</v>
      </c>
      <c r="D2978" t="s">
        <v>45</v>
      </c>
      <c r="E2978">
        <v>18356</v>
      </c>
      <c r="F2978" t="s">
        <v>14</v>
      </c>
      <c r="G2978" t="s">
        <v>34</v>
      </c>
      <c r="H2978" t="s">
        <v>59</v>
      </c>
      <c r="I2978">
        <v>183.56</v>
      </c>
      <c r="J2978">
        <v>0</v>
      </c>
      <c r="K2978">
        <v>183.56</v>
      </c>
    </row>
    <row r="2979" spans="1:11" x14ac:dyDescent="0.25">
      <c r="A2979" t="s">
        <v>3019</v>
      </c>
      <c r="B2979" s="1">
        <v>46082.237511574072</v>
      </c>
      <c r="C2979" s="2" t="s">
        <v>18</v>
      </c>
      <c r="D2979" t="s">
        <v>13</v>
      </c>
      <c r="E2979">
        <v>115500</v>
      </c>
      <c r="F2979" t="s">
        <v>14</v>
      </c>
      <c r="G2979" t="s">
        <v>15</v>
      </c>
      <c r="H2979" t="s">
        <v>16</v>
      </c>
      <c r="I2979">
        <v>2136.75</v>
      </c>
      <c r="J2979">
        <v>854.7</v>
      </c>
      <c r="K2979">
        <v>1282.05</v>
      </c>
    </row>
    <row r="2980" spans="1:11" x14ac:dyDescent="0.25">
      <c r="A2980" t="s">
        <v>3020</v>
      </c>
      <c r="B2980" s="1">
        <v>46123.739293981482</v>
      </c>
      <c r="C2980" s="2" t="s">
        <v>41</v>
      </c>
      <c r="D2980" t="s">
        <v>45</v>
      </c>
      <c r="E2980">
        <v>121507</v>
      </c>
      <c r="F2980" t="s">
        <v>14</v>
      </c>
      <c r="G2980" t="s">
        <v>34</v>
      </c>
      <c r="H2980" t="s">
        <v>71</v>
      </c>
      <c r="I2980">
        <v>1215.07</v>
      </c>
      <c r="J2980">
        <v>0</v>
      </c>
      <c r="K2980">
        <v>1215.07</v>
      </c>
    </row>
    <row r="2981" spans="1:11" x14ac:dyDescent="0.25">
      <c r="A2981" t="s">
        <v>3021</v>
      </c>
      <c r="B2981" s="1">
        <v>45842.565682870372</v>
      </c>
      <c r="C2981" s="2" t="s">
        <v>12</v>
      </c>
      <c r="D2981" t="s">
        <v>33</v>
      </c>
      <c r="E2981">
        <v>80572</v>
      </c>
      <c r="F2981" t="s">
        <v>14</v>
      </c>
      <c r="G2981" t="s">
        <v>24</v>
      </c>
      <c r="H2981" t="s">
        <v>16</v>
      </c>
      <c r="I2981">
        <v>0</v>
      </c>
      <c r="J2981">
        <v>0</v>
      </c>
      <c r="K2981">
        <v>0</v>
      </c>
    </row>
    <row r="2982" spans="1:11" x14ac:dyDescent="0.25">
      <c r="A2982" t="s">
        <v>3022</v>
      </c>
      <c r="B2982" s="1">
        <v>46004.550520833334</v>
      </c>
      <c r="C2982" s="2" t="s">
        <v>26</v>
      </c>
      <c r="D2982" t="s">
        <v>45</v>
      </c>
      <c r="E2982">
        <v>91892</v>
      </c>
      <c r="F2982" t="s">
        <v>14</v>
      </c>
      <c r="G2982" t="s">
        <v>34</v>
      </c>
      <c r="H2982" t="s">
        <v>71</v>
      </c>
      <c r="I2982">
        <v>918.92</v>
      </c>
      <c r="J2982">
        <v>0</v>
      </c>
      <c r="K2982">
        <v>918.92</v>
      </c>
    </row>
    <row r="2983" spans="1:11" x14ac:dyDescent="0.25">
      <c r="A2983" t="s">
        <v>3023</v>
      </c>
      <c r="B2983" s="1">
        <v>45864.901273148149</v>
      </c>
      <c r="C2983" s="2" t="s">
        <v>39</v>
      </c>
      <c r="D2983" t="s">
        <v>23</v>
      </c>
      <c r="E2983">
        <v>202</v>
      </c>
      <c r="F2983" t="s">
        <v>14</v>
      </c>
      <c r="G2983" t="s">
        <v>24</v>
      </c>
      <c r="H2983" t="s">
        <v>16</v>
      </c>
      <c r="I2983">
        <v>0</v>
      </c>
      <c r="J2983">
        <v>0</v>
      </c>
      <c r="K2983">
        <v>0</v>
      </c>
    </row>
    <row r="2984" spans="1:11" x14ac:dyDescent="0.25">
      <c r="A2984" t="s">
        <v>3024</v>
      </c>
      <c r="B2984" s="1">
        <v>46065.303402777776</v>
      </c>
      <c r="C2984" s="2" t="s">
        <v>29</v>
      </c>
      <c r="D2984" t="s">
        <v>13</v>
      </c>
      <c r="E2984">
        <v>28000</v>
      </c>
      <c r="F2984" t="s">
        <v>14</v>
      </c>
      <c r="G2984" t="s">
        <v>51</v>
      </c>
      <c r="H2984" t="s">
        <v>16</v>
      </c>
      <c r="I2984">
        <v>518</v>
      </c>
      <c r="J2984">
        <v>207.2</v>
      </c>
      <c r="K2984">
        <v>310.8</v>
      </c>
    </row>
    <row r="2985" spans="1:11" x14ac:dyDescent="0.25">
      <c r="A2985" t="s">
        <v>3025</v>
      </c>
      <c r="B2985" s="1">
        <v>46084.390162037038</v>
      </c>
      <c r="C2985" s="2" t="s">
        <v>39</v>
      </c>
      <c r="D2985" t="s">
        <v>13</v>
      </c>
      <c r="E2985">
        <v>144000</v>
      </c>
      <c r="F2985" t="s">
        <v>14</v>
      </c>
      <c r="G2985" t="s">
        <v>15</v>
      </c>
      <c r="H2985" t="s">
        <v>16</v>
      </c>
      <c r="I2985">
        <v>2664</v>
      </c>
      <c r="J2985">
        <v>1065.5999999999999</v>
      </c>
      <c r="K2985">
        <v>1598.4</v>
      </c>
    </row>
    <row r="2986" spans="1:11" x14ac:dyDescent="0.25">
      <c r="A2986" t="s">
        <v>3026</v>
      </c>
      <c r="B2986" s="1">
        <v>46020.458634259259</v>
      </c>
      <c r="C2986" s="2" t="s">
        <v>22</v>
      </c>
      <c r="D2986" t="s">
        <v>33</v>
      </c>
      <c r="E2986">
        <v>49238</v>
      </c>
      <c r="F2986" t="s">
        <v>14</v>
      </c>
      <c r="G2986" t="s">
        <v>84</v>
      </c>
      <c r="H2986" t="s">
        <v>16</v>
      </c>
      <c r="I2986">
        <v>0</v>
      </c>
      <c r="J2986">
        <v>0</v>
      </c>
      <c r="K2986">
        <v>0</v>
      </c>
    </row>
    <row r="2987" spans="1:11" x14ac:dyDescent="0.25">
      <c r="A2987" t="s">
        <v>3027</v>
      </c>
      <c r="B2987" s="1">
        <v>46128.510358796295</v>
      </c>
      <c r="C2987" s="2" t="s">
        <v>12</v>
      </c>
      <c r="D2987" t="s">
        <v>19</v>
      </c>
      <c r="E2987">
        <v>100012</v>
      </c>
      <c r="F2987" t="s">
        <v>14</v>
      </c>
      <c r="G2987" t="s">
        <v>58</v>
      </c>
      <c r="H2987" t="s">
        <v>16</v>
      </c>
      <c r="I2987">
        <v>5</v>
      </c>
      <c r="J2987">
        <v>0</v>
      </c>
      <c r="K2987">
        <v>5</v>
      </c>
    </row>
    <row r="2988" spans="1:11" x14ac:dyDescent="0.25">
      <c r="A2988" t="s">
        <v>3028</v>
      </c>
      <c r="B2988" s="1">
        <v>46035.912847222222</v>
      </c>
      <c r="C2988" s="2" t="s">
        <v>32</v>
      </c>
      <c r="D2988" t="s">
        <v>33</v>
      </c>
      <c r="E2988">
        <v>12058</v>
      </c>
      <c r="F2988" t="s">
        <v>14</v>
      </c>
      <c r="G2988" t="s">
        <v>30</v>
      </c>
      <c r="H2988" t="s">
        <v>16</v>
      </c>
      <c r="I2988">
        <v>0</v>
      </c>
      <c r="J2988">
        <v>0</v>
      </c>
      <c r="K2988">
        <v>0</v>
      </c>
    </row>
    <row r="2989" spans="1:11" x14ac:dyDescent="0.25">
      <c r="A2989" t="s">
        <v>3029</v>
      </c>
      <c r="B2989" s="1">
        <v>45821.415196759262</v>
      </c>
      <c r="C2989" s="2" t="s">
        <v>39</v>
      </c>
      <c r="D2989" t="s">
        <v>23</v>
      </c>
      <c r="E2989">
        <v>3303</v>
      </c>
      <c r="F2989" t="s">
        <v>14</v>
      </c>
      <c r="G2989" t="s">
        <v>84</v>
      </c>
      <c r="H2989" t="s">
        <v>16</v>
      </c>
      <c r="I2989">
        <v>0</v>
      </c>
      <c r="J2989">
        <v>0</v>
      </c>
      <c r="K2989">
        <v>0</v>
      </c>
    </row>
    <row r="2990" spans="1:11" x14ac:dyDescent="0.25">
      <c r="A2990" t="s">
        <v>3030</v>
      </c>
      <c r="B2990" s="1">
        <v>46134.876620370371</v>
      </c>
      <c r="C2990" s="2" t="s">
        <v>22</v>
      </c>
      <c r="D2990" t="s">
        <v>13</v>
      </c>
      <c r="E2990">
        <v>249500</v>
      </c>
      <c r="F2990" t="s">
        <v>14</v>
      </c>
      <c r="G2990" t="s">
        <v>20</v>
      </c>
      <c r="H2990" t="s">
        <v>16</v>
      </c>
      <c r="I2990">
        <v>4615.75</v>
      </c>
      <c r="J2990">
        <v>1846.3</v>
      </c>
      <c r="K2990">
        <v>2769.45</v>
      </c>
    </row>
    <row r="2991" spans="1:11" x14ac:dyDescent="0.25">
      <c r="A2991" t="s">
        <v>3031</v>
      </c>
      <c r="B2991" s="1">
        <v>46058.60019675926</v>
      </c>
      <c r="C2991" s="2" t="s">
        <v>22</v>
      </c>
      <c r="D2991" t="s">
        <v>19</v>
      </c>
      <c r="E2991">
        <v>112667</v>
      </c>
      <c r="F2991" t="s">
        <v>99</v>
      </c>
      <c r="G2991" t="s">
        <v>84</v>
      </c>
      <c r="H2991" t="s">
        <v>16</v>
      </c>
      <c r="I2991">
        <v>5</v>
      </c>
      <c r="J2991">
        <v>0</v>
      </c>
      <c r="K2991">
        <v>5</v>
      </c>
    </row>
    <row r="2992" spans="1:11" x14ac:dyDescent="0.25">
      <c r="A2992" t="s">
        <v>3032</v>
      </c>
      <c r="B2992" s="1">
        <v>45784.736620370371</v>
      </c>
      <c r="C2992" s="2" t="s">
        <v>39</v>
      </c>
      <c r="D2992" t="s">
        <v>13</v>
      </c>
      <c r="E2992">
        <v>183000</v>
      </c>
      <c r="F2992" t="s">
        <v>14</v>
      </c>
      <c r="G2992" t="s">
        <v>15</v>
      </c>
      <c r="H2992" t="s">
        <v>16</v>
      </c>
      <c r="I2992">
        <v>3385.5</v>
      </c>
      <c r="J2992">
        <v>1354.2</v>
      </c>
      <c r="K2992">
        <v>2031.3</v>
      </c>
    </row>
    <row r="2993" spans="1:11" x14ac:dyDescent="0.25">
      <c r="A2993" t="s">
        <v>3033</v>
      </c>
      <c r="B2993" s="1">
        <v>46073.32545138889</v>
      </c>
      <c r="C2993" s="2" t="s">
        <v>12</v>
      </c>
      <c r="D2993" t="s">
        <v>33</v>
      </c>
      <c r="E2993">
        <v>147821</v>
      </c>
      <c r="F2993" t="s">
        <v>14</v>
      </c>
      <c r="G2993" t="s">
        <v>30</v>
      </c>
      <c r="H2993" t="s">
        <v>16</v>
      </c>
      <c r="I2993">
        <v>0</v>
      </c>
      <c r="J2993">
        <v>0</v>
      </c>
      <c r="K2993">
        <v>0</v>
      </c>
    </row>
    <row r="2994" spans="1:11" x14ac:dyDescent="0.25">
      <c r="A2994" t="s">
        <v>3034</v>
      </c>
      <c r="B2994" s="1">
        <v>45944.689583333333</v>
      </c>
      <c r="C2994" s="2" t="s">
        <v>29</v>
      </c>
      <c r="D2994" t="s">
        <v>23</v>
      </c>
      <c r="E2994">
        <v>3040</v>
      </c>
      <c r="F2994" t="s">
        <v>14</v>
      </c>
      <c r="G2994" t="s">
        <v>20</v>
      </c>
      <c r="H2994" t="s">
        <v>16</v>
      </c>
      <c r="I2994">
        <v>0</v>
      </c>
      <c r="J2994">
        <v>0</v>
      </c>
      <c r="K2994">
        <v>0</v>
      </c>
    </row>
    <row r="2995" spans="1:11" x14ac:dyDescent="0.25">
      <c r="A2995" t="s">
        <v>3035</v>
      </c>
      <c r="B2995" s="1">
        <v>45934.545405092591</v>
      </c>
      <c r="C2995" s="2" t="s">
        <v>41</v>
      </c>
      <c r="D2995" t="s">
        <v>23</v>
      </c>
      <c r="E2995">
        <v>4800</v>
      </c>
      <c r="F2995" t="s">
        <v>14</v>
      </c>
      <c r="G2995" t="s">
        <v>24</v>
      </c>
      <c r="H2995" t="s">
        <v>16</v>
      </c>
      <c r="I2995">
        <v>0</v>
      </c>
      <c r="J2995">
        <v>0</v>
      </c>
      <c r="K2995">
        <v>0</v>
      </c>
    </row>
    <row r="2996" spans="1:11" x14ac:dyDescent="0.25">
      <c r="A2996" t="s">
        <v>3036</v>
      </c>
      <c r="B2996" s="1">
        <v>45921.285856481481</v>
      </c>
      <c r="C2996" s="2" t="s">
        <v>32</v>
      </c>
      <c r="D2996" t="s">
        <v>45</v>
      </c>
      <c r="E2996">
        <v>94817</v>
      </c>
      <c r="F2996" t="s">
        <v>50</v>
      </c>
      <c r="G2996" t="s">
        <v>34</v>
      </c>
      <c r="H2996" t="s">
        <v>178</v>
      </c>
      <c r="I2996">
        <v>948.17</v>
      </c>
      <c r="J2996">
        <v>0</v>
      </c>
      <c r="K2996">
        <v>948.17</v>
      </c>
    </row>
    <row r="2997" spans="1:11" x14ac:dyDescent="0.25">
      <c r="A2997" t="s">
        <v>3037</v>
      </c>
      <c r="B2997" s="1">
        <v>45886.18068287037</v>
      </c>
      <c r="C2997" s="2" t="s">
        <v>29</v>
      </c>
      <c r="D2997" t="s">
        <v>19</v>
      </c>
      <c r="E2997">
        <v>45172</v>
      </c>
      <c r="F2997" t="s">
        <v>14</v>
      </c>
      <c r="G2997" t="s">
        <v>27</v>
      </c>
      <c r="H2997" t="s">
        <v>16</v>
      </c>
      <c r="I2997">
        <v>5</v>
      </c>
      <c r="J2997">
        <v>0</v>
      </c>
      <c r="K2997">
        <v>5</v>
      </c>
    </row>
    <row r="2998" spans="1:11" x14ac:dyDescent="0.25">
      <c r="A2998" t="s">
        <v>3038</v>
      </c>
      <c r="B2998" s="1">
        <v>46142.013993055552</v>
      </c>
      <c r="C2998" s="2" t="s">
        <v>22</v>
      </c>
      <c r="D2998" t="s">
        <v>33</v>
      </c>
      <c r="E2998">
        <v>79658</v>
      </c>
      <c r="F2998" t="s">
        <v>14</v>
      </c>
      <c r="G2998" t="s">
        <v>84</v>
      </c>
      <c r="H2998" t="s">
        <v>16</v>
      </c>
      <c r="I2998">
        <v>0</v>
      </c>
      <c r="J2998">
        <v>0</v>
      </c>
      <c r="K2998">
        <v>0</v>
      </c>
    </row>
    <row r="2999" spans="1:11" x14ac:dyDescent="0.25">
      <c r="A2999" t="s">
        <v>3039</v>
      </c>
      <c r="B2999" s="1">
        <v>45859.147326388891</v>
      </c>
      <c r="C2999" s="2" t="s">
        <v>29</v>
      </c>
      <c r="D2999" t="s">
        <v>13</v>
      </c>
      <c r="E2999">
        <v>105500</v>
      </c>
      <c r="F2999" t="s">
        <v>14</v>
      </c>
      <c r="G2999" t="s">
        <v>34</v>
      </c>
      <c r="H2999" t="s">
        <v>16</v>
      </c>
      <c r="I2999">
        <v>1951.75</v>
      </c>
      <c r="J2999">
        <v>780.7</v>
      </c>
      <c r="K2999">
        <v>1171.05</v>
      </c>
    </row>
    <row r="3000" spans="1:11" x14ac:dyDescent="0.25">
      <c r="A3000" t="s">
        <v>3040</v>
      </c>
      <c r="B3000" s="1">
        <v>46099.648587962962</v>
      </c>
      <c r="C3000" s="2" t="s">
        <v>29</v>
      </c>
      <c r="D3000" t="s">
        <v>19</v>
      </c>
      <c r="E3000">
        <v>89852</v>
      </c>
      <c r="F3000" t="s">
        <v>14</v>
      </c>
      <c r="G3000" t="s">
        <v>34</v>
      </c>
      <c r="H3000" t="s">
        <v>16</v>
      </c>
      <c r="I3000">
        <v>5</v>
      </c>
      <c r="J3000">
        <v>0</v>
      </c>
      <c r="K3000">
        <v>5</v>
      </c>
    </row>
    <row r="3001" spans="1:11" x14ac:dyDescent="0.25">
      <c r="A3001" t="s">
        <v>3041</v>
      </c>
      <c r="B3001" s="1">
        <v>46090.344965277778</v>
      </c>
      <c r="C3001" s="2" t="s">
        <v>18</v>
      </c>
      <c r="D3001" t="s">
        <v>33</v>
      </c>
      <c r="E3001">
        <v>30507</v>
      </c>
      <c r="F3001" t="s">
        <v>14</v>
      </c>
      <c r="G3001" t="s">
        <v>34</v>
      </c>
      <c r="H3001" t="s">
        <v>16</v>
      </c>
      <c r="I3001">
        <v>0</v>
      </c>
      <c r="J3001">
        <v>0</v>
      </c>
      <c r="K3001">
        <v>0</v>
      </c>
    </row>
    <row r="3002" spans="1:11" x14ac:dyDescent="0.25">
      <c r="A3002" t="s">
        <v>3042</v>
      </c>
      <c r="B3002" s="1">
        <v>46092.570462962962</v>
      </c>
      <c r="C3002" s="2" t="s">
        <v>26</v>
      </c>
      <c r="D3002" t="s">
        <v>13</v>
      </c>
      <c r="E3002">
        <v>189500</v>
      </c>
      <c r="F3002" t="s">
        <v>50</v>
      </c>
      <c r="G3002" t="s">
        <v>30</v>
      </c>
      <c r="H3002" t="s">
        <v>16</v>
      </c>
      <c r="I3002">
        <v>3505.75</v>
      </c>
      <c r="J3002">
        <v>1402.3</v>
      </c>
      <c r="K3002">
        <v>2103.4499999999998</v>
      </c>
    </row>
    <row r="3003" spans="1:11" x14ac:dyDescent="0.25">
      <c r="A3003" t="s">
        <v>3043</v>
      </c>
      <c r="B3003" s="1">
        <v>45890.622002314813</v>
      </c>
      <c r="C3003" s="2" t="s">
        <v>32</v>
      </c>
      <c r="D3003" t="s">
        <v>23</v>
      </c>
      <c r="E3003">
        <v>1053</v>
      </c>
      <c r="F3003" t="s">
        <v>14</v>
      </c>
      <c r="G3003" t="s">
        <v>58</v>
      </c>
      <c r="H3003" t="s">
        <v>16</v>
      </c>
      <c r="I3003">
        <v>0</v>
      </c>
      <c r="J3003">
        <v>0</v>
      </c>
      <c r="K3003">
        <v>0</v>
      </c>
    </row>
    <row r="3004" spans="1:11" x14ac:dyDescent="0.25">
      <c r="A3004" t="s">
        <v>3044</v>
      </c>
      <c r="B3004" s="1">
        <v>45961.880729166667</v>
      </c>
      <c r="C3004" s="2" t="s">
        <v>29</v>
      </c>
      <c r="D3004" t="s">
        <v>33</v>
      </c>
      <c r="E3004">
        <v>25240</v>
      </c>
      <c r="F3004" t="s">
        <v>14</v>
      </c>
      <c r="G3004" t="s">
        <v>34</v>
      </c>
      <c r="H3004" t="s">
        <v>16</v>
      </c>
      <c r="I3004">
        <v>0</v>
      </c>
      <c r="J3004">
        <v>0</v>
      </c>
      <c r="K3004">
        <v>0</v>
      </c>
    </row>
    <row r="3005" spans="1:11" x14ac:dyDescent="0.25">
      <c r="A3005" t="s">
        <v>3045</v>
      </c>
      <c r="B3005" s="1">
        <v>45859.655868055554</v>
      </c>
      <c r="C3005" s="2" t="s">
        <v>26</v>
      </c>
      <c r="D3005" t="s">
        <v>23</v>
      </c>
      <c r="E3005">
        <v>2135</v>
      </c>
      <c r="F3005" t="s">
        <v>14</v>
      </c>
      <c r="G3005" t="s">
        <v>24</v>
      </c>
      <c r="H3005" t="s">
        <v>16</v>
      </c>
      <c r="I3005">
        <v>0</v>
      </c>
      <c r="J3005">
        <v>0</v>
      </c>
      <c r="K3005">
        <v>0</v>
      </c>
    </row>
    <row r="3006" spans="1:11" x14ac:dyDescent="0.25">
      <c r="A3006" t="s">
        <v>3046</v>
      </c>
      <c r="B3006" s="1">
        <v>45861.009791666664</v>
      </c>
      <c r="C3006" s="2" t="s">
        <v>26</v>
      </c>
      <c r="D3006" t="s">
        <v>19</v>
      </c>
      <c r="E3006">
        <v>27063</v>
      </c>
      <c r="F3006" t="s">
        <v>50</v>
      </c>
      <c r="G3006" t="s">
        <v>51</v>
      </c>
      <c r="H3006" t="s">
        <v>16</v>
      </c>
      <c r="I3006">
        <v>5</v>
      </c>
      <c r="J3006">
        <v>0</v>
      </c>
      <c r="K3006">
        <v>5</v>
      </c>
    </row>
    <row r="3007" spans="1:11" x14ac:dyDescent="0.25">
      <c r="A3007" t="s">
        <v>3047</v>
      </c>
      <c r="B3007" s="1">
        <v>45847.412291666667</v>
      </c>
      <c r="C3007" s="2" t="s">
        <v>22</v>
      </c>
      <c r="D3007" t="s">
        <v>45</v>
      </c>
      <c r="E3007">
        <v>92007</v>
      </c>
      <c r="F3007" t="s">
        <v>14</v>
      </c>
      <c r="G3007" t="s">
        <v>20</v>
      </c>
      <c r="H3007" t="s">
        <v>46</v>
      </c>
      <c r="I3007">
        <v>920.07</v>
      </c>
      <c r="J3007">
        <v>0</v>
      </c>
      <c r="K3007">
        <v>920.07</v>
      </c>
    </row>
    <row r="3008" spans="1:11" x14ac:dyDescent="0.25">
      <c r="A3008" t="s">
        <v>3048</v>
      </c>
      <c r="B3008" s="1">
        <v>45811.903657407405</v>
      </c>
      <c r="C3008" s="2" t="s">
        <v>29</v>
      </c>
      <c r="D3008" t="s">
        <v>33</v>
      </c>
      <c r="E3008">
        <v>29934</v>
      </c>
      <c r="F3008" t="s">
        <v>14</v>
      </c>
      <c r="G3008" t="s">
        <v>20</v>
      </c>
      <c r="H3008" t="s">
        <v>16</v>
      </c>
      <c r="I3008">
        <v>0</v>
      </c>
      <c r="J3008">
        <v>0</v>
      </c>
      <c r="K3008">
        <v>0</v>
      </c>
    </row>
    <row r="3009" spans="1:11" x14ac:dyDescent="0.25">
      <c r="A3009" t="s">
        <v>3049</v>
      </c>
      <c r="B3009" s="1">
        <v>45855.712581018517</v>
      </c>
      <c r="C3009" s="2" t="s">
        <v>12</v>
      </c>
      <c r="D3009" t="s">
        <v>23</v>
      </c>
      <c r="E3009">
        <v>397</v>
      </c>
      <c r="F3009" t="s">
        <v>50</v>
      </c>
      <c r="G3009" t="s">
        <v>34</v>
      </c>
      <c r="H3009" t="s">
        <v>16</v>
      </c>
      <c r="I3009">
        <v>0</v>
      </c>
      <c r="J3009">
        <v>0</v>
      </c>
      <c r="K3009">
        <v>0</v>
      </c>
    </row>
    <row r="3010" spans="1:11" x14ac:dyDescent="0.25">
      <c r="A3010" t="s">
        <v>3050</v>
      </c>
      <c r="B3010" s="1">
        <v>45905.241122685184</v>
      </c>
      <c r="C3010" s="2" t="s">
        <v>32</v>
      </c>
      <c r="D3010" t="s">
        <v>19</v>
      </c>
      <c r="E3010">
        <v>60828</v>
      </c>
      <c r="F3010" t="s">
        <v>14</v>
      </c>
      <c r="G3010" t="s">
        <v>30</v>
      </c>
      <c r="H3010" t="s">
        <v>16</v>
      </c>
      <c r="I3010">
        <v>5</v>
      </c>
      <c r="J3010">
        <v>0</v>
      </c>
      <c r="K3010">
        <v>5</v>
      </c>
    </row>
    <row r="3011" spans="1:11" x14ac:dyDescent="0.25">
      <c r="A3011" t="s">
        <v>3051</v>
      </c>
      <c r="B3011" s="1">
        <v>45969.219340277778</v>
      </c>
      <c r="C3011" s="2" t="s">
        <v>29</v>
      </c>
      <c r="D3011" t="s">
        <v>19</v>
      </c>
      <c r="E3011">
        <v>89640</v>
      </c>
      <c r="F3011" t="s">
        <v>14</v>
      </c>
      <c r="G3011" t="s">
        <v>51</v>
      </c>
      <c r="H3011" t="s">
        <v>16</v>
      </c>
      <c r="I3011">
        <v>5</v>
      </c>
      <c r="J3011">
        <v>0</v>
      </c>
      <c r="K3011">
        <v>5</v>
      </c>
    </row>
    <row r="3012" spans="1:11" x14ac:dyDescent="0.25">
      <c r="A3012" t="s">
        <v>3052</v>
      </c>
      <c r="B3012" s="1">
        <v>46050.137916666667</v>
      </c>
      <c r="C3012" s="2" t="s">
        <v>18</v>
      </c>
      <c r="D3012" t="s">
        <v>23</v>
      </c>
      <c r="E3012">
        <v>2312</v>
      </c>
      <c r="F3012" t="s">
        <v>14</v>
      </c>
      <c r="G3012" t="s">
        <v>15</v>
      </c>
      <c r="H3012" t="s">
        <v>16</v>
      </c>
      <c r="I3012">
        <v>0</v>
      </c>
      <c r="J3012">
        <v>0</v>
      </c>
      <c r="K3012">
        <v>0</v>
      </c>
    </row>
    <row r="3013" spans="1:11" x14ac:dyDescent="0.25">
      <c r="A3013" t="s">
        <v>3053</v>
      </c>
      <c r="B3013" s="1">
        <v>46095.243321759262</v>
      </c>
      <c r="C3013" s="2" t="s">
        <v>29</v>
      </c>
      <c r="D3013" t="s">
        <v>19</v>
      </c>
      <c r="E3013">
        <v>27634</v>
      </c>
      <c r="F3013" t="s">
        <v>14</v>
      </c>
      <c r="G3013" t="s">
        <v>20</v>
      </c>
      <c r="H3013" t="s">
        <v>16</v>
      </c>
      <c r="I3013">
        <v>5</v>
      </c>
      <c r="J3013">
        <v>0</v>
      </c>
      <c r="K3013">
        <v>5</v>
      </c>
    </row>
    <row r="3014" spans="1:11" x14ac:dyDescent="0.25">
      <c r="A3014" t="s">
        <v>3054</v>
      </c>
      <c r="B3014" s="1">
        <v>46123.703657407408</v>
      </c>
      <c r="C3014" s="2" t="s">
        <v>39</v>
      </c>
      <c r="D3014" t="s">
        <v>33</v>
      </c>
      <c r="E3014">
        <v>123752</v>
      </c>
      <c r="F3014" t="s">
        <v>14</v>
      </c>
      <c r="G3014" t="s">
        <v>20</v>
      </c>
      <c r="H3014" t="s">
        <v>16</v>
      </c>
      <c r="I3014">
        <v>0</v>
      </c>
      <c r="J3014">
        <v>0</v>
      </c>
      <c r="K3014">
        <v>0</v>
      </c>
    </row>
    <row r="3015" spans="1:11" x14ac:dyDescent="0.25">
      <c r="A3015" t="s">
        <v>3055</v>
      </c>
      <c r="B3015" s="1">
        <v>45892.926898148151</v>
      </c>
      <c r="C3015" s="2" t="s">
        <v>32</v>
      </c>
      <c r="D3015" t="s">
        <v>13</v>
      </c>
      <c r="E3015">
        <v>107500</v>
      </c>
      <c r="F3015" t="s">
        <v>14</v>
      </c>
      <c r="G3015" t="s">
        <v>24</v>
      </c>
      <c r="H3015" t="s">
        <v>16</v>
      </c>
      <c r="I3015">
        <v>1988.75</v>
      </c>
      <c r="J3015">
        <v>795.5</v>
      </c>
      <c r="K3015">
        <v>1193.25</v>
      </c>
    </row>
    <row r="3016" spans="1:11" x14ac:dyDescent="0.25">
      <c r="A3016" t="s">
        <v>3056</v>
      </c>
      <c r="B3016" s="1">
        <v>45830.453159722223</v>
      </c>
      <c r="C3016" s="2" t="s">
        <v>22</v>
      </c>
      <c r="D3016" t="s">
        <v>13</v>
      </c>
      <c r="E3016">
        <v>58000</v>
      </c>
      <c r="F3016" t="s">
        <v>14</v>
      </c>
      <c r="G3016" t="s">
        <v>84</v>
      </c>
      <c r="H3016" t="s">
        <v>16</v>
      </c>
      <c r="I3016">
        <v>1073</v>
      </c>
      <c r="J3016">
        <v>429.2</v>
      </c>
      <c r="K3016">
        <v>643.79999999999995</v>
      </c>
    </row>
    <row r="3017" spans="1:11" x14ac:dyDescent="0.25">
      <c r="A3017" t="s">
        <v>3057</v>
      </c>
      <c r="B3017" s="1">
        <v>45951.922453703701</v>
      </c>
      <c r="C3017" s="2" t="s">
        <v>39</v>
      </c>
      <c r="D3017" t="s">
        <v>33</v>
      </c>
      <c r="E3017">
        <v>89324</v>
      </c>
      <c r="F3017" t="s">
        <v>14</v>
      </c>
      <c r="G3017" t="s">
        <v>34</v>
      </c>
      <c r="H3017" t="s">
        <v>16</v>
      </c>
      <c r="I3017">
        <v>0</v>
      </c>
      <c r="J3017">
        <v>0</v>
      </c>
      <c r="K3017">
        <v>0</v>
      </c>
    </row>
    <row r="3018" spans="1:11" x14ac:dyDescent="0.25">
      <c r="A3018" t="s">
        <v>3058</v>
      </c>
      <c r="B3018" s="1">
        <v>45892.198819444442</v>
      </c>
      <c r="C3018" s="2" t="s">
        <v>29</v>
      </c>
      <c r="D3018" t="s">
        <v>19</v>
      </c>
      <c r="E3018">
        <v>32488</v>
      </c>
      <c r="F3018" t="s">
        <v>14</v>
      </c>
      <c r="G3018" t="s">
        <v>20</v>
      </c>
      <c r="H3018" t="s">
        <v>16</v>
      </c>
      <c r="I3018">
        <v>5</v>
      </c>
      <c r="J3018">
        <v>0</v>
      </c>
      <c r="K3018">
        <v>5</v>
      </c>
    </row>
    <row r="3019" spans="1:11" x14ac:dyDescent="0.25">
      <c r="A3019" t="s">
        <v>3059</v>
      </c>
      <c r="B3019" s="1">
        <v>46127.487129629626</v>
      </c>
      <c r="C3019" s="2" t="s">
        <v>26</v>
      </c>
      <c r="D3019" t="s">
        <v>23</v>
      </c>
      <c r="E3019">
        <v>2743</v>
      </c>
      <c r="F3019" t="s">
        <v>14</v>
      </c>
      <c r="G3019" t="s">
        <v>51</v>
      </c>
      <c r="H3019" t="s">
        <v>16</v>
      </c>
      <c r="I3019">
        <v>0</v>
      </c>
      <c r="J3019">
        <v>0</v>
      </c>
      <c r="K3019">
        <v>0</v>
      </c>
    </row>
    <row r="3020" spans="1:11" x14ac:dyDescent="0.25">
      <c r="A3020" t="s">
        <v>3060</v>
      </c>
      <c r="B3020" s="1">
        <v>45849.508449074077</v>
      </c>
      <c r="C3020" s="2" t="s">
        <v>39</v>
      </c>
      <c r="D3020" t="s">
        <v>19</v>
      </c>
      <c r="E3020">
        <v>135166</v>
      </c>
      <c r="F3020" t="s">
        <v>14</v>
      </c>
      <c r="G3020" t="s">
        <v>51</v>
      </c>
      <c r="H3020" t="s">
        <v>16</v>
      </c>
      <c r="I3020">
        <v>5</v>
      </c>
      <c r="J3020">
        <v>0</v>
      </c>
      <c r="K3020">
        <v>5</v>
      </c>
    </row>
    <row r="3021" spans="1:11" x14ac:dyDescent="0.25">
      <c r="A3021" t="s">
        <v>3061</v>
      </c>
      <c r="B3021" s="1">
        <v>45986.764050925929</v>
      </c>
      <c r="C3021" s="2" t="s">
        <v>29</v>
      </c>
      <c r="D3021" t="s">
        <v>45</v>
      </c>
      <c r="E3021">
        <v>7709</v>
      </c>
      <c r="F3021" t="s">
        <v>14</v>
      </c>
      <c r="G3021" t="s">
        <v>27</v>
      </c>
      <c r="H3021" t="s">
        <v>56</v>
      </c>
      <c r="I3021">
        <v>77.09</v>
      </c>
      <c r="J3021">
        <v>0</v>
      </c>
      <c r="K3021">
        <v>77.09</v>
      </c>
    </row>
    <row r="3022" spans="1:11" x14ac:dyDescent="0.25">
      <c r="A3022" t="s">
        <v>3062</v>
      </c>
      <c r="B3022" s="1">
        <v>45918.369571759256</v>
      </c>
      <c r="C3022" s="2" t="s">
        <v>22</v>
      </c>
      <c r="D3022" t="s">
        <v>13</v>
      </c>
      <c r="E3022">
        <v>19000</v>
      </c>
      <c r="F3022" t="s">
        <v>14</v>
      </c>
      <c r="G3022" t="s">
        <v>24</v>
      </c>
      <c r="H3022" t="s">
        <v>16</v>
      </c>
      <c r="I3022">
        <v>351.5</v>
      </c>
      <c r="J3022">
        <v>140.6</v>
      </c>
      <c r="K3022">
        <v>210.9</v>
      </c>
    </row>
    <row r="3023" spans="1:11" x14ac:dyDescent="0.25">
      <c r="A3023" t="s">
        <v>3063</v>
      </c>
      <c r="B3023" s="1">
        <v>45941.87604166667</v>
      </c>
      <c r="C3023" s="2" t="s">
        <v>12</v>
      </c>
      <c r="D3023" t="s">
        <v>23</v>
      </c>
      <c r="E3023">
        <v>4290</v>
      </c>
      <c r="F3023" t="s">
        <v>14</v>
      </c>
      <c r="G3023" t="s">
        <v>30</v>
      </c>
      <c r="H3023" t="s">
        <v>16</v>
      </c>
      <c r="I3023">
        <v>0</v>
      </c>
      <c r="J3023">
        <v>0</v>
      </c>
      <c r="K3023">
        <v>0</v>
      </c>
    </row>
    <row r="3024" spans="1:11" x14ac:dyDescent="0.25">
      <c r="A3024" t="s">
        <v>3064</v>
      </c>
      <c r="B3024" s="1">
        <v>46052.876111111109</v>
      </c>
      <c r="C3024" s="2" t="s">
        <v>12</v>
      </c>
      <c r="D3024" t="s">
        <v>45</v>
      </c>
      <c r="E3024">
        <v>145918</v>
      </c>
      <c r="F3024" t="s">
        <v>14</v>
      </c>
      <c r="G3024" t="s">
        <v>24</v>
      </c>
      <c r="H3024" t="s">
        <v>46</v>
      </c>
      <c r="I3024">
        <v>1459.18</v>
      </c>
      <c r="J3024">
        <v>0</v>
      </c>
      <c r="K3024">
        <v>1459.18</v>
      </c>
    </row>
    <row r="3025" spans="1:11" x14ac:dyDescent="0.25">
      <c r="A3025" t="s">
        <v>3065</v>
      </c>
      <c r="B3025" s="1">
        <v>46027.822013888886</v>
      </c>
      <c r="C3025" s="2" t="s">
        <v>39</v>
      </c>
      <c r="D3025" t="s">
        <v>19</v>
      </c>
      <c r="E3025">
        <v>32671</v>
      </c>
      <c r="F3025" t="s">
        <v>14</v>
      </c>
      <c r="G3025" t="s">
        <v>20</v>
      </c>
      <c r="H3025" t="s">
        <v>16</v>
      </c>
      <c r="I3025">
        <v>5</v>
      </c>
      <c r="J3025">
        <v>0</v>
      </c>
      <c r="K3025">
        <v>5</v>
      </c>
    </row>
    <row r="3026" spans="1:11" x14ac:dyDescent="0.25">
      <c r="A3026" t="s">
        <v>3066</v>
      </c>
      <c r="B3026" s="1">
        <v>46106.57408564815</v>
      </c>
      <c r="C3026" s="2" t="s">
        <v>32</v>
      </c>
      <c r="D3026" t="s">
        <v>45</v>
      </c>
      <c r="E3026">
        <v>82105</v>
      </c>
      <c r="F3026" t="s">
        <v>14</v>
      </c>
      <c r="G3026" t="s">
        <v>24</v>
      </c>
      <c r="H3026" t="s">
        <v>46</v>
      </c>
      <c r="I3026">
        <v>821.05</v>
      </c>
      <c r="J3026">
        <v>0</v>
      </c>
      <c r="K3026">
        <v>821.05</v>
      </c>
    </row>
    <row r="3027" spans="1:11" x14ac:dyDescent="0.25">
      <c r="A3027" t="s">
        <v>3067</v>
      </c>
      <c r="B3027" s="1">
        <v>46142.571516203701</v>
      </c>
      <c r="C3027" s="2" t="s">
        <v>22</v>
      </c>
      <c r="D3027" t="s">
        <v>23</v>
      </c>
      <c r="E3027">
        <v>774</v>
      </c>
      <c r="F3027" t="s">
        <v>14</v>
      </c>
      <c r="G3027" t="s">
        <v>24</v>
      </c>
      <c r="H3027" t="s">
        <v>16</v>
      </c>
      <c r="I3027">
        <v>0</v>
      </c>
      <c r="J3027">
        <v>0</v>
      </c>
      <c r="K3027">
        <v>0</v>
      </c>
    </row>
    <row r="3028" spans="1:11" x14ac:dyDescent="0.25">
      <c r="A3028" t="s">
        <v>3068</v>
      </c>
      <c r="B3028" s="1">
        <v>46102.241979166669</v>
      </c>
      <c r="C3028" s="2" t="s">
        <v>41</v>
      </c>
      <c r="D3028" t="s">
        <v>33</v>
      </c>
      <c r="E3028">
        <v>83772</v>
      </c>
      <c r="F3028" t="s">
        <v>14</v>
      </c>
      <c r="G3028" t="s">
        <v>27</v>
      </c>
      <c r="H3028" t="s">
        <v>16</v>
      </c>
      <c r="I3028">
        <v>0</v>
      </c>
      <c r="J3028">
        <v>0</v>
      </c>
      <c r="K3028">
        <v>0</v>
      </c>
    </row>
    <row r="3029" spans="1:11" x14ac:dyDescent="0.25">
      <c r="A3029" t="s">
        <v>3069</v>
      </c>
      <c r="B3029" s="1">
        <v>46065.513136574074</v>
      </c>
      <c r="C3029" s="2" t="s">
        <v>32</v>
      </c>
      <c r="D3029" t="s">
        <v>23</v>
      </c>
      <c r="E3029">
        <v>1203</v>
      </c>
      <c r="F3029" t="s">
        <v>14</v>
      </c>
      <c r="G3029" t="s">
        <v>20</v>
      </c>
      <c r="H3029" t="s">
        <v>16</v>
      </c>
      <c r="I3029">
        <v>0</v>
      </c>
      <c r="J3029">
        <v>0</v>
      </c>
      <c r="K3029">
        <v>0</v>
      </c>
    </row>
    <row r="3030" spans="1:11" x14ac:dyDescent="0.25">
      <c r="A3030" t="s">
        <v>3070</v>
      </c>
      <c r="B3030" s="1">
        <v>46087.762569444443</v>
      </c>
      <c r="C3030" s="2" t="s">
        <v>18</v>
      </c>
      <c r="D3030" t="s">
        <v>13</v>
      </c>
      <c r="E3030">
        <v>43000</v>
      </c>
      <c r="F3030" t="s">
        <v>14</v>
      </c>
      <c r="G3030" t="s">
        <v>84</v>
      </c>
      <c r="H3030" t="s">
        <v>16</v>
      </c>
      <c r="I3030">
        <v>795.5</v>
      </c>
      <c r="J3030">
        <v>318.2</v>
      </c>
      <c r="K3030">
        <v>477.3</v>
      </c>
    </row>
    <row r="3031" spans="1:11" x14ac:dyDescent="0.25">
      <c r="A3031" t="s">
        <v>3071</v>
      </c>
      <c r="B3031" s="1">
        <v>46104.012824074074</v>
      </c>
      <c r="C3031" s="2" t="s">
        <v>22</v>
      </c>
      <c r="D3031" t="s">
        <v>23</v>
      </c>
      <c r="E3031">
        <v>4223</v>
      </c>
      <c r="F3031" t="s">
        <v>50</v>
      </c>
      <c r="G3031" t="s">
        <v>51</v>
      </c>
      <c r="H3031" t="s">
        <v>16</v>
      </c>
      <c r="I3031">
        <v>0</v>
      </c>
      <c r="J3031">
        <v>0</v>
      </c>
      <c r="K3031">
        <v>0</v>
      </c>
    </row>
    <row r="3032" spans="1:11" x14ac:dyDescent="0.25">
      <c r="A3032" t="s">
        <v>3072</v>
      </c>
      <c r="B3032" s="1">
        <v>45898.886145833334</v>
      </c>
      <c r="C3032" s="2" t="s">
        <v>22</v>
      </c>
      <c r="D3032" t="s">
        <v>19</v>
      </c>
      <c r="E3032">
        <v>3223</v>
      </c>
      <c r="F3032" t="s">
        <v>14</v>
      </c>
      <c r="G3032" t="s">
        <v>34</v>
      </c>
      <c r="H3032" t="s">
        <v>16</v>
      </c>
      <c r="I3032">
        <v>5</v>
      </c>
      <c r="J3032">
        <v>0</v>
      </c>
      <c r="K3032">
        <v>5</v>
      </c>
    </row>
    <row r="3033" spans="1:11" x14ac:dyDescent="0.25">
      <c r="A3033" t="s">
        <v>3073</v>
      </c>
      <c r="B3033" s="1">
        <v>45883.873541666668</v>
      </c>
      <c r="C3033" s="2" t="s">
        <v>41</v>
      </c>
      <c r="D3033" t="s">
        <v>23</v>
      </c>
      <c r="E3033">
        <v>4119</v>
      </c>
      <c r="F3033" t="s">
        <v>14</v>
      </c>
      <c r="G3033" t="s">
        <v>24</v>
      </c>
      <c r="H3033" t="s">
        <v>16</v>
      </c>
      <c r="I3033">
        <v>0</v>
      </c>
      <c r="J3033">
        <v>0</v>
      </c>
      <c r="K3033">
        <v>0</v>
      </c>
    </row>
    <row r="3034" spans="1:11" x14ac:dyDescent="0.25">
      <c r="A3034" t="s">
        <v>3074</v>
      </c>
      <c r="B3034" s="1">
        <v>45900.335370370369</v>
      </c>
      <c r="C3034" s="2" t="s">
        <v>29</v>
      </c>
      <c r="D3034" t="s">
        <v>13</v>
      </c>
      <c r="E3034">
        <v>231000</v>
      </c>
      <c r="F3034" t="s">
        <v>14</v>
      </c>
      <c r="G3034" t="s">
        <v>51</v>
      </c>
      <c r="H3034" t="s">
        <v>16</v>
      </c>
      <c r="I3034">
        <v>4273.5</v>
      </c>
      <c r="J3034">
        <v>1709.4</v>
      </c>
      <c r="K3034">
        <v>2564.1</v>
      </c>
    </row>
    <row r="3035" spans="1:11" x14ac:dyDescent="0.25">
      <c r="A3035" t="s">
        <v>3075</v>
      </c>
      <c r="B3035" s="1">
        <v>46120.904953703706</v>
      </c>
      <c r="C3035" s="2" t="s">
        <v>29</v>
      </c>
      <c r="D3035" t="s">
        <v>13</v>
      </c>
      <c r="E3035">
        <v>146500</v>
      </c>
      <c r="F3035" t="s">
        <v>14</v>
      </c>
      <c r="G3035" t="s">
        <v>30</v>
      </c>
      <c r="H3035" t="s">
        <v>16</v>
      </c>
      <c r="I3035">
        <v>2710.25</v>
      </c>
      <c r="J3035">
        <v>1084.0999999999999</v>
      </c>
      <c r="K3035">
        <v>1626.15</v>
      </c>
    </row>
    <row r="3036" spans="1:11" x14ac:dyDescent="0.25">
      <c r="A3036" t="s">
        <v>3076</v>
      </c>
      <c r="B3036" s="1">
        <v>46124.93236111111</v>
      </c>
      <c r="C3036" s="2" t="s">
        <v>22</v>
      </c>
      <c r="D3036" t="s">
        <v>13</v>
      </c>
      <c r="E3036">
        <v>222000</v>
      </c>
      <c r="F3036" t="s">
        <v>14</v>
      </c>
      <c r="G3036" t="s">
        <v>30</v>
      </c>
      <c r="H3036" t="s">
        <v>16</v>
      </c>
      <c r="I3036">
        <v>4107</v>
      </c>
      <c r="J3036">
        <v>1642.8</v>
      </c>
      <c r="K3036">
        <v>2464.1999999999998</v>
      </c>
    </row>
    <row r="3037" spans="1:11" x14ac:dyDescent="0.25">
      <c r="A3037" t="s">
        <v>3077</v>
      </c>
      <c r="B3037" s="1">
        <v>45913.999085648145</v>
      </c>
      <c r="C3037" s="2" t="s">
        <v>26</v>
      </c>
      <c r="D3037" t="s">
        <v>33</v>
      </c>
      <c r="E3037">
        <v>76908</v>
      </c>
      <c r="F3037" t="s">
        <v>14</v>
      </c>
      <c r="G3037" t="s">
        <v>58</v>
      </c>
      <c r="H3037" t="s">
        <v>16</v>
      </c>
      <c r="I3037">
        <v>0</v>
      </c>
      <c r="J3037">
        <v>0</v>
      </c>
      <c r="K3037">
        <v>0</v>
      </c>
    </row>
    <row r="3038" spans="1:11" x14ac:dyDescent="0.25">
      <c r="A3038" t="s">
        <v>3078</v>
      </c>
      <c r="B3038" s="1">
        <v>45876.570555555554</v>
      </c>
      <c r="C3038" s="2" t="s">
        <v>18</v>
      </c>
      <c r="D3038" t="s">
        <v>45</v>
      </c>
      <c r="E3038">
        <v>91764</v>
      </c>
      <c r="F3038" t="s">
        <v>50</v>
      </c>
      <c r="G3038" t="s">
        <v>30</v>
      </c>
      <c r="H3038" t="s">
        <v>46</v>
      </c>
      <c r="I3038">
        <v>917.64</v>
      </c>
      <c r="J3038">
        <v>0</v>
      </c>
      <c r="K3038">
        <v>917.64</v>
      </c>
    </row>
    <row r="3039" spans="1:11" x14ac:dyDescent="0.25">
      <c r="A3039" t="s">
        <v>3079</v>
      </c>
      <c r="B3039" s="1">
        <v>45948.246701388889</v>
      </c>
      <c r="C3039" s="2" t="s">
        <v>22</v>
      </c>
      <c r="D3039" t="s">
        <v>23</v>
      </c>
      <c r="E3039">
        <v>3597</v>
      </c>
      <c r="F3039" t="s">
        <v>14</v>
      </c>
      <c r="G3039" t="s">
        <v>24</v>
      </c>
      <c r="H3039" t="s">
        <v>16</v>
      </c>
      <c r="I3039">
        <v>0</v>
      </c>
      <c r="J3039">
        <v>0</v>
      </c>
      <c r="K3039">
        <v>0</v>
      </c>
    </row>
    <row r="3040" spans="1:11" x14ac:dyDescent="0.25">
      <c r="A3040" t="s">
        <v>3080</v>
      </c>
      <c r="B3040" s="1">
        <v>45832.018796296295</v>
      </c>
      <c r="C3040" s="2" t="s">
        <v>22</v>
      </c>
      <c r="D3040" t="s">
        <v>13</v>
      </c>
      <c r="E3040">
        <v>47500</v>
      </c>
      <c r="F3040" t="s">
        <v>14</v>
      </c>
      <c r="G3040" t="s">
        <v>34</v>
      </c>
      <c r="H3040" t="s">
        <v>16</v>
      </c>
      <c r="I3040">
        <v>878.75</v>
      </c>
      <c r="J3040">
        <v>351.5</v>
      </c>
      <c r="K3040">
        <v>527.25</v>
      </c>
    </row>
    <row r="3041" spans="1:11" x14ac:dyDescent="0.25">
      <c r="A3041" t="s">
        <v>3081</v>
      </c>
      <c r="B3041" s="1">
        <v>46112.667071759257</v>
      </c>
      <c r="C3041" s="2" t="s">
        <v>22</v>
      </c>
      <c r="D3041" t="s">
        <v>19</v>
      </c>
      <c r="E3041">
        <v>503</v>
      </c>
      <c r="F3041" t="s">
        <v>14</v>
      </c>
      <c r="G3041" t="s">
        <v>84</v>
      </c>
      <c r="H3041" t="s">
        <v>16</v>
      </c>
      <c r="I3041">
        <v>5</v>
      </c>
      <c r="J3041">
        <v>0</v>
      </c>
      <c r="K3041">
        <v>5</v>
      </c>
    </row>
    <row r="3042" spans="1:11" x14ac:dyDescent="0.25">
      <c r="A3042" t="s">
        <v>3082</v>
      </c>
      <c r="B3042" s="1">
        <v>46048.50068287037</v>
      </c>
      <c r="C3042" s="2" t="s">
        <v>18</v>
      </c>
      <c r="D3042" t="s">
        <v>45</v>
      </c>
      <c r="E3042">
        <v>122052</v>
      </c>
      <c r="F3042" t="s">
        <v>14</v>
      </c>
      <c r="G3042" t="s">
        <v>20</v>
      </c>
      <c r="H3042" t="s">
        <v>56</v>
      </c>
      <c r="I3042">
        <v>1220.52</v>
      </c>
      <c r="J3042">
        <v>0</v>
      </c>
      <c r="K3042">
        <v>1220.52</v>
      </c>
    </row>
    <row r="3043" spans="1:11" x14ac:dyDescent="0.25">
      <c r="A3043" t="s">
        <v>3083</v>
      </c>
      <c r="B3043" s="1">
        <v>45850.837650462963</v>
      </c>
      <c r="C3043" s="2" t="s">
        <v>22</v>
      </c>
      <c r="D3043" t="s">
        <v>13</v>
      </c>
      <c r="E3043">
        <v>50000</v>
      </c>
      <c r="F3043" t="s">
        <v>14</v>
      </c>
      <c r="G3043" t="s">
        <v>51</v>
      </c>
      <c r="H3043" t="s">
        <v>16</v>
      </c>
      <c r="I3043">
        <v>925</v>
      </c>
      <c r="J3043">
        <v>370</v>
      </c>
      <c r="K3043">
        <v>555</v>
      </c>
    </row>
    <row r="3044" spans="1:11" x14ac:dyDescent="0.25">
      <c r="A3044" t="s">
        <v>3084</v>
      </c>
      <c r="B3044" s="1">
        <v>45880.686307870368</v>
      </c>
      <c r="C3044" s="2" t="s">
        <v>18</v>
      </c>
      <c r="D3044" t="s">
        <v>13</v>
      </c>
      <c r="E3044">
        <v>71500</v>
      </c>
      <c r="F3044" t="s">
        <v>14</v>
      </c>
      <c r="G3044" t="s">
        <v>20</v>
      </c>
      <c r="H3044" t="s">
        <v>16</v>
      </c>
      <c r="I3044">
        <v>1322.75</v>
      </c>
      <c r="J3044">
        <v>529.1</v>
      </c>
      <c r="K3044">
        <v>793.65</v>
      </c>
    </row>
    <row r="3045" spans="1:11" x14ac:dyDescent="0.25">
      <c r="A3045" t="s">
        <v>3085</v>
      </c>
      <c r="B3045" s="1">
        <v>46003.928680555553</v>
      </c>
      <c r="C3045" s="2" t="s">
        <v>41</v>
      </c>
      <c r="D3045" t="s">
        <v>33</v>
      </c>
      <c r="E3045">
        <v>117828</v>
      </c>
      <c r="F3045" t="s">
        <v>14</v>
      </c>
      <c r="G3045" t="s">
        <v>34</v>
      </c>
      <c r="H3045" t="s">
        <v>16</v>
      </c>
      <c r="I3045">
        <v>0</v>
      </c>
      <c r="J3045">
        <v>0</v>
      </c>
      <c r="K3045">
        <v>0</v>
      </c>
    </row>
    <row r="3046" spans="1:11" x14ac:dyDescent="0.25">
      <c r="A3046" t="s">
        <v>3086</v>
      </c>
      <c r="B3046" s="1">
        <v>46088.955289351848</v>
      </c>
      <c r="C3046" s="2" t="s">
        <v>32</v>
      </c>
      <c r="D3046" t="s">
        <v>13</v>
      </c>
      <c r="E3046">
        <v>164500</v>
      </c>
      <c r="F3046" t="s">
        <v>14</v>
      </c>
      <c r="G3046" t="s">
        <v>27</v>
      </c>
      <c r="H3046" t="s">
        <v>16</v>
      </c>
      <c r="I3046">
        <v>3043.25</v>
      </c>
      <c r="J3046">
        <v>1217.3</v>
      </c>
      <c r="K3046">
        <v>1825.95</v>
      </c>
    </row>
    <row r="3047" spans="1:11" x14ac:dyDescent="0.25">
      <c r="A3047" t="s">
        <v>3087</v>
      </c>
      <c r="B3047" s="1">
        <v>45903.731550925928</v>
      </c>
      <c r="C3047" s="2" t="s">
        <v>12</v>
      </c>
      <c r="D3047" t="s">
        <v>33</v>
      </c>
      <c r="E3047">
        <v>6572</v>
      </c>
      <c r="F3047" t="s">
        <v>14</v>
      </c>
      <c r="G3047" t="s">
        <v>20</v>
      </c>
      <c r="H3047" t="s">
        <v>16</v>
      </c>
      <c r="I3047">
        <v>0</v>
      </c>
      <c r="J3047">
        <v>0</v>
      </c>
      <c r="K3047">
        <v>0</v>
      </c>
    </row>
    <row r="3048" spans="1:11" x14ac:dyDescent="0.25">
      <c r="A3048" t="s">
        <v>3088</v>
      </c>
      <c r="B3048" s="1">
        <v>45925.555439814816</v>
      </c>
      <c r="C3048" s="2" t="s">
        <v>18</v>
      </c>
      <c r="D3048" t="s">
        <v>33</v>
      </c>
      <c r="E3048">
        <v>143432</v>
      </c>
      <c r="F3048" t="s">
        <v>14</v>
      </c>
      <c r="G3048" t="s">
        <v>84</v>
      </c>
      <c r="H3048" t="s">
        <v>16</v>
      </c>
      <c r="I3048">
        <v>0</v>
      </c>
      <c r="J3048">
        <v>0</v>
      </c>
      <c r="K3048">
        <v>0</v>
      </c>
    </row>
    <row r="3049" spans="1:11" x14ac:dyDescent="0.25">
      <c r="A3049" t="s">
        <v>3089</v>
      </c>
      <c r="B3049" s="1">
        <v>46099.636331018519</v>
      </c>
      <c r="C3049" s="2" t="s">
        <v>26</v>
      </c>
      <c r="D3049" t="s">
        <v>19</v>
      </c>
      <c r="E3049">
        <v>54671</v>
      </c>
      <c r="F3049" t="s">
        <v>14</v>
      </c>
      <c r="G3049" t="s">
        <v>20</v>
      </c>
      <c r="H3049" t="s">
        <v>16</v>
      </c>
      <c r="I3049">
        <v>5</v>
      </c>
      <c r="J3049">
        <v>0</v>
      </c>
      <c r="K3049">
        <v>5</v>
      </c>
    </row>
    <row r="3050" spans="1:11" x14ac:dyDescent="0.25">
      <c r="A3050" t="s">
        <v>3090</v>
      </c>
      <c r="B3050" s="1">
        <v>46142.703981481478</v>
      </c>
      <c r="C3050" s="2" t="s">
        <v>18</v>
      </c>
      <c r="D3050" t="s">
        <v>45</v>
      </c>
      <c r="E3050">
        <v>53891</v>
      </c>
      <c r="F3050" t="s">
        <v>50</v>
      </c>
      <c r="G3050" t="s">
        <v>20</v>
      </c>
      <c r="H3050" t="s">
        <v>178</v>
      </c>
      <c r="I3050">
        <v>538.91</v>
      </c>
      <c r="J3050">
        <v>0</v>
      </c>
      <c r="K3050">
        <v>538.91</v>
      </c>
    </row>
    <row r="3051" spans="1:11" x14ac:dyDescent="0.25">
      <c r="A3051" t="s">
        <v>3091</v>
      </c>
      <c r="B3051" s="1">
        <v>46044.314826388887</v>
      </c>
      <c r="C3051" s="2" t="s">
        <v>29</v>
      </c>
      <c r="D3051" t="s">
        <v>45</v>
      </c>
      <c r="E3051">
        <v>136430</v>
      </c>
      <c r="F3051" t="s">
        <v>14</v>
      </c>
      <c r="G3051" t="s">
        <v>51</v>
      </c>
      <c r="H3051" t="s">
        <v>56</v>
      </c>
      <c r="I3051">
        <v>1364.3</v>
      </c>
      <c r="J3051">
        <v>0</v>
      </c>
      <c r="K3051">
        <v>1364.3</v>
      </c>
    </row>
    <row r="3052" spans="1:11" x14ac:dyDescent="0.25">
      <c r="A3052" t="s">
        <v>3092</v>
      </c>
      <c r="B3052" s="1">
        <v>46036.561238425929</v>
      </c>
      <c r="C3052" s="2" t="s">
        <v>32</v>
      </c>
      <c r="D3052" t="s">
        <v>45</v>
      </c>
      <c r="E3052">
        <v>31730</v>
      </c>
      <c r="F3052" t="s">
        <v>14</v>
      </c>
      <c r="G3052" t="s">
        <v>30</v>
      </c>
      <c r="H3052" t="s">
        <v>59</v>
      </c>
      <c r="I3052">
        <v>317.3</v>
      </c>
      <c r="J3052">
        <v>0</v>
      </c>
      <c r="K3052">
        <v>317.3</v>
      </c>
    </row>
    <row r="3053" spans="1:11" x14ac:dyDescent="0.25">
      <c r="A3053" t="s">
        <v>3093</v>
      </c>
      <c r="B3053" s="1">
        <v>45951.946597222224</v>
      </c>
      <c r="C3053" s="2" t="s">
        <v>32</v>
      </c>
      <c r="D3053" t="s">
        <v>13</v>
      </c>
      <c r="E3053">
        <v>27000</v>
      </c>
      <c r="F3053" t="s">
        <v>14</v>
      </c>
      <c r="G3053" t="s">
        <v>24</v>
      </c>
      <c r="H3053" t="s">
        <v>16</v>
      </c>
      <c r="I3053">
        <v>499.5</v>
      </c>
      <c r="J3053">
        <v>199.8</v>
      </c>
      <c r="K3053">
        <v>299.7</v>
      </c>
    </row>
    <row r="3054" spans="1:11" x14ac:dyDescent="0.25">
      <c r="A3054" t="s">
        <v>3094</v>
      </c>
      <c r="B3054" s="1">
        <v>46103.920138888891</v>
      </c>
      <c r="C3054" s="2" t="s">
        <v>29</v>
      </c>
      <c r="D3054" t="s">
        <v>19</v>
      </c>
      <c r="E3054">
        <v>24757</v>
      </c>
      <c r="F3054" t="s">
        <v>14</v>
      </c>
      <c r="G3054" t="s">
        <v>84</v>
      </c>
      <c r="H3054" t="s">
        <v>16</v>
      </c>
      <c r="I3054">
        <v>5</v>
      </c>
      <c r="J3054">
        <v>0</v>
      </c>
      <c r="K3054">
        <v>5</v>
      </c>
    </row>
    <row r="3055" spans="1:11" x14ac:dyDescent="0.25">
      <c r="A3055" t="s">
        <v>3095</v>
      </c>
      <c r="B3055" s="1">
        <v>46002.650034722225</v>
      </c>
      <c r="C3055" s="2" t="s">
        <v>12</v>
      </c>
      <c r="D3055" t="s">
        <v>45</v>
      </c>
      <c r="E3055">
        <v>10063</v>
      </c>
      <c r="F3055" t="s">
        <v>14</v>
      </c>
      <c r="G3055" t="s">
        <v>24</v>
      </c>
      <c r="H3055" t="s">
        <v>56</v>
      </c>
      <c r="I3055">
        <v>100.63</v>
      </c>
      <c r="J3055">
        <v>0</v>
      </c>
      <c r="K3055">
        <v>100.63</v>
      </c>
    </row>
    <row r="3056" spans="1:11" x14ac:dyDescent="0.25">
      <c r="A3056" t="s">
        <v>3096</v>
      </c>
      <c r="B3056" s="1">
        <v>46007.334560185183</v>
      </c>
      <c r="C3056" s="2" t="s">
        <v>12</v>
      </c>
      <c r="D3056" t="s">
        <v>33</v>
      </c>
      <c r="E3056">
        <v>9530</v>
      </c>
      <c r="F3056" t="s">
        <v>14</v>
      </c>
      <c r="G3056" t="s">
        <v>24</v>
      </c>
      <c r="H3056" t="s">
        <v>16</v>
      </c>
      <c r="I3056">
        <v>0</v>
      </c>
      <c r="J3056">
        <v>0</v>
      </c>
      <c r="K3056">
        <v>0</v>
      </c>
    </row>
    <row r="3057" spans="1:11" x14ac:dyDescent="0.25">
      <c r="A3057" t="s">
        <v>3097</v>
      </c>
      <c r="B3057" s="1">
        <v>46053.16678240741</v>
      </c>
      <c r="C3057" s="2" t="s">
        <v>12</v>
      </c>
      <c r="D3057" t="s">
        <v>33</v>
      </c>
      <c r="E3057">
        <v>55476</v>
      </c>
      <c r="F3057" t="s">
        <v>14</v>
      </c>
      <c r="G3057" t="s">
        <v>27</v>
      </c>
      <c r="H3057" t="s">
        <v>16</v>
      </c>
      <c r="I3057">
        <v>0</v>
      </c>
      <c r="J3057">
        <v>0</v>
      </c>
      <c r="K3057">
        <v>0</v>
      </c>
    </row>
    <row r="3058" spans="1:11" x14ac:dyDescent="0.25">
      <c r="A3058" t="s">
        <v>3098</v>
      </c>
      <c r="B3058" s="1">
        <v>45897.196863425925</v>
      </c>
      <c r="C3058" s="2" t="s">
        <v>39</v>
      </c>
      <c r="D3058" t="s">
        <v>33</v>
      </c>
      <c r="E3058">
        <v>34027</v>
      </c>
      <c r="F3058" t="s">
        <v>14</v>
      </c>
      <c r="G3058" t="s">
        <v>34</v>
      </c>
      <c r="H3058" t="s">
        <v>16</v>
      </c>
      <c r="I3058">
        <v>0</v>
      </c>
      <c r="J3058">
        <v>0</v>
      </c>
      <c r="K3058">
        <v>0</v>
      </c>
    </row>
    <row r="3059" spans="1:11" x14ac:dyDescent="0.25">
      <c r="A3059" t="s">
        <v>3099</v>
      </c>
      <c r="B3059" s="1">
        <v>45988.290416666663</v>
      </c>
      <c r="C3059" s="2" t="s">
        <v>41</v>
      </c>
      <c r="D3059" t="s">
        <v>13</v>
      </c>
      <c r="E3059">
        <v>151000</v>
      </c>
      <c r="F3059" t="s">
        <v>14</v>
      </c>
      <c r="G3059" t="s">
        <v>27</v>
      </c>
      <c r="H3059" t="s">
        <v>16</v>
      </c>
      <c r="I3059">
        <v>2793.5</v>
      </c>
      <c r="J3059">
        <v>1117.4000000000001</v>
      </c>
      <c r="K3059">
        <v>1676.1</v>
      </c>
    </row>
    <row r="3060" spans="1:11" x14ac:dyDescent="0.25">
      <c r="A3060" t="s">
        <v>3100</v>
      </c>
      <c r="B3060" s="1">
        <v>45820.97896990741</v>
      </c>
      <c r="C3060" s="2" t="s">
        <v>12</v>
      </c>
      <c r="D3060" t="s">
        <v>13</v>
      </c>
      <c r="E3060">
        <v>126000</v>
      </c>
      <c r="F3060" t="s">
        <v>14</v>
      </c>
      <c r="G3060" t="s">
        <v>84</v>
      </c>
      <c r="H3060" t="s">
        <v>16</v>
      </c>
      <c r="I3060">
        <v>2331</v>
      </c>
      <c r="J3060">
        <v>932.4</v>
      </c>
      <c r="K3060">
        <v>1398.6</v>
      </c>
    </row>
    <row r="3061" spans="1:11" x14ac:dyDescent="0.25">
      <c r="A3061" t="s">
        <v>3101</v>
      </c>
      <c r="B3061" s="1">
        <v>46136.60361111111</v>
      </c>
      <c r="C3061" s="2" t="s">
        <v>12</v>
      </c>
      <c r="D3061" t="s">
        <v>23</v>
      </c>
      <c r="E3061">
        <v>3197</v>
      </c>
      <c r="F3061" t="s">
        <v>14</v>
      </c>
      <c r="G3061" t="s">
        <v>20</v>
      </c>
      <c r="H3061" t="s">
        <v>16</v>
      </c>
      <c r="I3061">
        <v>0</v>
      </c>
      <c r="J3061">
        <v>0</v>
      </c>
      <c r="K3061">
        <v>0</v>
      </c>
    </row>
    <row r="3062" spans="1:11" x14ac:dyDescent="0.25">
      <c r="A3062" t="s">
        <v>3102</v>
      </c>
      <c r="B3062" s="1">
        <v>46085.999502314815</v>
      </c>
      <c r="C3062" s="2" t="s">
        <v>29</v>
      </c>
      <c r="D3062" t="s">
        <v>19</v>
      </c>
      <c r="E3062">
        <v>71316</v>
      </c>
      <c r="F3062" t="s">
        <v>14</v>
      </c>
      <c r="G3062" t="s">
        <v>27</v>
      </c>
      <c r="H3062" t="s">
        <v>16</v>
      </c>
      <c r="I3062">
        <v>5</v>
      </c>
      <c r="J3062">
        <v>0</v>
      </c>
      <c r="K3062">
        <v>5</v>
      </c>
    </row>
    <row r="3063" spans="1:11" x14ac:dyDescent="0.25">
      <c r="A3063" t="s">
        <v>3103</v>
      </c>
      <c r="B3063" s="1">
        <v>46081.5309837963</v>
      </c>
      <c r="C3063" s="2" t="s">
        <v>41</v>
      </c>
      <c r="D3063" t="s">
        <v>45</v>
      </c>
      <c r="E3063">
        <v>9377</v>
      </c>
      <c r="F3063" t="s">
        <v>14</v>
      </c>
      <c r="G3063" t="s">
        <v>30</v>
      </c>
      <c r="H3063" t="s">
        <v>46</v>
      </c>
      <c r="I3063">
        <v>93.77</v>
      </c>
      <c r="J3063">
        <v>0</v>
      </c>
      <c r="K3063">
        <v>93.77</v>
      </c>
    </row>
    <row r="3064" spans="1:11" x14ac:dyDescent="0.25">
      <c r="A3064" t="s">
        <v>3104</v>
      </c>
      <c r="B3064" s="1">
        <v>45912.999027777776</v>
      </c>
      <c r="C3064" s="2" t="s">
        <v>18</v>
      </c>
      <c r="D3064" t="s">
        <v>23</v>
      </c>
      <c r="E3064">
        <v>4757</v>
      </c>
      <c r="F3064" t="s">
        <v>14</v>
      </c>
      <c r="G3064" t="s">
        <v>34</v>
      </c>
      <c r="H3064" t="s">
        <v>16</v>
      </c>
      <c r="I3064">
        <v>0</v>
      </c>
      <c r="J3064">
        <v>0</v>
      </c>
      <c r="K3064">
        <v>0</v>
      </c>
    </row>
    <row r="3065" spans="1:11" x14ac:dyDescent="0.25">
      <c r="A3065" t="s">
        <v>3105</v>
      </c>
      <c r="B3065" s="1">
        <v>45935.307835648149</v>
      </c>
      <c r="C3065" s="2" t="s">
        <v>32</v>
      </c>
      <c r="D3065" t="s">
        <v>13</v>
      </c>
      <c r="E3065">
        <v>7000</v>
      </c>
      <c r="F3065" t="s">
        <v>14</v>
      </c>
      <c r="G3065" t="s">
        <v>84</v>
      </c>
      <c r="H3065" t="s">
        <v>16</v>
      </c>
      <c r="I3065">
        <v>129.5</v>
      </c>
      <c r="J3065">
        <v>51.8</v>
      </c>
      <c r="K3065">
        <v>77.7</v>
      </c>
    </row>
    <row r="3066" spans="1:11" x14ac:dyDescent="0.25">
      <c r="A3066" t="s">
        <v>3106</v>
      </c>
      <c r="B3066" s="1">
        <v>46060.500092592592</v>
      </c>
      <c r="C3066" s="2" t="s">
        <v>22</v>
      </c>
      <c r="D3066" t="s">
        <v>13</v>
      </c>
      <c r="E3066">
        <v>122000</v>
      </c>
      <c r="F3066" t="s">
        <v>14</v>
      </c>
      <c r="G3066" t="s">
        <v>24</v>
      </c>
      <c r="H3066" t="s">
        <v>16</v>
      </c>
      <c r="I3066">
        <v>2257</v>
      </c>
      <c r="J3066">
        <v>902.8</v>
      </c>
      <c r="K3066">
        <v>1354.2</v>
      </c>
    </row>
    <row r="3067" spans="1:11" x14ac:dyDescent="0.25">
      <c r="A3067" t="s">
        <v>3107</v>
      </c>
      <c r="B3067" s="1">
        <v>45892.721261574072</v>
      </c>
      <c r="C3067" s="2" t="s">
        <v>39</v>
      </c>
      <c r="D3067" t="s">
        <v>45</v>
      </c>
      <c r="E3067">
        <v>66810</v>
      </c>
      <c r="F3067" t="s">
        <v>14</v>
      </c>
      <c r="G3067" t="s">
        <v>51</v>
      </c>
      <c r="H3067" t="s">
        <v>178</v>
      </c>
      <c r="I3067">
        <v>668.1</v>
      </c>
      <c r="J3067">
        <v>0</v>
      </c>
      <c r="K3067">
        <v>668.1</v>
      </c>
    </row>
    <row r="3068" spans="1:11" x14ac:dyDescent="0.25">
      <c r="A3068" t="s">
        <v>3108</v>
      </c>
      <c r="B3068" s="1">
        <v>46121.031342592592</v>
      </c>
      <c r="C3068" s="2" t="s">
        <v>12</v>
      </c>
      <c r="D3068" t="s">
        <v>45</v>
      </c>
      <c r="E3068">
        <v>29228</v>
      </c>
      <c r="F3068" t="s">
        <v>14</v>
      </c>
      <c r="G3068" t="s">
        <v>15</v>
      </c>
      <c r="H3068" t="s">
        <v>71</v>
      </c>
      <c r="I3068">
        <v>292.27999999999997</v>
      </c>
      <c r="J3068">
        <v>0</v>
      </c>
      <c r="K3068">
        <v>292.27999999999997</v>
      </c>
    </row>
    <row r="3069" spans="1:11" x14ac:dyDescent="0.25">
      <c r="A3069" t="s">
        <v>3109</v>
      </c>
      <c r="B3069" s="1">
        <v>45836.862083333333</v>
      </c>
      <c r="C3069" s="2" t="s">
        <v>22</v>
      </c>
      <c r="D3069" t="s">
        <v>13</v>
      </c>
      <c r="E3069">
        <v>11000</v>
      </c>
      <c r="F3069" t="s">
        <v>50</v>
      </c>
      <c r="G3069" t="s">
        <v>34</v>
      </c>
      <c r="H3069" t="s">
        <v>16</v>
      </c>
      <c r="I3069">
        <v>203.5</v>
      </c>
      <c r="J3069">
        <v>81.400000000000006</v>
      </c>
      <c r="K3069">
        <v>122.1</v>
      </c>
    </row>
    <row r="3070" spans="1:11" x14ac:dyDescent="0.25">
      <c r="A3070" t="s">
        <v>3110</v>
      </c>
      <c r="B3070" s="1">
        <v>46084.178194444445</v>
      </c>
      <c r="C3070" s="2" t="s">
        <v>18</v>
      </c>
      <c r="D3070" t="s">
        <v>33</v>
      </c>
      <c r="E3070">
        <v>54043</v>
      </c>
      <c r="F3070" t="s">
        <v>14</v>
      </c>
      <c r="G3070" t="s">
        <v>24</v>
      </c>
      <c r="H3070" t="s">
        <v>16</v>
      </c>
      <c r="I3070">
        <v>0</v>
      </c>
      <c r="J3070">
        <v>0</v>
      </c>
      <c r="K3070">
        <v>0</v>
      </c>
    </row>
    <row r="3071" spans="1:11" x14ac:dyDescent="0.25">
      <c r="A3071" t="s">
        <v>3111</v>
      </c>
      <c r="B3071" s="1">
        <v>45834.938715277778</v>
      </c>
      <c r="C3071" s="2" t="s">
        <v>29</v>
      </c>
      <c r="D3071" t="s">
        <v>13</v>
      </c>
      <c r="E3071">
        <v>65500</v>
      </c>
      <c r="F3071" t="s">
        <v>99</v>
      </c>
      <c r="G3071" t="s">
        <v>34</v>
      </c>
      <c r="H3071" t="s">
        <v>16</v>
      </c>
      <c r="I3071">
        <v>1211.75</v>
      </c>
      <c r="J3071">
        <v>484.7</v>
      </c>
      <c r="K3071">
        <v>727.05</v>
      </c>
    </row>
    <row r="3072" spans="1:11" x14ac:dyDescent="0.25">
      <c r="A3072" t="s">
        <v>3112</v>
      </c>
      <c r="B3072" s="1">
        <v>46126.98369212963</v>
      </c>
      <c r="C3072" s="2" t="s">
        <v>12</v>
      </c>
      <c r="D3072" t="s">
        <v>33</v>
      </c>
      <c r="E3072">
        <v>22096</v>
      </c>
      <c r="F3072" t="s">
        <v>50</v>
      </c>
      <c r="G3072" t="s">
        <v>51</v>
      </c>
      <c r="H3072" t="s">
        <v>16</v>
      </c>
      <c r="I3072">
        <v>0</v>
      </c>
      <c r="J3072">
        <v>0</v>
      </c>
      <c r="K3072">
        <v>0</v>
      </c>
    </row>
    <row r="3073" spans="1:11" x14ac:dyDescent="0.25">
      <c r="A3073" t="s">
        <v>3113</v>
      </c>
      <c r="B3073" s="1">
        <v>45894.971701388888</v>
      </c>
      <c r="C3073" s="2" t="s">
        <v>18</v>
      </c>
      <c r="D3073" t="s">
        <v>45</v>
      </c>
      <c r="E3073">
        <v>110654</v>
      </c>
      <c r="F3073" t="s">
        <v>14</v>
      </c>
      <c r="G3073" t="s">
        <v>20</v>
      </c>
      <c r="H3073" t="s">
        <v>46</v>
      </c>
      <c r="I3073">
        <v>1106.54</v>
      </c>
      <c r="J3073">
        <v>0</v>
      </c>
      <c r="K3073">
        <v>1106.54</v>
      </c>
    </row>
    <row r="3074" spans="1:11" x14ac:dyDescent="0.25">
      <c r="A3074" t="s">
        <v>3114</v>
      </c>
      <c r="B3074" s="1">
        <v>45800.870671296296</v>
      </c>
      <c r="C3074" s="2" t="s">
        <v>39</v>
      </c>
      <c r="D3074" t="s">
        <v>13</v>
      </c>
      <c r="E3074">
        <v>26000</v>
      </c>
      <c r="F3074" t="s">
        <v>14</v>
      </c>
      <c r="G3074" t="s">
        <v>15</v>
      </c>
      <c r="H3074" t="s">
        <v>16</v>
      </c>
      <c r="I3074">
        <v>481</v>
      </c>
      <c r="J3074">
        <v>192.4</v>
      </c>
      <c r="K3074">
        <v>288.60000000000002</v>
      </c>
    </row>
    <row r="3075" spans="1:11" x14ac:dyDescent="0.25">
      <c r="A3075" t="s">
        <v>3115</v>
      </c>
      <c r="B3075" s="1">
        <v>46094.605405092596</v>
      </c>
      <c r="C3075" s="2" t="s">
        <v>39</v>
      </c>
      <c r="D3075" t="s">
        <v>19</v>
      </c>
      <c r="E3075">
        <v>80703</v>
      </c>
      <c r="F3075" t="s">
        <v>14</v>
      </c>
      <c r="G3075" t="s">
        <v>34</v>
      </c>
      <c r="H3075" t="s">
        <v>16</v>
      </c>
      <c r="I3075">
        <v>5</v>
      </c>
      <c r="J3075">
        <v>0</v>
      </c>
      <c r="K3075">
        <v>5</v>
      </c>
    </row>
    <row r="3076" spans="1:11" x14ac:dyDescent="0.25">
      <c r="A3076" t="s">
        <v>3116</v>
      </c>
      <c r="B3076" s="1">
        <v>45779.679120370369</v>
      </c>
      <c r="C3076" s="2" t="s">
        <v>29</v>
      </c>
      <c r="D3076" t="s">
        <v>23</v>
      </c>
      <c r="E3076">
        <v>1699</v>
      </c>
      <c r="F3076" t="s">
        <v>14</v>
      </c>
      <c r="G3076" t="s">
        <v>58</v>
      </c>
      <c r="H3076" t="s">
        <v>16</v>
      </c>
      <c r="I3076">
        <v>0</v>
      </c>
      <c r="J3076">
        <v>0</v>
      </c>
      <c r="K3076">
        <v>0</v>
      </c>
    </row>
    <row r="3077" spans="1:11" x14ac:dyDescent="0.25">
      <c r="A3077" t="s">
        <v>3117</v>
      </c>
      <c r="B3077" s="1">
        <v>45881.750509259262</v>
      </c>
      <c r="C3077" s="2" t="s">
        <v>41</v>
      </c>
      <c r="D3077" t="s">
        <v>23</v>
      </c>
      <c r="E3077">
        <v>4160</v>
      </c>
      <c r="F3077" t="s">
        <v>14</v>
      </c>
      <c r="G3077" t="s">
        <v>51</v>
      </c>
      <c r="H3077" t="s">
        <v>16</v>
      </c>
      <c r="I3077">
        <v>0</v>
      </c>
      <c r="J3077">
        <v>0</v>
      </c>
      <c r="K3077">
        <v>0</v>
      </c>
    </row>
    <row r="3078" spans="1:11" x14ac:dyDescent="0.25">
      <c r="A3078" t="s">
        <v>3118</v>
      </c>
      <c r="B3078" s="1">
        <v>45913.05572916667</v>
      </c>
      <c r="C3078" s="2" t="s">
        <v>39</v>
      </c>
      <c r="D3078" t="s">
        <v>23</v>
      </c>
      <c r="E3078">
        <v>1732</v>
      </c>
      <c r="F3078" t="s">
        <v>14</v>
      </c>
      <c r="G3078" t="s">
        <v>34</v>
      </c>
      <c r="H3078" t="s">
        <v>16</v>
      </c>
      <c r="I3078">
        <v>0</v>
      </c>
      <c r="J3078">
        <v>0</v>
      </c>
      <c r="K3078">
        <v>0</v>
      </c>
    </row>
    <row r="3079" spans="1:11" x14ac:dyDescent="0.25">
      <c r="A3079" t="s">
        <v>3119</v>
      </c>
      <c r="B3079" s="1">
        <v>46023.787858796299</v>
      </c>
      <c r="C3079" s="2" t="s">
        <v>22</v>
      </c>
      <c r="D3079" t="s">
        <v>45</v>
      </c>
      <c r="E3079">
        <v>87901</v>
      </c>
      <c r="F3079" t="s">
        <v>14</v>
      </c>
      <c r="G3079" t="s">
        <v>34</v>
      </c>
      <c r="H3079" t="s">
        <v>59</v>
      </c>
      <c r="I3079">
        <v>879.01</v>
      </c>
      <c r="J3079">
        <v>0</v>
      </c>
      <c r="K3079">
        <v>879.01</v>
      </c>
    </row>
    <row r="3080" spans="1:11" x14ac:dyDescent="0.25">
      <c r="A3080" t="s">
        <v>3120</v>
      </c>
      <c r="B3080" s="1">
        <v>46008.962488425925</v>
      </c>
      <c r="C3080" s="2" t="s">
        <v>26</v>
      </c>
      <c r="D3080" t="s">
        <v>23</v>
      </c>
      <c r="E3080">
        <v>4121</v>
      </c>
      <c r="F3080" t="s">
        <v>14</v>
      </c>
      <c r="G3080" t="s">
        <v>24</v>
      </c>
      <c r="H3080" t="s">
        <v>16</v>
      </c>
      <c r="I3080">
        <v>0</v>
      </c>
      <c r="J3080">
        <v>0</v>
      </c>
      <c r="K3080">
        <v>0</v>
      </c>
    </row>
    <row r="3081" spans="1:11" x14ac:dyDescent="0.25">
      <c r="A3081" t="s">
        <v>3121</v>
      </c>
      <c r="B3081" s="1">
        <v>45964.038842592592</v>
      </c>
      <c r="C3081" s="2" t="s">
        <v>18</v>
      </c>
      <c r="D3081" t="s">
        <v>13</v>
      </c>
      <c r="E3081">
        <v>80000</v>
      </c>
      <c r="F3081" t="s">
        <v>14</v>
      </c>
      <c r="G3081" t="s">
        <v>15</v>
      </c>
      <c r="H3081" t="s">
        <v>16</v>
      </c>
      <c r="I3081">
        <v>1480</v>
      </c>
      <c r="J3081">
        <v>592</v>
      </c>
      <c r="K3081">
        <v>888</v>
      </c>
    </row>
    <row r="3082" spans="1:11" x14ac:dyDescent="0.25">
      <c r="A3082" t="s">
        <v>3122</v>
      </c>
      <c r="B3082" s="1">
        <v>45990.989062499997</v>
      </c>
      <c r="C3082" s="2" t="s">
        <v>26</v>
      </c>
      <c r="D3082" t="s">
        <v>13</v>
      </c>
      <c r="E3082">
        <v>223000</v>
      </c>
      <c r="F3082" t="s">
        <v>14</v>
      </c>
      <c r="G3082" t="s">
        <v>51</v>
      </c>
      <c r="H3082" t="s">
        <v>16</v>
      </c>
      <c r="I3082">
        <v>4125.5</v>
      </c>
      <c r="J3082">
        <v>1650.2</v>
      </c>
      <c r="K3082">
        <v>2475.3000000000002</v>
      </c>
    </row>
    <row r="3083" spans="1:11" x14ac:dyDescent="0.25">
      <c r="A3083" t="s">
        <v>3123</v>
      </c>
      <c r="B3083" s="1">
        <v>46066.968726851854</v>
      </c>
      <c r="C3083" s="2" t="s">
        <v>22</v>
      </c>
      <c r="D3083" t="s">
        <v>23</v>
      </c>
      <c r="E3083">
        <v>241</v>
      </c>
      <c r="F3083" t="s">
        <v>14</v>
      </c>
      <c r="G3083" t="s">
        <v>15</v>
      </c>
      <c r="H3083" t="s">
        <v>16</v>
      </c>
      <c r="I3083">
        <v>0</v>
      </c>
      <c r="J3083">
        <v>0</v>
      </c>
      <c r="K3083">
        <v>0</v>
      </c>
    </row>
    <row r="3084" spans="1:11" x14ac:dyDescent="0.25">
      <c r="A3084" t="s">
        <v>3124</v>
      </c>
      <c r="B3084" s="1">
        <v>45921.301712962966</v>
      </c>
      <c r="C3084" s="2" t="s">
        <v>26</v>
      </c>
      <c r="D3084" t="s">
        <v>19</v>
      </c>
      <c r="E3084">
        <v>62358</v>
      </c>
      <c r="F3084" t="s">
        <v>14</v>
      </c>
      <c r="G3084" t="s">
        <v>84</v>
      </c>
      <c r="H3084" t="s">
        <v>16</v>
      </c>
      <c r="I3084">
        <v>5</v>
      </c>
      <c r="J3084">
        <v>0</v>
      </c>
      <c r="K3084">
        <v>5</v>
      </c>
    </row>
    <row r="3085" spans="1:11" x14ac:dyDescent="0.25">
      <c r="A3085" t="s">
        <v>3125</v>
      </c>
      <c r="B3085" s="1">
        <v>45886.328287037039</v>
      </c>
      <c r="C3085" s="2" t="s">
        <v>41</v>
      </c>
      <c r="D3085" t="s">
        <v>23</v>
      </c>
      <c r="E3085">
        <v>291</v>
      </c>
      <c r="F3085" t="s">
        <v>14</v>
      </c>
      <c r="G3085" t="s">
        <v>30</v>
      </c>
      <c r="H3085" t="s">
        <v>16</v>
      </c>
      <c r="I3085">
        <v>0</v>
      </c>
      <c r="J3085">
        <v>0</v>
      </c>
      <c r="K3085">
        <v>0</v>
      </c>
    </row>
    <row r="3086" spans="1:11" x14ac:dyDescent="0.25">
      <c r="A3086" t="s">
        <v>3126</v>
      </c>
      <c r="B3086" s="1">
        <v>45909.105381944442</v>
      </c>
      <c r="C3086" s="2" t="s">
        <v>41</v>
      </c>
      <c r="D3086" t="s">
        <v>23</v>
      </c>
      <c r="E3086">
        <v>3498</v>
      </c>
      <c r="F3086" t="s">
        <v>14</v>
      </c>
      <c r="G3086" t="s">
        <v>84</v>
      </c>
      <c r="H3086" t="s">
        <v>16</v>
      </c>
      <c r="I3086">
        <v>0</v>
      </c>
      <c r="J3086">
        <v>0</v>
      </c>
      <c r="K3086">
        <v>0</v>
      </c>
    </row>
    <row r="3087" spans="1:11" x14ac:dyDescent="0.25">
      <c r="A3087" t="s">
        <v>3127</v>
      </c>
      <c r="B3087" s="1">
        <v>45980.884456018517</v>
      </c>
      <c r="C3087" s="2" t="s">
        <v>18</v>
      </c>
      <c r="D3087" t="s">
        <v>19</v>
      </c>
      <c r="E3087">
        <v>70142</v>
      </c>
      <c r="F3087" t="s">
        <v>14</v>
      </c>
      <c r="G3087" t="s">
        <v>24</v>
      </c>
      <c r="H3087" t="s">
        <v>16</v>
      </c>
      <c r="I3087">
        <v>5</v>
      </c>
      <c r="J3087">
        <v>0</v>
      </c>
      <c r="K3087">
        <v>5</v>
      </c>
    </row>
    <row r="3088" spans="1:11" x14ac:dyDescent="0.25">
      <c r="A3088" t="s">
        <v>3128</v>
      </c>
      <c r="B3088" s="1">
        <v>46125.105266203704</v>
      </c>
      <c r="C3088" s="2" t="s">
        <v>29</v>
      </c>
      <c r="D3088" t="s">
        <v>23</v>
      </c>
      <c r="E3088">
        <v>2183</v>
      </c>
      <c r="F3088" t="s">
        <v>14</v>
      </c>
      <c r="G3088" t="s">
        <v>15</v>
      </c>
      <c r="H3088" t="s">
        <v>16</v>
      </c>
      <c r="I3088">
        <v>0</v>
      </c>
      <c r="J3088">
        <v>0</v>
      </c>
      <c r="K3088">
        <v>0</v>
      </c>
    </row>
    <row r="3089" spans="1:11" x14ac:dyDescent="0.25">
      <c r="A3089" t="s">
        <v>3129</v>
      </c>
      <c r="B3089" s="1">
        <v>45976.160729166666</v>
      </c>
      <c r="C3089" s="2" t="s">
        <v>12</v>
      </c>
      <c r="D3089" t="s">
        <v>23</v>
      </c>
      <c r="E3089">
        <v>3721</v>
      </c>
      <c r="F3089" t="s">
        <v>14</v>
      </c>
      <c r="G3089" t="s">
        <v>34</v>
      </c>
      <c r="H3089" t="s">
        <v>16</v>
      </c>
      <c r="I3089">
        <v>0</v>
      </c>
      <c r="J3089">
        <v>0</v>
      </c>
      <c r="K3089">
        <v>0</v>
      </c>
    </row>
    <row r="3090" spans="1:11" x14ac:dyDescent="0.25">
      <c r="A3090" t="s">
        <v>3130</v>
      </c>
      <c r="B3090" s="1">
        <v>46121.166342592594</v>
      </c>
      <c r="C3090" s="2" t="s">
        <v>32</v>
      </c>
      <c r="D3090" t="s">
        <v>19</v>
      </c>
      <c r="E3090">
        <v>100781</v>
      </c>
      <c r="F3090" t="s">
        <v>14</v>
      </c>
      <c r="G3090" t="s">
        <v>27</v>
      </c>
      <c r="H3090" t="s">
        <v>16</v>
      </c>
      <c r="I3090">
        <v>5</v>
      </c>
      <c r="J3090">
        <v>0</v>
      </c>
      <c r="K3090">
        <v>5</v>
      </c>
    </row>
    <row r="3091" spans="1:11" x14ac:dyDescent="0.25">
      <c r="A3091" t="s">
        <v>3131</v>
      </c>
      <c r="B3091" s="1">
        <v>45801.8675</v>
      </c>
      <c r="C3091" s="2" t="s">
        <v>29</v>
      </c>
      <c r="D3091" t="s">
        <v>13</v>
      </c>
      <c r="E3091">
        <v>60000</v>
      </c>
      <c r="F3091" t="s">
        <v>14</v>
      </c>
      <c r="G3091" t="s">
        <v>27</v>
      </c>
      <c r="H3091" t="s">
        <v>16</v>
      </c>
      <c r="I3091">
        <v>1110</v>
      </c>
      <c r="J3091">
        <v>444</v>
      </c>
      <c r="K3091">
        <v>666</v>
      </c>
    </row>
    <row r="3092" spans="1:11" x14ac:dyDescent="0.25">
      <c r="A3092" t="s">
        <v>3132</v>
      </c>
      <c r="B3092" s="1">
        <v>45934.593946759262</v>
      </c>
      <c r="C3092" s="2" t="s">
        <v>18</v>
      </c>
      <c r="D3092" t="s">
        <v>33</v>
      </c>
      <c r="E3092">
        <v>108419</v>
      </c>
      <c r="F3092" t="s">
        <v>14</v>
      </c>
      <c r="G3092" t="s">
        <v>20</v>
      </c>
      <c r="H3092" t="s">
        <v>16</v>
      </c>
      <c r="I3092">
        <v>0</v>
      </c>
      <c r="J3092">
        <v>0</v>
      </c>
      <c r="K3092">
        <v>0</v>
      </c>
    </row>
    <row r="3093" spans="1:11" x14ac:dyDescent="0.25">
      <c r="A3093" t="s">
        <v>3133</v>
      </c>
      <c r="B3093" s="1">
        <v>46119.555381944447</v>
      </c>
      <c r="C3093" s="2" t="s">
        <v>22</v>
      </c>
      <c r="D3093" t="s">
        <v>45</v>
      </c>
      <c r="E3093">
        <v>37976</v>
      </c>
      <c r="F3093" t="s">
        <v>14</v>
      </c>
      <c r="G3093" t="s">
        <v>15</v>
      </c>
      <c r="H3093" t="s">
        <v>59</v>
      </c>
      <c r="I3093">
        <v>379.76</v>
      </c>
      <c r="J3093">
        <v>0</v>
      </c>
      <c r="K3093">
        <v>379.76</v>
      </c>
    </row>
    <row r="3094" spans="1:11" x14ac:dyDescent="0.25">
      <c r="A3094" t="s">
        <v>3134</v>
      </c>
      <c r="B3094" s="1">
        <v>46134.68167824074</v>
      </c>
      <c r="C3094" s="2" t="s">
        <v>22</v>
      </c>
      <c r="D3094" t="s">
        <v>13</v>
      </c>
      <c r="E3094">
        <v>176500</v>
      </c>
      <c r="F3094" t="s">
        <v>14</v>
      </c>
      <c r="G3094" t="s">
        <v>24</v>
      </c>
      <c r="H3094" t="s">
        <v>16</v>
      </c>
      <c r="I3094">
        <v>3265.25</v>
      </c>
      <c r="J3094">
        <v>1306.0999999999999</v>
      </c>
      <c r="K3094">
        <v>1959.15</v>
      </c>
    </row>
    <row r="3095" spans="1:11" x14ac:dyDescent="0.25">
      <c r="A3095" t="s">
        <v>3135</v>
      </c>
      <c r="B3095" s="1">
        <v>45877.10560185185</v>
      </c>
      <c r="C3095" s="2" t="s">
        <v>41</v>
      </c>
      <c r="D3095" t="s">
        <v>23</v>
      </c>
      <c r="E3095">
        <v>1916</v>
      </c>
      <c r="F3095" t="s">
        <v>14</v>
      </c>
      <c r="G3095" t="s">
        <v>30</v>
      </c>
      <c r="H3095" t="s">
        <v>16</v>
      </c>
      <c r="I3095">
        <v>0</v>
      </c>
      <c r="J3095">
        <v>0</v>
      </c>
      <c r="K3095">
        <v>0</v>
      </c>
    </row>
    <row r="3096" spans="1:11" x14ac:dyDescent="0.25">
      <c r="A3096" t="s">
        <v>3136</v>
      </c>
      <c r="B3096" s="1">
        <v>45843.505335648151</v>
      </c>
      <c r="C3096" s="2" t="s">
        <v>39</v>
      </c>
      <c r="D3096" t="s">
        <v>23</v>
      </c>
      <c r="E3096">
        <v>3573</v>
      </c>
      <c r="F3096" t="s">
        <v>14</v>
      </c>
      <c r="G3096" t="s">
        <v>51</v>
      </c>
      <c r="H3096" t="s">
        <v>16</v>
      </c>
      <c r="I3096">
        <v>0</v>
      </c>
      <c r="J3096">
        <v>0</v>
      </c>
      <c r="K3096">
        <v>0</v>
      </c>
    </row>
    <row r="3097" spans="1:11" x14ac:dyDescent="0.25">
      <c r="A3097" t="s">
        <v>3137</v>
      </c>
      <c r="B3097" s="1">
        <v>45937.414293981485</v>
      </c>
      <c r="C3097" s="2" t="s">
        <v>22</v>
      </c>
      <c r="D3097" t="s">
        <v>45</v>
      </c>
      <c r="E3097">
        <v>11276</v>
      </c>
      <c r="F3097" t="s">
        <v>14</v>
      </c>
      <c r="G3097" t="s">
        <v>34</v>
      </c>
      <c r="H3097" t="s">
        <v>178</v>
      </c>
      <c r="I3097">
        <v>112.76</v>
      </c>
      <c r="J3097">
        <v>0</v>
      </c>
      <c r="K3097">
        <v>112.76</v>
      </c>
    </row>
    <row r="3098" spans="1:11" x14ac:dyDescent="0.25">
      <c r="A3098" t="s">
        <v>3138</v>
      </c>
      <c r="B3098" s="1">
        <v>45880.106030092589</v>
      </c>
      <c r="C3098" s="2" t="s">
        <v>26</v>
      </c>
      <c r="D3098" t="s">
        <v>13</v>
      </c>
      <c r="E3098">
        <v>191000</v>
      </c>
      <c r="F3098" t="s">
        <v>14</v>
      </c>
      <c r="G3098" t="s">
        <v>27</v>
      </c>
      <c r="H3098" t="s">
        <v>16</v>
      </c>
      <c r="I3098">
        <v>3533.5</v>
      </c>
      <c r="J3098">
        <v>1413.4</v>
      </c>
      <c r="K3098">
        <v>2120.1</v>
      </c>
    </row>
    <row r="3099" spans="1:11" x14ac:dyDescent="0.25">
      <c r="A3099" t="s">
        <v>3139</v>
      </c>
      <c r="B3099" s="1">
        <v>45977.871180555558</v>
      </c>
      <c r="C3099" s="2" t="s">
        <v>26</v>
      </c>
      <c r="D3099" t="s">
        <v>13</v>
      </c>
      <c r="E3099">
        <v>247500</v>
      </c>
      <c r="F3099" t="s">
        <v>14</v>
      </c>
      <c r="G3099" t="s">
        <v>15</v>
      </c>
      <c r="H3099" t="s">
        <v>16</v>
      </c>
      <c r="I3099">
        <v>4578.75</v>
      </c>
      <c r="J3099">
        <v>1831.5</v>
      </c>
      <c r="K3099">
        <v>2747.25</v>
      </c>
    </row>
    <row r="3100" spans="1:11" x14ac:dyDescent="0.25">
      <c r="A3100" t="s">
        <v>3140</v>
      </c>
      <c r="B3100" s="1">
        <v>45937.304976851854</v>
      </c>
      <c r="C3100" s="2" t="s">
        <v>41</v>
      </c>
      <c r="D3100" t="s">
        <v>45</v>
      </c>
      <c r="E3100">
        <v>17039</v>
      </c>
      <c r="F3100" t="s">
        <v>50</v>
      </c>
      <c r="G3100" t="s">
        <v>15</v>
      </c>
      <c r="H3100" t="s">
        <v>46</v>
      </c>
      <c r="I3100">
        <v>170.39</v>
      </c>
      <c r="J3100">
        <v>0</v>
      </c>
      <c r="K3100">
        <v>170.39</v>
      </c>
    </row>
    <row r="3101" spans="1:11" x14ac:dyDescent="0.25">
      <c r="A3101" t="s">
        <v>3141</v>
      </c>
      <c r="B3101" s="1">
        <v>46116.521504629629</v>
      </c>
      <c r="C3101" s="2" t="s">
        <v>12</v>
      </c>
      <c r="D3101" t="s">
        <v>33</v>
      </c>
      <c r="E3101">
        <v>10499</v>
      </c>
      <c r="F3101" t="s">
        <v>14</v>
      </c>
      <c r="G3101" t="s">
        <v>15</v>
      </c>
      <c r="H3101" t="s">
        <v>16</v>
      </c>
      <c r="I3101">
        <v>0</v>
      </c>
      <c r="J3101">
        <v>0</v>
      </c>
      <c r="K3101">
        <v>0</v>
      </c>
    </row>
    <row r="3102" spans="1:11" x14ac:dyDescent="0.25">
      <c r="A3102" t="s">
        <v>3142</v>
      </c>
      <c r="B3102" s="1">
        <v>45950.534166666665</v>
      </c>
      <c r="C3102" s="2" t="s">
        <v>12</v>
      </c>
      <c r="D3102" t="s">
        <v>13</v>
      </c>
      <c r="E3102">
        <v>245000</v>
      </c>
      <c r="F3102" t="s">
        <v>14</v>
      </c>
      <c r="G3102" t="s">
        <v>20</v>
      </c>
      <c r="H3102" t="s">
        <v>16</v>
      </c>
      <c r="I3102">
        <v>4532.5</v>
      </c>
      <c r="J3102">
        <v>1813</v>
      </c>
      <c r="K3102">
        <v>2719.5</v>
      </c>
    </row>
    <row r="3103" spans="1:11" x14ac:dyDescent="0.25">
      <c r="A3103" t="s">
        <v>3143</v>
      </c>
      <c r="B3103" s="1">
        <v>46094.986574074072</v>
      </c>
      <c r="C3103" s="2" t="s">
        <v>39</v>
      </c>
      <c r="D3103" t="s">
        <v>33</v>
      </c>
      <c r="E3103">
        <v>108386</v>
      </c>
      <c r="F3103" t="s">
        <v>14</v>
      </c>
      <c r="G3103" t="s">
        <v>84</v>
      </c>
      <c r="H3103" t="s">
        <v>16</v>
      </c>
      <c r="I3103">
        <v>0</v>
      </c>
      <c r="J3103">
        <v>0</v>
      </c>
      <c r="K3103">
        <v>0</v>
      </c>
    </row>
    <row r="3104" spans="1:11" x14ac:dyDescent="0.25">
      <c r="A3104" t="s">
        <v>3144</v>
      </c>
      <c r="B3104" s="1">
        <v>46081.340381944443</v>
      </c>
      <c r="C3104" s="2" t="s">
        <v>29</v>
      </c>
      <c r="D3104" t="s">
        <v>13</v>
      </c>
      <c r="E3104">
        <v>73000</v>
      </c>
      <c r="F3104" t="s">
        <v>14</v>
      </c>
      <c r="G3104" t="s">
        <v>51</v>
      </c>
      <c r="H3104" t="s">
        <v>16</v>
      </c>
      <c r="I3104">
        <v>1350.5</v>
      </c>
      <c r="J3104">
        <v>540.20000000000005</v>
      </c>
      <c r="K3104">
        <v>810.3</v>
      </c>
    </row>
    <row r="3105" spans="1:11" x14ac:dyDescent="0.25">
      <c r="A3105" t="s">
        <v>3145</v>
      </c>
      <c r="B3105" s="1">
        <v>45847.600023148145</v>
      </c>
      <c r="C3105" s="2" t="s">
        <v>39</v>
      </c>
      <c r="D3105" t="s">
        <v>19</v>
      </c>
      <c r="E3105">
        <v>59235</v>
      </c>
      <c r="F3105" t="s">
        <v>14</v>
      </c>
      <c r="G3105" t="s">
        <v>51</v>
      </c>
      <c r="H3105" t="s">
        <v>16</v>
      </c>
      <c r="I3105">
        <v>5</v>
      </c>
      <c r="J3105">
        <v>0</v>
      </c>
      <c r="K3105">
        <v>5</v>
      </c>
    </row>
    <row r="3106" spans="1:11" x14ac:dyDescent="0.25">
      <c r="A3106" t="s">
        <v>3146</v>
      </c>
      <c r="B3106" s="1">
        <v>45922.376319444447</v>
      </c>
      <c r="C3106" s="2" t="s">
        <v>41</v>
      </c>
      <c r="D3106" t="s">
        <v>45</v>
      </c>
      <c r="E3106">
        <v>19567</v>
      </c>
      <c r="F3106" t="s">
        <v>14</v>
      </c>
      <c r="G3106" t="s">
        <v>24</v>
      </c>
      <c r="H3106" t="s">
        <v>56</v>
      </c>
      <c r="I3106">
        <v>195.67</v>
      </c>
      <c r="J3106">
        <v>0</v>
      </c>
      <c r="K3106">
        <v>195.67</v>
      </c>
    </row>
    <row r="3107" spans="1:11" x14ac:dyDescent="0.25">
      <c r="A3107" t="s">
        <v>3147</v>
      </c>
      <c r="B3107" s="1">
        <v>46088.06449074074</v>
      </c>
      <c r="C3107" s="2" t="s">
        <v>22</v>
      </c>
      <c r="D3107" t="s">
        <v>33</v>
      </c>
      <c r="E3107">
        <v>132555</v>
      </c>
      <c r="F3107" t="s">
        <v>14</v>
      </c>
      <c r="G3107" t="s">
        <v>34</v>
      </c>
      <c r="H3107" t="s">
        <v>16</v>
      </c>
      <c r="I3107">
        <v>0</v>
      </c>
      <c r="J3107">
        <v>0</v>
      </c>
      <c r="K3107">
        <v>0</v>
      </c>
    </row>
    <row r="3108" spans="1:11" x14ac:dyDescent="0.25">
      <c r="A3108" t="s">
        <v>3148</v>
      </c>
      <c r="B3108" s="1">
        <v>46132.212523148148</v>
      </c>
      <c r="C3108" s="2" t="s">
        <v>18</v>
      </c>
      <c r="D3108" t="s">
        <v>23</v>
      </c>
      <c r="E3108">
        <v>2841</v>
      </c>
      <c r="F3108" t="s">
        <v>14</v>
      </c>
      <c r="G3108" t="s">
        <v>30</v>
      </c>
      <c r="H3108" t="s">
        <v>16</v>
      </c>
      <c r="I3108">
        <v>0</v>
      </c>
      <c r="J3108">
        <v>0</v>
      </c>
      <c r="K3108">
        <v>0</v>
      </c>
    </row>
    <row r="3109" spans="1:11" x14ac:dyDescent="0.25">
      <c r="A3109" t="s">
        <v>3149</v>
      </c>
      <c r="B3109" s="1">
        <v>45820.027048611111</v>
      </c>
      <c r="C3109" s="2" t="s">
        <v>39</v>
      </c>
      <c r="D3109" t="s">
        <v>13</v>
      </c>
      <c r="E3109">
        <v>132000</v>
      </c>
      <c r="F3109" t="s">
        <v>14</v>
      </c>
      <c r="G3109" t="s">
        <v>58</v>
      </c>
      <c r="H3109" t="s">
        <v>16</v>
      </c>
      <c r="I3109">
        <v>2442</v>
      </c>
      <c r="J3109">
        <v>976.8</v>
      </c>
      <c r="K3109">
        <v>1465.2</v>
      </c>
    </row>
    <row r="3110" spans="1:11" x14ac:dyDescent="0.25">
      <c r="A3110" t="s">
        <v>3150</v>
      </c>
      <c r="B3110" s="1">
        <v>46138.214768518519</v>
      </c>
      <c r="C3110" s="2" t="s">
        <v>12</v>
      </c>
      <c r="D3110" t="s">
        <v>23</v>
      </c>
      <c r="E3110">
        <v>4248</v>
      </c>
      <c r="F3110" t="s">
        <v>14</v>
      </c>
      <c r="G3110" t="s">
        <v>30</v>
      </c>
      <c r="H3110" t="s">
        <v>16</v>
      </c>
      <c r="I3110">
        <v>0</v>
      </c>
      <c r="J3110">
        <v>0</v>
      </c>
      <c r="K3110">
        <v>0</v>
      </c>
    </row>
    <row r="3111" spans="1:11" x14ac:dyDescent="0.25">
      <c r="A3111" t="s">
        <v>3151</v>
      </c>
      <c r="B3111" s="1">
        <v>45840.201307870368</v>
      </c>
      <c r="C3111" s="2" t="s">
        <v>12</v>
      </c>
      <c r="D3111" t="s">
        <v>19</v>
      </c>
      <c r="E3111">
        <v>46557</v>
      </c>
      <c r="F3111" t="s">
        <v>14</v>
      </c>
      <c r="G3111" t="s">
        <v>24</v>
      </c>
      <c r="H3111" t="s">
        <v>16</v>
      </c>
      <c r="I3111">
        <v>5</v>
      </c>
      <c r="J3111">
        <v>0</v>
      </c>
      <c r="K3111">
        <v>5</v>
      </c>
    </row>
    <row r="3112" spans="1:11" x14ac:dyDescent="0.25">
      <c r="A3112" t="s">
        <v>3152</v>
      </c>
      <c r="B3112" s="1">
        <v>45879.18445601852</v>
      </c>
      <c r="C3112" s="2" t="s">
        <v>39</v>
      </c>
      <c r="D3112" t="s">
        <v>19</v>
      </c>
      <c r="E3112">
        <v>15253</v>
      </c>
      <c r="F3112" t="s">
        <v>14</v>
      </c>
      <c r="G3112" t="s">
        <v>51</v>
      </c>
      <c r="H3112" t="s">
        <v>16</v>
      </c>
      <c r="I3112">
        <v>5</v>
      </c>
      <c r="J3112">
        <v>0</v>
      </c>
      <c r="K3112">
        <v>5</v>
      </c>
    </row>
    <row r="3113" spans="1:11" x14ac:dyDescent="0.25">
      <c r="A3113" t="s">
        <v>3153</v>
      </c>
      <c r="B3113" s="1">
        <v>45864.278981481482</v>
      </c>
      <c r="C3113" s="2" t="s">
        <v>32</v>
      </c>
      <c r="D3113" t="s">
        <v>45</v>
      </c>
      <c r="E3113">
        <v>37283</v>
      </c>
      <c r="F3113" t="s">
        <v>14</v>
      </c>
      <c r="G3113" t="s">
        <v>84</v>
      </c>
      <c r="H3113" t="s">
        <v>56</v>
      </c>
      <c r="I3113">
        <v>372.83</v>
      </c>
      <c r="J3113">
        <v>0</v>
      </c>
      <c r="K3113">
        <v>372.83</v>
      </c>
    </row>
    <row r="3114" spans="1:11" x14ac:dyDescent="0.25">
      <c r="A3114" t="s">
        <v>3154</v>
      </c>
      <c r="B3114" s="1">
        <v>45968.322754629633</v>
      </c>
      <c r="C3114" s="2" t="s">
        <v>39</v>
      </c>
      <c r="D3114" t="s">
        <v>45</v>
      </c>
      <c r="E3114">
        <v>30616</v>
      </c>
      <c r="F3114" t="s">
        <v>14</v>
      </c>
      <c r="G3114" t="s">
        <v>58</v>
      </c>
      <c r="H3114" t="s">
        <v>59</v>
      </c>
      <c r="I3114">
        <v>306.16000000000003</v>
      </c>
      <c r="J3114">
        <v>0</v>
      </c>
      <c r="K3114">
        <v>306.16000000000003</v>
      </c>
    </row>
    <row r="3115" spans="1:11" x14ac:dyDescent="0.25">
      <c r="A3115" t="s">
        <v>3155</v>
      </c>
      <c r="B3115" s="1">
        <v>46033.080069444448</v>
      </c>
      <c r="C3115" s="2" t="s">
        <v>26</v>
      </c>
      <c r="D3115" t="s">
        <v>19</v>
      </c>
      <c r="E3115">
        <v>38486</v>
      </c>
      <c r="F3115" t="s">
        <v>14</v>
      </c>
      <c r="G3115" t="s">
        <v>15</v>
      </c>
      <c r="H3115" t="s">
        <v>16</v>
      </c>
      <c r="I3115">
        <v>5</v>
      </c>
      <c r="J3115">
        <v>0</v>
      </c>
      <c r="K3115">
        <v>5</v>
      </c>
    </row>
    <row r="3116" spans="1:11" x14ac:dyDescent="0.25">
      <c r="A3116" t="s">
        <v>3156</v>
      </c>
      <c r="B3116" s="1">
        <v>46129.733287037037</v>
      </c>
      <c r="C3116" s="2" t="s">
        <v>39</v>
      </c>
      <c r="D3116" t="s">
        <v>13</v>
      </c>
      <c r="E3116">
        <v>233000</v>
      </c>
      <c r="F3116" t="s">
        <v>14</v>
      </c>
      <c r="G3116" t="s">
        <v>24</v>
      </c>
      <c r="H3116" t="s">
        <v>16</v>
      </c>
      <c r="I3116">
        <v>4310.5</v>
      </c>
      <c r="J3116">
        <v>1724.2</v>
      </c>
      <c r="K3116">
        <v>2586.3000000000002</v>
      </c>
    </row>
    <row r="3117" spans="1:11" x14ac:dyDescent="0.25">
      <c r="A3117" t="s">
        <v>3157</v>
      </c>
      <c r="B3117" s="1">
        <v>45955.554537037038</v>
      </c>
      <c r="C3117" s="2" t="s">
        <v>32</v>
      </c>
      <c r="D3117" t="s">
        <v>13</v>
      </c>
      <c r="E3117">
        <v>140500</v>
      </c>
      <c r="F3117" t="s">
        <v>14</v>
      </c>
      <c r="G3117" t="s">
        <v>84</v>
      </c>
      <c r="H3117" t="s">
        <v>16</v>
      </c>
      <c r="I3117">
        <v>2599.25</v>
      </c>
      <c r="J3117">
        <v>1039.7</v>
      </c>
      <c r="K3117">
        <v>1559.55</v>
      </c>
    </row>
    <row r="3118" spans="1:11" x14ac:dyDescent="0.25">
      <c r="A3118" t="s">
        <v>3158</v>
      </c>
      <c r="B3118" s="1">
        <v>45916.077916666669</v>
      </c>
      <c r="C3118" s="2" t="s">
        <v>22</v>
      </c>
      <c r="D3118" t="s">
        <v>19</v>
      </c>
      <c r="E3118">
        <v>2527</v>
      </c>
      <c r="F3118" t="s">
        <v>14</v>
      </c>
      <c r="G3118" t="s">
        <v>34</v>
      </c>
      <c r="H3118" t="s">
        <v>16</v>
      </c>
      <c r="I3118">
        <v>5</v>
      </c>
      <c r="J3118">
        <v>0</v>
      </c>
      <c r="K3118">
        <v>5</v>
      </c>
    </row>
    <row r="3119" spans="1:11" x14ac:dyDescent="0.25">
      <c r="A3119" t="s">
        <v>3159</v>
      </c>
      <c r="B3119" s="1">
        <v>45828.523946759262</v>
      </c>
      <c r="C3119" s="2" t="s">
        <v>29</v>
      </c>
      <c r="D3119" t="s">
        <v>45</v>
      </c>
      <c r="E3119">
        <v>101436</v>
      </c>
      <c r="F3119" t="s">
        <v>14</v>
      </c>
      <c r="G3119" t="s">
        <v>15</v>
      </c>
      <c r="H3119" t="s">
        <v>46</v>
      </c>
      <c r="I3119">
        <v>1014.36</v>
      </c>
      <c r="J3119">
        <v>0</v>
      </c>
      <c r="K3119">
        <v>1014.36</v>
      </c>
    </row>
    <row r="3120" spans="1:11" x14ac:dyDescent="0.25">
      <c r="A3120" t="s">
        <v>3160</v>
      </c>
      <c r="B3120" s="1">
        <v>46021.058206018519</v>
      </c>
      <c r="C3120" s="2" t="s">
        <v>26</v>
      </c>
      <c r="D3120" t="s">
        <v>19</v>
      </c>
      <c r="E3120">
        <v>91216</v>
      </c>
      <c r="F3120" t="s">
        <v>14</v>
      </c>
      <c r="G3120" t="s">
        <v>51</v>
      </c>
      <c r="H3120" t="s">
        <v>16</v>
      </c>
      <c r="I3120">
        <v>5</v>
      </c>
      <c r="J3120">
        <v>0</v>
      </c>
      <c r="K3120">
        <v>5</v>
      </c>
    </row>
    <row r="3121" spans="1:11" x14ac:dyDescent="0.25">
      <c r="A3121" t="s">
        <v>3161</v>
      </c>
      <c r="B3121" s="1">
        <v>45956.71974537037</v>
      </c>
      <c r="C3121" s="2" t="s">
        <v>12</v>
      </c>
      <c r="D3121" t="s">
        <v>45</v>
      </c>
      <c r="E3121">
        <v>43440</v>
      </c>
      <c r="F3121" t="s">
        <v>50</v>
      </c>
      <c r="G3121" t="s">
        <v>34</v>
      </c>
      <c r="H3121" t="s">
        <v>178</v>
      </c>
      <c r="I3121">
        <v>434.4</v>
      </c>
      <c r="J3121">
        <v>0</v>
      </c>
      <c r="K3121">
        <v>434.4</v>
      </c>
    </row>
    <row r="3122" spans="1:11" x14ac:dyDescent="0.25">
      <c r="A3122" t="s">
        <v>3162</v>
      </c>
      <c r="B3122" s="1">
        <v>45869.95003472222</v>
      </c>
      <c r="C3122" s="2" t="s">
        <v>26</v>
      </c>
      <c r="D3122" t="s">
        <v>23</v>
      </c>
      <c r="E3122">
        <v>3157</v>
      </c>
      <c r="F3122" t="s">
        <v>14</v>
      </c>
      <c r="G3122" t="s">
        <v>15</v>
      </c>
      <c r="H3122" t="s">
        <v>16</v>
      </c>
      <c r="I3122">
        <v>0</v>
      </c>
      <c r="J3122">
        <v>0</v>
      </c>
      <c r="K3122">
        <v>0</v>
      </c>
    </row>
    <row r="3123" spans="1:11" x14ac:dyDescent="0.25">
      <c r="A3123" t="s">
        <v>3163</v>
      </c>
      <c r="B3123" s="1">
        <v>46097.871342592596</v>
      </c>
      <c r="C3123" s="2" t="s">
        <v>12</v>
      </c>
      <c r="D3123" t="s">
        <v>45</v>
      </c>
      <c r="E3123">
        <v>11821</v>
      </c>
      <c r="F3123" t="s">
        <v>50</v>
      </c>
      <c r="G3123" t="s">
        <v>15</v>
      </c>
      <c r="H3123" t="s">
        <v>71</v>
      </c>
      <c r="I3123">
        <v>118.21</v>
      </c>
      <c r="J3123">
        <v>0</v>
      </c>
      <c r="K3123">
        <v>118.21</v>
      </c>
    </row>
    <row r="3124" spans="1:11" x14ac:dyDescent="0.25">
      <c r="A3124" t="s">
        <v>3164</v>
      </c>
      <c r="B3124" s="1">
        <v>46054.17496527778</v>
      </c>
      <c r="C3124" s="2" t="s">
        <v>26</v>
      </c>
      <c r="D3124" t="s">
        <v>33</v>
      </c>
      <c r="E3124">
        <v>131983</v>
      </c>
      <c r="F3124" t="s">
        <v>14</v>
      </c>
      <c r="G3124" t="s">
        <v>20</v>
      </c>
      <c r="H3124" t="s">
        <v>16</v>
      </c>
      <c r="I3124">
        <v>0</v>
      </c>
      <c r="J3124">
        <v>0</v>
      </c>
      <c r="K3124">
        <v>0</v>
      </c>
    </row>
    <row r="3125" spans="1:11" x14ac:dyDescent="0.25">
      <c r="A3125" t="s">
        <v>3165</v>
      </c>
      <c r="B3125" s="1">
        <v>45970.519293981481</v>
      </c>
      <c r="C3125" s="2" t="s">
        <v>12</v>
      </c>
      <c r="D3125" t="s">
        <v>33</v>
      </c>
      <c r="E3125">
        <v>121401</v>
      </c>
      <c r="F3125" t="s">
        <v>99</v>
      </c>
      <c r="G3125" t="s">
        <v>84</v>
      </c>
      <c r="H3125" t="s">
        <v>16</v>
      </c>
      <c r="I3125">
        <v>0</v>
      </c>
      <c r="J3125">
        <v>0</v>
      </c>
      <c r="K3125">
        <v>0</v>
      </c>
    </row>
    <row r="3126" spans="1:11" x14ac:dyDescent="0.25">
      <c r="A3126" t="s">
        <v>3166</v>
      </c>
      <c r="B3126" s="1">
        <v>45897.744780092595</v>
      </c>
      <c r="C3126" s="2" t="s">
        <v>22</v>
      </c>
      <c r="D3126" t="s">
        <v>19</v>
      </c>
      <c r="E3126">
        <v>145738</v>
      </c>
      <c r="F3126" t="s">
        <v>99</v>
      </c>
      <c r="G3126" t="s">
        <v>84</v>
      </c>
      <c r="H3126" t="s">
        <v>16</v>
      </c>
      <c r="I3126">
        <v>5</v>
      </c>
      <c r="J3126">
        <v>0</v>
      </c>
      <c r="K3126">
        <v>5</v>
      </c>
    </row>
    <row r="3127" spans="1:11" x14ac:dyDescent="0.25">
      <c r="A3127" t="s">
        <v>3167</v>
      </c>
      <c r="B3127" s="1">
        <v>46036.919224537036</v>
      </c>
      <c r="C3127" s="2" t="s">
        <v>12</v>
      </c>
      <c r="D3127" t="s">
        <v>13</v>
      </c>
      <c r="E3127">
        <v>236000</v>
      </c>
      <c r="F3127" t="s">
        <v>14</v>
      </c>
      <c r="G3127" t="s">
        <v>51</v>
      </c>
      <c r="H3127" t="s">
        <v>16</v>
      </c>
      <c r="I3127">
        <v>4366</v>
      </c>
      <c r="J3127">
        <v>1746.4</v>
      </c>
      <c r="K3127">
        <v>2619.6</v>
      </c>
    </row>
    <row r="3128" spans="1:11" x14ac:dyDescent="0.25">
      <c r="A3128" t="s">
        <v>3168</v>
      </c>
      <c r="B3128" s="1">
        <v>45983.482546296298</v>
      </c>
      <c r="C3128" s="2" t="s">
        <v>39</v>
      </c>
      <c r="D3128" t="s">
        <v>33</v>
      </c>
      <c r="E3128">
        <v>129838</v>
      </c>
      <c r="F3128" t="s">
        <v>50</v>
      </c>
      <c r="G3128" t="s">
        <v>15</v>
      </c>
      <c r="H3128" t="s">
        <v>16</v>
      </c>
      <c r="I3128">
        <v>0</v>
      </c>
      <c r="J3128">
        <v>0</v>
      </c>
      <c r="K3128">
        <v>0</v>
      </c>
    </row>
    <row r="3129" spans="1:11" x14ac:dyDescent="0.25">
      <c r="A3129" t="s">
        <v>3169</v>
      </c>
      <c r="B3129" s="1">
        <v>45958.387164351851</v>
      </c>
      <c r="C3129" s="2" t="s">
        <v>29</v>
      </c>
      <c r="D3129" t="s">
        <v>23</v>
      </c>
      <c r="E3129">
        <v>1942</v>
      </c>
      <c r="F3129" t="s">
        <v>14</v>
      </c>
      <c r="G3129" t="s">
        <v>34</v>
      </c>
      <c r="H3129" t="s">
        <v>16</v>
      </c>
      <c r="I3129">
        <v>0</v>
      </c>
      <c r="J3129">
        <v>0</v>
      </c>
      <c r="K3129">
        <v>0</v>
      </c>
    </row>
    <row r="3130" spans="1:11" x14ac:dyDescent="0.25">
      <c r="A3130" t="s">
        <v>3170</v>
      </c>
      <c r="B3130" s="1">
        <v>46136.581458333334</v>
      </c>
      <c r="C3130" s="2" t="s">
        <v>39</v>
      </c>
      <c r="D3130" t="s">
        <v>13</v>
      </c>
      <c r="E3130">
        <v>139500</v>
      </c>
      <c r="F3130" t="s">
        <v>50</v>
      </c>
      <c r="G3130" t="s">
        <v>51</v>
      </c>
      <c r="H3130" t="s">
        <v>16</v>
      </c>
      <c r="I3130">
        <v>2580.75</v>
      </c>
      <c r="J3130">
        <v>1032.3</v>
      </c>
      <c r="K3130">
        <v>1548.45</v>
      </c>
    </row>
    <row r="3131" spans="1:11" x14ac:dyDescent="0.25">
      <c r="A3131" t="s">
        <v>3171</v>
      </c>
      <c r="B3131" s="1">
        <v>46094.391261574077</v>
      </c>
      <c r="C3131" s="2" t="s">
        <v>26</v>
      </c>
      <c r="D3131" t="s">
        <v>13</v>
      </c>
      <c r="E3131">
        <v>67500</v>
      </c>
      <c r="F3131" t="s">
        <v>14</v>
      </c>
      <c r="G3131" t="s">
        <v>30</v>
      </c>
      <c r="H3131" t="s">
        <v>16</v>
      </c>
      <c r="I3131">
        <v>1248.75</v>
      </c>
      <c r="J3131">
        <v>499.5</v>
      </c>
      <c r="K3131">
        <v>749.25</v>
      </c>
    </row>
    <row r="3132" spans="1:11" x14ac:dyDescent="0.25">
      <c r="A3132" t="s">
        <v>3172</v>
      </c>
      <c r="B3132" s="1">
        <v>45870.394097222219</v>
      </c>
      <c r="C3132" s="2" t="s">
        <v>26</v>
      </c>
      <c r="D3132" t="s">
        <v>19</v>
      </c>
      <c r="E3132">
        <v>113214</v>
      </c>
      <c r="F3132" t="s">
        <v>14</v>
      </c>
      <c r="G3132" t="s">
        <v>84</v>
      </c>
      <c r="H3132" t="s">
        <v>16</v>
      </c>
      <c r="I3132">
        <v>5</v>
      </c>
      <c r="J3132">
        <v>0</v>
      </c>
      <c r="K3132">
        <v>5</v>
      </c>
    </row>
    <row r="3133" spans="1:11" x14ac:dyDescent="0.25">
      <c r="A3133" t="s">
        <v>3173</v>
      </c>
      <c r="B3133" s="1">
        <v>45905.493148148147</v>
      </c>
      <c r="C3133" s="2" t="s">
        <v>18</v>
      </c>
      <c r="D3133" t="s">
        <v>19</v>
      </c>
      <c r="E3133">
        <v>92998</v>
      </c>
      <c r="F3133" t="s">
        <v>14</v>
      </c>
      <c r="G3133" t="s">
        <v>27</v>
      </c>
      <c r="H3133" t="s">
        <v>16</v>
      </c>
      <c r="I3133">
        <v>5</v>
      </c>
      <c r="J3133">
        <v>0</v>
      </c>
      <c r="K3133">
        <v>5</v>
      </c>
    </row>
    <row r="3134" spans="1:11" x14ac:dyDescent="0.25">
      <c r="A3134" t="s">
        <v>3174</v>
      </c>
      <c r="B3134" s="1">
        <v>46087.638483796298</v>
      </c>
      <c r="C3134" s="2" t="s">
        <v>26</v>
      </c>
      <c r="D3134" t="s">
        <v>33</v>
      </c>
      <c r="E3134">
        <v>51559</v>
      </c>
      <c r="F3134" t="s">
        <v>14</v>
      </c>
      <c r="G3134" t="s">
        <v>15</v>
      </c>
      <c r="H3134" t="s">
        <v>16</v>
      </c>
      <c r="I3134">
        <v>0</v>
      </c>
      <c r="J3134">
        <v>0</v>
      </c>
      <c r="K3134">
        <v>0</v>
      </c>
    </row>
    <row r="3135" spans="1:11" x14ac:dyDescent="0.25">
      <c r="A3135" t="s">
        <v>3175</v>
      </c>
      <c r="B3135" s="1">
        <v>45945.599537037036</v>
      </c>
      <c r="C3135" s="2" t="s">
        <v>41</v>
      </c>
      <c r="D3135" t="s">
        <v>33</v>
      </c>
      <c r="E3135">
        <v>20766</v>
      </c>
      <c r="F3135" t="s">
        <v>14</v>
      </c>
      <c r="G3135" t="s">
        <v>58</v>
      </c>
      <c r="H3135" t="s">
        <v>16</v>
      </c>
      <c r="I3135">
        <v>0</v>
      </c>
      <c r="J3135">
        <v>0</v>
      </c>
      <c r="K3135">
        <v>0</v>
      </c>
    </row>
    <row r="3136" spans="1:11" x14ac:dyDescent="0.25">
      <c r="A3136" t="s">
        <v>3176</v>
      </c>
      <c r="B3136" s="1">
        <v>45934.908495370371</v>
      </c>
      <c r="C3136" s="2" t="s">
        <v>26</v>
      </c>
      <c r="D3136" t="s">
        <v>45</v>
      </c>
      <c r="E3136">
        <v>132474</v>
      </c>
      <c r="F3136" t="s">
        <v>50</v>
      </c>
      <c r="G3136" t="s">
        <v>20</v>
      </c>
      <c r="H3136" t="s">
        <v>71</v>
      </c>
      <c r="I3136">
        <v>1324.74</v>
      </c>
      <c r="J3136">
        <v>0</v>
      </c>
      <c r="K3136">
        <v>1324.74</v>
      </c>
    </row>
    <row r="3137" spans="1:11" x14ac:dyDescent="0.25">
      <c r="A3137" t="s">
        <v>3177</v>
      </c>
      <c r="B3137" s="1">
        <v>45932.16443287037</v>
      </c>
      <c r="C3137" s="2" t="s">
        <v>18</v>
      </c>
      <c r="D3137" t="s">
        <v>23</v>
      </c>
      <c r="E3137">
        <v>1347</v>
      </c>
      <c r="F3137" t="s">
        <v>14</v>
      </c>
      <c r="G3137" t="s">
        <v>34</v>
      </c>
      <c r="H3137" t="s">
        <v>16</v>
      </c>
      <c r="I3137">
        <v>0</v>
      </c>
      <c r="J3137">
        <v>0</v>
      </c>
      <c r="K3137">
        <v>0</v>
      </c>
    </row>
    <row r="3138" spans="1:11" x14ac:dyDescent="0.25">
      <c r="A3138" t="s">
        <v>3178</v>
      </c>
      <c r="B3138" s="1">
        <v>46009.262164351851</v>
      </c>
      <c r="C3138" s="2" t="s">
        <v>32</v>
      </c>
      <c r="D3138" t="s">
        <v>13</v>
      </c>
      <c r="E3138">
        <v>9000</v>
      </c>
      <c r="F3138" t="s">
        <v>14</v>
      </c>
      <c r="G3138" t="s">
        <v>58</v>
      </c>
      <c r="H3138" t="s">
        <v>16</v>
      </c>
      <c r="I3138">
        <v>166.5</v>
      </c>
      <c r="J3138">
        <v>66.599999999999994</v>
      </c>
      <c r="K3138">
        <v>99.9</v>
      </c>
    </row>
    <row r="3139" spans="1:11" x14ac:dyDescent="0.25">
      <c r="A3139" t="s">
        <v>3179</v>
      </c>
      <c r="B3139" s="1">
        <v>45784.918553240743</v>
      </c>
      <c r="C3139" s="2" t="s">
        <v>29</v>
      </c>
      <c r="D3139" t="s">
        <v>33</v>
      </c>
      <c r="E3139">
        <v>16315</v>
      </c>
      <c r="F3139" t="s">
        <v>14</v>
      </c>
      <c r="G3139" t="s">
        <v>27</v>
      </c>
      <c r="H3139" t="s">
        <v>16</v>
      </c>
      <c r="I3139">
        <v>0</v>
      </c>
      <c r="J3139">
        <v>0</v>
      </c>
      <c r="K3139">
        <v>0</v>
      </c>
    </row>
    <row r="3140" spans="1:11" x14ac:dyDescent="0.25">
      <c r="A3140" t="s">
        <v>3180</v>
      </c>
      <c r="B3140" s="1">
        <v>45877.419398148151</v>
      </c>
      <c r="C3140" s="2" t="s">
        <v>39</v>
      </c>
      <c r="D3140" t="s">
        <v>13</v>
      </c>
      <c r="E3140">
        <v>51500</v>
      </c>
      <c r="F3140" t="s">
        <v>14</v>
      </c>
      <c r="G3140" t="s">
        <v>34</v>
      </c>
      <c r="H3140" t="s">
        <v>16</v>
      </c>
      <c r="I3140">
        <v>952.75</v>
      </c>
      <c r="J3140">
        <v>381.1</v>
      </c>
      <c r="K3140">
        <v>571.65</v>
      </c>
    </row>
    <row r="3141" spans="1:11" x14ac:dyDescent="0.25">
      <c r="A3141" t="s">
        <v>3181</v>
      </c>
      <c r="B3141" s="1">
        <v>45961.59579861111</v>
      </c>
      <c r="C3141" s="2" t="s">
        <v>41</v>
      </c>
      <c r="D3141" t="s">
        <v>33</v>
      </c>
      <c r="E3141">
        <v>98157</v>
      </c>
      <c r="F3141" t="s">
        <v>14</v>
      </c>
      <c r="G3141" t="s">
        <v>34</v>
      </c>
      <c r="H3141" t="s">
        <v>16</v>
      </c>
      <c r="I3141">
        <v>0</v>
      </c>
      <c r="J3141">
        <v>0</v>
      </c>
      <c r="K3141">
        <v>0</v>
      </c>
    </row>
    <row r="3142" spans="1:11" x14ac:dyDescent="0.25">
      <c r="A3142" t="s">
        <v>3182</v>
      </c>
      <c r="B3142" s="1">
        <v>45924.63380787037</v>
      </c>
      <c r="C3142" s="2" t="s">
        <v>18</v>
      </c>
      <c r="D3142" t="s">
        <v>45</v>
      </c>
      <c r="E3142">
        <v>10083</v>
      </c>
      <c r="F3142" t="s">
        <v>14</v>
      </c>
      <c r="G3142" t="s">
        <v>51</v>
      </c>
      <c r="H3142" t="s">
        <v>178</v>
      </c>
      <c r="I3142">
        <v>100.83</v>
      </c>
      <c r="J3142">
        <v>0</v>
      </c>
      <c r="K3142">
        <v>100.83</v>
      </c>
    </row>
    <row r="3143" spans="1:11" x14ac:dyDescent="0.25">
      <c r="A3143" t="s">
        <v>3183</v>
      </c>
      <c r="B3143" s="1">
        <v>45912.379131944443</v>
      </c>
      <c r="C3143" s="2" t="s">
        <v>22</v>
      </c>
      <c r="D3143" t="s">
        <v>19</v>
      </c>
      <c r="E3143">
        <v>86667</v>
      </c>
      <c r="F3143" t="s">
        <v>14</v>
      </c>
      <c r="G3143" t="s">
        <v>24</v>
      </c>
      <c r="H3143" t="s">
        <v>16</v>
      </c>
      <c r="I3143">
        <v>5</v>
      </c>
      <c r="J3143">
        <v>0</v>
      </c>
      <c r="K3143">
        <v>5</v>
      </c>
    </row>
    <row r="3144" spans="1:11" x14ac:dyDescent="0.25">
      <c r="A3144" t="s">
        <v>3184</v>
      </c>
      <c r="B3144" s="1">
        <v>45960.014351851853</v>
      </c>
      <c r="C3144" s="2" t="s">
        <v>26</v>
      </c>
      <c r="D3144" t="s">
        <v>19</v>
      </c>
      <c r="E3144">
        <v>119859</v>
      </c>
      <c r="F3144" t="s">
        <v>50</v>
      </c>
      <c r="G3144" t="s">
        <v>27</v>
      </c>
      <c r="H3144" t="s">
        <v>16</v>
      </c>
      <c r="I3144">
        <v>5</v>
      </c>
      <c r="J3144">
        <v>0</v>
      </c>
      <c r="K3144">
        <v>5</v>
      </c>
    </row>
    <row r="3145" spans="1:11" x14ac:dyDescent="0.25">
      <c r="A3145" t="s">
        <v>3185</v>
      </c>
      <c r="B3145" s="1">
        <v>45985.433333333334</v>
      </c>
      <c r="C3145" s="2" t="s">
        <v>22</v>
      </c>
      <c r="D3145" t="s">
        <v>19</v>
      </c>
      <c r="E3145">
        <v>144991</v>
      </c>
      <c r="F3145" t="s">
        <v>14</v>
      </c>
      <c r="G3145" t="s">
        <v>15</v>
      </c>
      <c r="H3145" t="s">
        <v>16</v>
      </c>
      <c r="I3145">
        <v>5</v>
      </c>
      <c r="J3145">
        <v>0</v>
      </c>
      <c r="K3145">
        <v>5</v>
      </c>
    </row>
    <row r="3146" spans="1:11" x14ac:dyDescent="0.25">
      <c r="A3146" t="s">
        <v>3186</v>
      </c>
      <c r="B3146" s="1">
        <v>46126.69321759259</v>
      </c>
      <c r="C3146" s="2" t="s">
        <v>39</v>
      </c>
      <c r="D3146" t="s">
        <v>23</v>
      </c>
      <c r="E3146">
        <v>3930</v>
      </c>
      <c r="F3146" t="s">
        <v>14</v>
      </c>
      <c r="G3146" t="s">
        <v>24</v>
      </c>
      <c r="H3146" t="s">
        <v>16</v>
      </c>
      <c r="I3146">
        <v>0</v>
      </c>
      <c r="J3146">
        <v>0</v>
      </c>
      <c r="K3146">
        <v>0</v>
      </c>
    </row>
    <row r="3147" spans="1:11" x14ac:dyDescent="0.25">
      <c r="A3147" t="s">
        <v>3187</v>
      </c>
      <c r="B3147" s="1">
        <v>45812.905277777776</v>
      </c>
      <c r="C3147" s="2" t="s">
        <v>12</v>
      </c>
      <c r="D3147" t="s">
        <v>19</v>
      </c>
      <c r="E3147">
        <v>70690</v>
      </c>
      <c r="F3147" t="s">
        <v>14</v>
      </c>
      <c r="G3147" t="s">
        <v>15</v>
      </c>
      <c r="H3147" t="s">
        <v>16</v>
      </c>
      <c r="I3147">
        <v>5</v>
      </c>
      <c r="J3147">
        <v>0</v>
      </c>
      <c r="K3147">
        <v>5</v>
      </c>
    </row>
    <row r="3148" spans="1:11" x14ac:dyDescent="0.25">
      <c r="A3148" t="s">
        <v>3188</v>
      </c>
      <c r="B3148" s="1">
        <v>45825.17690972222</v>
      </c>
      <c r="C3148" s="2" t="s">
        <v>18</v>
      </c>
      <c r="D3148" t="s">
        <v>23</v>
      </c>
      <c r="E3148">
        <v>1371</v>
      </c>
      <c r="F3148" t="s">
        <v>14</v>
      </c>
      <c r="G3148" t="s">
        <v>58</v>
      </c>
      <c r="H3148" t="s">
        <v>16</v>
      </c>
      <c r="I3148">
        <v>0</v>
      </c>
      <c r="J3148">
        <v>0</v>
      </c>
      <c r="K3148">
        <v>0</v>
      </c>
    </row>
    <row r="3149" spans="1:11" x14ac:dyDescent="0.25">
      <c r="A3149" t="s">
        <v>3189</v>
      </c>
      <c r="B3149" s="1">
        <v>45919.370775462965</v>
      </c>
      <c r="C3149" s="2" t="s">
        <v>12</v>
      </c>
      <c r="D3149" t="s">
        <v>33</v>
      </c>
      <c r="E3149">
        <v>42578</v>
      </c>
      <c r="F3149" t="s">
        <v>14</v>
      </c>
      <c r="G3149" t="s">
        <v>15</v>
      </c>
      <c r="H3149" t="s">
        <v>16</v>
      </c>
      <c r="I3149">
        <v>0</v>
      </c>
      <c r="J3149">
        <v>0</v>
      </c>
      <c r="K3149">
        <v>0</v>
      </c>
    </row>
    <row r="3150" spans="1:11" x14ac:dyDescent="0.25">
      <c r="A3150" t="s">
        <v>3190</v>
      </c>
      <c r="B3150" s="1">
        <v>46093.187893518516</v>
      </c>
      <c r="C3150" s="2" t="s">
        <v>41</v>
      </c>
      <c r="D3150" t="s">
        <v>19</v>
      </c>
      <c r="E3150">
        <v>49496</v>
      </c>
      <c r="F3150" t="s">
        <v>50</v>
      </c>
      <c r="G3150" t="s">
        <v>84</v>
      </c>
      <c r="H3150" t="s">
        <v>16</v>
      </c>
      <c r="I3150">
        <v>5</v>
      </c>
      <c r="J3150">
        <v>0</v>
      </c>
      <c r="K3150">
        <v>5</v>
      </c>
    </row>
    <row r="3151" spans="1:11" x14ac:dyDescent="0.25">
      <c r="A3151" t="s">
        <v>3191</v>
      </c>
      <c r="B3151" s="1">
        <v>45923.165636574071</v>
      </c>
      <c r="C3151" s="2" t="s">
        <v>29</v>
      </c>
      <c r="D3151" t="s">
        <v>19</v>
      </c>
      <c r="E3151">
        <v>127741</v>
      </c>
      <c r="F3151" t="s">
        <v>14</v>
      </c>
      <c r="G3151" t="s">
        <v>34</v>
      </c>
      <c r="H3151" t="s">
        <v>16</v>
      </c>
      <c r="I3151">
        <v>5</v>
      </c>
      <c r="J3151">
        <v>0</v>
      </c>
      <c r="K3151">
        <v>5</v>
      </c>
    </row>
    <row r="3152" spans="1:11" x14ac:dyDescent="0.25">
      <c r="A3152" t="s">
        <v>3192</v>
      </c>
      <c r="B3152" s="1">
        <v>45957.512650462966</v>
      </c>
      <c r="C3152" s="2" t="s">
        <v>29</v>
      </c>
      <c r="D3152" t="s">
        <v>45</v>
      </c>
      <c r="E3152">
        <v>36271</v>
      </c>
      <c r="F3152" t="s">
        <v>14</v>
      </c>
      <c r="G3152" t="s">
        <v>15</v>
      </c>
      <c r="H3152" t="s">
        <v>46</v>
      </c>
      <c r="I3152">
        <v>362.71</v>
      </c>
      <c r="J3152">
        <v>0</v>
      </c>
      <c r="K3152">
        <v>362.71</v>
      </c>
    </row>
    <row r="3153" spans="1:11" x14ac:dyDescent="0.25">
      <c r="A3153" t="s">
        <v>3193</v>
      </c>
      <c r="B3153" s="1">
        <v>46134.268391203703</v>
      </c>
      <c r="C3153" s="2" t="s">
        <v>29</v>
      </c>
      <c r="D3153" t="s">
        <v>19</v>
      </c>
      <c r="E3153">
        <v>44758</v>
      </c>
      <c r="F3153" t="s">
        <v>14</v>
      </c>
      <c r="G3153" t="s">
        <v>20</v>
      </c>
      <c r="H3153" t="s">
        <v>16</v>
      </c>
      <c r="I3153">
        <v>5</v>
      </c>
      <c r="J3153">
        <v>0</v>
      </c>
      <c r="K3153">
        <v>5</v>
      </c>
    </row>
    <row r="3154" spans="1:11" x14ac:dyDescent="0.25">
      <c r="A3154" t="s">
        <v>3194</v>
      </c>
      <c r="B3154" s="1">
        <v>46134.7497337963</v>
      </c>
      <c r="C3154" s="2" t="s">
        <v>22</v>
      </c>
      <c r="D3154" t="s">
        <v>45</v>
      </c>
      <c r="E3154">
        <v>103508</v>
      </c>
      <c r="F3154" t="s">
        <v>14</v>
      </c>
      <c r="G3154" t="s">
        <v>84</v>
      </c>
      <c r="H3154" t="s">
        <v>59</v>
      </c>
      <c r="I3154">
        <v>1035.08</v>
      </c>
      <c r="J3154">
        <v>0</v>
      </c>
      <c r="K3154">
        <v>1035.08</v>
      </c>
    </row>
    <row r="3155" spans="1:11" x14ac:dyDescent="0.25">
      <c r="A3155" t="s">
        <v>3195</v>
      </c>
      <c r="B3155" s="1">
        <v>45864.183877314812</v>
      </c>
      <c r="C3155" s="2" t="s">
        <v>29</v>
      </c>
      <c r="D3155" t="s">
        <v>33</v>
      </c>
      <c r="E3155">
        <v>65375</v>
      </c>
      <c r="F3155" t="s">
        <v>99</v>
      </c>
      <c r="G3155" t="s">
        <v>51</v>
      </c>
      <c r="H3155" t="s">
        <v>16</v>
      </c>
      <c r="I3155">
        <v>0</v>
      </c>
      <c r="J3155">
        <v>0</v>
      </c>
      <c r="K3155">
        <v>0</v>
      </c>
    </row>
    <row r="3156" spans="1:11" x14ac:dyDescent="0.25">
      <c r="A3156" t="s">
        <v>3196</v>
      </c>
      <c r="B3156" s="1">
        <v>45873.704456018517</v>
      </c>
      <c r="C3156" s="2" t="s">
        <v>26</v>
      </c>
      <c r="D3156" t="s">
        <v>45</v>
      </c>
      <c r="E3156">
        <v>40485</v>
      </c>
      <c r="F3156" t="s">
        <v>50</v>
      </c>
      <c r="G3156" t="s">
        <v>58</v>
      </c>
      <c r="H3156" t="s">
        <v>71</v>
      </c>
      <c r="I3156">
        <v>404.85</v>
      </c>
      <c r="J3156">
        <v>0</v>
      </c>
      <c r="K3156">
        <v>404.85</v>
      </c>
    </row>
    <row r="3157" spans="1:11" x14ac:dyDescent="0.25">
      <c r="A3157" t="s">
        <v>3197</v>
      </c>
      <c r="B3157" s="1">
        <v>45923.885324074072</v>
      </c>
      <c r="C3157" s="2" t="s">
        <v>41</v>
      </c>
      <c r="D3157" t="s">
        <v>45</v>
      </c>
      <c r="E3157">
        <v>69127</v>
      </c>
      <c r="F3157" t="s">
        <v>14</v>
      </c>
      <c r="G3157" t="s">
        <v>51</v>
      </c>
      <c r="H3157" t="s">
        <v>178</v>
      </c>
      <c r="I3157">
        <v>691.27</v>
      </c>
      <c r="J3157">
        <v>0</v>
      </c>
      <c r="K3157">
        <v>691.27</v>
      </c>
    </row>
    <row r="3158" spans="1:11" x14ac:dyDescent="0.25">
      <c r="A3158" t="s">
        <v>3198</v>
      </c>
      <c r="B3158" s="1">
        <v>45804.29005787037</v>
      </c>
      <c r="C3158" s="2" t="s">
        <v>26</v>
      </c>
      <c r="D3158" t="s">
        <v>45</v>
      </c>
      <c r="E3158">
        <v>113255</v>
      </c>
      <c r="F3158" t="s">
        <v>14</v>
      </c>
      <c r="G3158" t="s">
        <v>34</v>
      </c>
      <c r="H3158" t="s">
        <v>46</v>
      </c>
      <c r="I3158">
        <v>1132.55</v>
      </c>
      <c r="J3158">
        <v>0</v>
      </c>
      <c r="K3158">
        <v>1132.55</v>
      </c>
    </row>
    <row r="3159" spans="1:11" x14ac:dyDescent="0.25">
      <c r="A3159" t="s">
        <v>3199</v>
      </c>
      <c r="B3159" s="1">
        <v>45934.081261574072</v>
      </c>
      <c r="C3159" s="2" t="s">
        <v>18</v>
      </c>
      <c r="D3159" t="s">
        <v>33</v>
      </c>
      <c r="E3159">
        <v>118963</v>
      </c>
      <c r="F3159" t="s">
        <v>14</v>
      </c>
      <c r="G3159" t="s">
        <v>27</v>
      </c>
      <c r="H3159" t="s">
        <v>16</v>
      </c>
      <c r="I3159">
        <v>0</v>
      </c>
      <c r="J3159">
        <v>0</v>
      </c>
      <c r="K3159">
        <v>0</v>
      </c>
    </row>
    <row r="3160" spans="1:11" x14ac:dyDescent="0.25">
      <c r="A3160" t="s">
        <v>3200</v>
      </c>
      <c r="B3160" s="1">
        <v>45878.934814814813</v>
      </c>
      <c r="C3160" s="2" t="s">
        <v>29</v>
      </c>
      <c r="D3160" t="s">
        <v>33</v>
      </c>
      <c r="E3160">
        <v>51688</v>
      </c>
      <c r="F3160" t="s">
        <v>14</v>
      </c>
      <c r="G3160" t="s">
        <v>58</v>
      </c>
      <c r="H3160" t="s">
        <v>16</v>
      </c>
      <c r="I3160">
        <v>0</v>
      </c>
      <c r="J3160">
        <v>0</v>
      </c>
      <c r="K3160">
        <v>0</v>
      </c>
    </row>
    <row r="3161" spans="1:11" x14ac:dyDescent="0.25">
      <c r="A3161" t="s">
        <v>3201</v>
      </c>
      <c r="B3161" s="1">
        <v>45887.774687500001</v>
      </c>
      <c r="C3161" s="2" t="s">
        <v>12</v>
      </c>
      <c r="D3161" t="s">
        <v>13</v>
      </c>
      <c r="E3161">
        <v>42000</v>
      </c>
      <c r="F3161" t="s">
        <v>14</v>
      </c>
      <c r="G3161" t="s">
        <v>30</v>
      </c>
      <c r="H3161" t="s">
        <v>16</v>
      </c>
      <c r="I3161">
        <v>777</v>
      </c>
      <c r="J3161">
        <v>310.8</v>
      </c>
      <c r="K3161">
        <v>466.2</v>
      </c>
    </row>
    <row r="3162" spans="1:11" x14ac:dyDescent="0.25">
      <c r="A3162" t="s">
        <v>3202</v>
      </c>
      <c r="B3162" s="1">
        <v>46032.378206018519</v>
      </c>
      <c r="C3162" s="2" t="s">
        <v>32</v>
      </c>
      <c r="D3162" t="s">
        <v>45</v>
      </c>
      <c r="E3162">
        <v>35782</v>
      </c>
      <c r="F3162" t="s">
        <v>14</v>
      </c>
      <c r="G3162" t="s">
        <v>34</v>
      </c>
      <c r="H3162" t="s">
        <v>178</v>
      </c>
      <c r="I3162">
        <v>357.82</v>
      </c>
      <c r="J3162">
        <v>0</v>
      </c>
      <c r="K3162">
        <v>357.82</v>
      </c>
    </row>
    <row r="3163" spans="1:11" x14ac:dyDescent="0.25">
      <c r="A3163" t="s">
        <v>3203</v>
      </c>
      <c r="B3163" s="1">
        <v>45838.065625000003</v>
      </c>
      <c r="C3163" s="2" t="s">
        <v>26</v>
      </c>
      <c r="D3163" t="s">
        <v>13</v>
      </c>
      <c r="E3163">
        <v>79000</v>
      </c>
      <c r="F3163" t="s">
        <v>14</v>
      </c>
      <c r="G3163" t="s">
        <v>27</v>
      </c>
      <c r="H3163" t="s">
        <v>16</v>
      </c>
      <c r="I3163">
        <v>1461.5</v>
      </c>
      <c r="J3163">
        <v>584.6</v>
      </c>
      <c r="K3163">
        <v>876.9</v>
      </c>
    </row>
    <row r="3164" spans="1:11" x14ac:dyDescent="0.25">
      <c r="A3164" t="s">
        <v>3204</v>
      </c>
      <c r="B3164" s="1">
        <v>45790.516516203701</v>
      </c>
      <c r="C3164" s="2" t="s">
        <v>39</v>
      </c>
      <c r="D3164" t="s">
        <v>13</v>
      </c>
      <c r="E3164">
        <v>64500</v>
      </c>
      <c r="F3164" t="s">
        <v>50</v>
      </c>
      <c r="G3164" t="s">
        <v>84</v>
      </c>
      <c r="H3164" t="s">
        <v>16</v>
      </c>
      <c r="I3164">
        <v>1193.25</v>
      </c>
      <c r="J3164">
        <v>477.3</v>
      </c>
      <c r="K3164">
        <v>715.95</v>
      </c>
    </row>
    <row r="3165" spans="1:11" x14ac:dyDescent="0.25">
      <c r="A3165" t="s">
        <v>3205</v>
      </c>
      <c r="B3165" s="1">
        <v>45877.467037037037</v>
      </c>
      <c r="C3165" s="2" t="s">
        <v>39</v>
      </c>
      <c r="D3165" t="s">
        <v>45</v>
      </c>
      <c r="E3165">
        <v>32666</v>
      </c>
      <c r="F3165" t="s">
        <v>14</v>
      </c>
      <c r="G3165" t="s">
        <v>51</v>
      </c>
      <c r="H3165" t="s">
        <v>71</v>
      </c>
      <c r="I3165">
        <v>326.66000000000003</v>
      </c>
      <c r="J3165">
        <v>0</v>
      </c>
      <c r="K3165">
        <v>326.66000000000003</v>
      </c>
    </row>
    <row r="3166" spans="1:11" x14ac:dyDescent="0.25">
      <c r="A3166" t="s">
        <v>3206</v>
      </c>
      <c r="B3166" s="1">
        <v>46083.995925925927</v>
      </c>
      <c r="C3166" s="2" t="s">
        <v>22</v>
      </c>
      <c r="D3166" t="s">
        <v>13</v>
      </c>
      <c r="E3166">
        <v>217500</v>
      </c>
      <c r="F3166" t="s">
        <v>14</v>
      </c>
      <c r="G3166" t="s">
        <v>20</v>
      </c>
      <c r="H3166" t="s">
        <v>16</v>
      </c>
      <c r="I3166">
        <v>4023.75</v>
      </c>
      <c r="J3166">
        <v>1609.5</v>
      </c>
      <c r="K3166">
        <v>2414.25</v>
      </c>
    </row>
    <row r="3167" spans="1:11" x14ac:dyDescent="0.25">
      <c r="A3167" t="s">
        <v>3207</v>
      </c>
      <c r="B3167" s="1">
        <v>46034.547060185185</v>
      </c>
      <c r="C3167" s="2" t="s">
        <v>22</v>
      </c>
      <c r="D3167" t="s">
        <v>23</v>
      </c>
      <c r="E3167">
        <v>505</v>
      </c>
      <c r="F3167" t="s">
        <v>14</v>
      </c>
      <c r="G3167" t="s">
        <v>20</v>
      </c>
      <c r="H3167" t="s">
        <v>16</v>
      </c>
      <c r="I3167">
        <v>0</v>
      </c>
      <c r="J3167">
        <v>0</v>
      </c>
      <c r="K3167">
        <v>0</v>
      </c>
    </row>
    <row r="3168" spans="1:11" x14ac:dyDescent="0.25">
      <c r="A3168" t="s">
        <v>3208</v>
      </c>
      <c r="B3168" s="1">
        <v>46021.778865740744</v>
      </c>
      <c r="C3168" s="2" t="s">
        <v>26</v>
      </c>
      <c r="D3168" t="s">
        <v>23</v>
      </c>
      <c r="E3168">
        <v>760</v>
      </c>
      <c r="F3168" t="s">
        <v>14</v>
      </c>
      <c r="G3168" t="s">
        <v>34</v>
      </c>
      <c r="H3168" t="s">
        <v>16</v>
      </c>
      <c r="I3168">
        <v>0</v>
      </c>
      <c r="J3168">
        <v>0</v>
      </c>
      <c r="K3168">
        <v>0</v>
      </c>
    </row>
    <row r="3169" spans="1:11" x14ac:dyDescent="0.25">
      <c r="A3169" t="s">
        <v>3209</v>
      </c>
      <c r="B3169" s="1">
        <v>45866.863055555557</v>
      </c>
      <c r="C3169" s="2" t="s">
        <v>26</v>
      </c>
      <c r="D3169" t="s">
        <v>19</v>
      </c>
      <c r="E3169">
        <v>38709</v>
      </c>
      <c r="F3169" t="s">
        <v>14</v>
      </c>
      <c r="G3169" t="s">
        <v>20</v>
      </c>
      <c r="H3169" t="s">
        <v>16</v>
      </c>
      <c r="I3169">
        <v>5</v>
      </c>
      <c r="J3169">
        <v>0</v>
      </c>
      <c r="K3169">
        <v>5</v>
      </c>
    </row>
    <row r="3170" spans="1:11" x14ac:dyDescent="0.25">
      <c r="A3170" t="s">
        <v>3210</v>
      </c>
      <c r="B3170" s="1">
        <v>45813.425532407404</v>
      </c>
      <c r="C3170" s="2" t="s">
        <v>22</v>
      </c>
      <c r="D3170" t="s">
        <v>33</v>
      </c>
      <c r="E3170">
        <v>83434</v>
      </c>
      <c r="F3170" t="s">
        <v>14</v>
      </c>
      <c r="G3170" t="s">
        <v>58</v>
      </c>
      <c r="H3170" t="s">
        <v>16</v>
      </c>
      <c r="I3170">
        <v>0</v>
      </c>
      <c r="J3170">
        <v>0</v>
      </c>
      <c r="K3170">
        <v>0</v>
      </c>
    </row>
    <row r="3171" spans="1:11" x14ac:dyDescent="0.25">
      <c r="A3171" t="s">
        <v>3211</v>
      </c>
      <c r="B3171" s="1">
        <v>45779.872430555559</v>
      </c>
      <c r="C3171" s="2" t="s">
        <v>18</v>
      </c>
      <c r="D3171" t="s">
        <v>45</v>
      </c>
      <c r="E3171">
        <v>40569</v>
      </c>
      <c r="F3171" t="s">
        <v>14</v>
      </c>
      <c r="G3171" t="s">
        <v>58</v>
      </c>
      <c r="H3171" t="s">
        <v>71</v>
      </c>
      <c r="I3171">
        <v>405.69</v>
      </c>
      <c r="J3171">
        <v>0</v>
      </c>
      <c r="K3171">
        <v>405.69</v>
      </c>
    </row>
    <row r="3172" spans="1:11" x14ac:dyDescent="0.25">
      <c r="A3172" t="s">
        <v>3212</v>
      </c>
      <c r="B3172" s="1">
        <v>45997.506863425922</v>
      </c>
      <c r="C3172" s="2" t="s">
        <v>29</v>
      </c>
      <c r="D3172" t="s">
        <v>45</v>
      </c>
      <c r="E3172">
        <v>34930</v>
      </c>
      <c r="F3172" t="s">
        <v>50</v>
      </c>
      <c r="G3172" t="s">
        <v>34</v>
      </c>
      <c r="H3172" t="s">
        <v>46</v>
      </c>
      <c r="I3172">
        <v>349.3</v>
      </c>
      <c r="J3172">
        <v>0</v>
      </c>
      <c r="K3172">
        <v>349.3</v>
      </c>
    </row>
    <row r="3173" spans="1:11" x14ac:dyDescent="0.25">
      <c r="A3173" t="s">
        <v>3213</v>
      </c>
      <c r="B3173" s="1">
        <v>45940.684247685182</v>
      </c>
      <c r="C3173" s="2" t="s">
        <v>26</v>
      </c>
      <c r="D3173" t="s">
        <v>19</v>
      </c>
      <c r="E3173">
        <v>46030</v>
      </c>
      <c r="F3173" t="s">
        <v>14</v>
      </c>
      <c r="G3173" t="s">
        <v>84</v>
      </c>
      <c r="H3173" t="s">
        <v>16</v>
      </c>
      <c r="I3173">
        <v>5</v>
      </c>
      <c r="J3173">
        <v>0</v>
      </c>
      <c r="K3173">
        <v>5</v>
      </c>
    </row>
    <row r="3174" spans="1:11" x14ac:dyDescent="0.25">
      <c r="A3174" t="s">
        <v>3214</v>
      </c>
      <c r="B3174" s="1">
        <v>45804.308761574073</v>
      </c>
      <c r="C3174" s="2" t="s">
        <v>41</v>
      </c>
      <c r="D3174" t="s">
        <v>33</v>
      </c>
      <c r="E3174">
        <v>41210</v>
      </c>
      <c r="F3174" t="s">
        <v>14</v>
      </c>
      <c r="G3174" t="s">
        <v>58</v>
      </c>
      <c r="H3174" t="s">
        <v>16</v>
      </c>
      <c r="I3174">
        <v>0</v>
      </c>
      <c r="J3174">
        <v>0</v>
      </c>
      <c r="K3174">
        <v>0</v>
      </c>
    </row>
    <row r="3175" spans="1:11" x14ac:dyDescent="0.25">
      <c r="A3175" t="s">
        <v>3215</v>
      </c>
      <c r="B3175" s="1">
        <v>45976.601400462961</v>
      </c>
      <c r="C3175" s="2" t="s">
        <v>39</v>
      </c>
      <c r="D3175" t="s">
        <v>13</v>
      </c>
      <c r="E3175">
        <v>124000</v>
      </c>
      <c r="F3175" t="s">
        <v>14</v>
      </c>
      <c r="G3175" t="s">
        <v>24</v>
      </c>
      <c r="H3175" t="s">
        <v>16</v>
      </c>
      <c r="I3175">
        <v>2294</v>
      </c>
      <c r="J3175">
        <v>917.6</v>
      </c>
      <c r="K3175">
        <v>1376.4</v>
      </c>
    </row>
    <row r="3176" spans="1:11" x14ac:dyDescent="0.25">
      <c r="A3176" t="s">
        <v>3216</v>
      </c>
      <c r="B3176" s="1">
        <v>46133.475381944445</v>
      </c>
      <c r="C3176" s="2" t="s">
        <v>32</v>
      </c>
      <c r="D3176" t="s">
        <v>19</v>
      </c>
      <c r="E3176">
        <v>53196</v>
      </c>
      <c r="F3176" t="s">
        <v>14</v>
      </c>
      <c r="G3176" t="s">
        <v>27</v>
      </c>
      <c r="H3176" t="s">
        <v>16</v>
      </c>
      <c r="I3176">
        <v>5</v>
      </c>
      <c r="J3176">
        <v>0</v>
      </c>
      <c r="K3176">
        <v>5</v>
      </c>
    </row>
    <row r="3177" spans="1:11" x14ac:dyDescent="0.25">
      <c r="A3177" t="s">
        <v>3217</v>
      </c>
      <c r="B3177" s="1">
        <v>46049.43712962963</v>
      </c>
      <c r="C3177" s="2" t="s">
        <v>18</v>
      </c>
      <c r="D3177" t="s">
        <v>45</v>
      </c>
      <c r="E3177">
        <v>120460</v>
      </c>
      <c r="F3177" t="s">
        <v>14</v>
      </c>
      <c r="G3177" t="s">
        <v>30</v>
      </c>
      <c r="H3177" t="s">
        <v>71</v>
      </c>
      <c r="I3177">
        <v>1204.5999999999999</v>
      </c>
      <c r="J3177">
        <v>0</v>
      </c>
      <c r="K3177">
        <v>1204.5999999999999</v>
      </c>
    </row>
    <row r="3178" spans="1:11" x14ac:dyDescent="0.25">
      <c r="A3178" t="s">
        <v>3218</v>
      </c>
      <c r="B3178" s="1">
        <v>46061.710682870369</v>
      </c>
      <c r="C3178" s="2" t="s">
        <v>41</v>
      </c>
      <c r="D3178" t="s">
        <v>13</v>
      </c>
      <c r="E3178">
        <v>178500</v>
      </c>
      <c r="F3178" t="s">
        <v>14</v>
      </c>
      <c r="G3178" t="s">
        <v>15</v>
      </c>
      <c r="H3178" t="s">
        <v>16</v>
      </c>
      <c r="I3178">
        <v>3302.25</v>
      </c>
      <c r="J3178">
        <v>1320.9</v>
      </c>
      <c r="K3178">
        <v>1981.35</v>
      </c>
    </row>
    <row r="3179" spans="1:11" x14ac:dyDescent="0.25">
      <c r="A3179" t="s">
        <v>3219</v>
      </c>
      <c r="B3179" s="1">
        <v>46134.067511574074</v>
      </c>
      <c r="C3179" s="2" t="s">
        <v>29</v>
      </c>
      <c r="D3179" t="s">
        <v>13</v>
      </c>
      <c r="E3179">
        <v>150500</v>
      </c>
      <c r="F3179" t="s">
        <v>14</v>
      </c>
      <c r="G3179" t="s">
        <v>15</v>
      </c>
      <c r="H3179" t="s">
        <v>16</v>
      </c>
      <c r="I3179">
        <v>2784.25</v>
      </c>
      <c r="J3179">
        <v>1113.7</v>
      </c>
      <c r="K3179">
        <v>1670.55</v>
      </c>
    </row>
    <row r="3180" spans="1:11" x14ac:dyDescent="0.25">
      <c r="A3180" t="s">
        <v>3220</v>
      </c>
      <c r="B3180" s="1">
        <v>46067.383564814816</v>
      </c>
      <c r="C3180" s="2" t="s">
        <v>22</v>
      </c>
      <c r="D3180" t="s">
        <v>33</v>
      </c>
      <c r="E3180">
        <v>107444</v>
      </c>
      <c r="F3180" t="s">
        <v>14</v>
      </c>
      <c r="G3180" t="s">
        <v>24</v>
      </c>
      <c r="H3180" t="s">
        <v>16</v>
      </c>
      <c r="I3180">
        <v>0</v>
      </c>
      <c r="J3180">
        <v>0</v>
      </c>
      <c r="K3180">
        <v>0</v>
      </c>
    </row>
    <row r="3181" spans="1:11" x14ac:dyDescent="0.25">
      <c r="A3181" t="s">
        <v>3221</v>
      </c>
      <c r="B3181" s="1">
        <v>46099.9766087963</v>
      </c>
      <c r="C3181" s="2" t="s">
        <v>32</v>
      </c>
      <c r="D3181" t="s">
        <v>19</v>
      </c>
      <c r="E3181">
        <v>13102</v>
      </c>
      <c r="F3181" t="s">
        <v>14</v>
      </c>
      <c r="G3181" t="s">
        <v>51</v>
      </c>
      <c r="H3181" t="s">
        <v>16</v>
      </c>
      <c r="I3181">
        <v>5</v>
      </c>
      <c r="J3181">
        <v>0</v>
      </c>
      <c r="K3181">
        <v>5</v>
      </c>
    </row>
    <row r="3182" spans="1:11" x14ac:dyDescent="0.25">
      <c r="A3182" t="s">
        <v>3222</v>
      </c>
      <c r="B3182" s="1">
        <v>45888.671736111108</v>
      </c>
      <c r="C3182" s="2" t="s">
        <v>41</v>
      </c>
      <c r="D3182" t="s">
        <v>23</v>
      </c>
      <c r="E3182">
        <v>1690</v>
      </c>
      <c r="F3182" t="s">
        <v>50</v>
      </c>
      <c r="G3182" t="s">
        <v>27</v>
      </c>
      <c r="H3182" t="s">
        <v>16</v>
      </c>
      <c r="I3182">
        <v>0</v>
      </c>
      <c r="J3182">
        <v>0</v>
      </c>
      <c r="K3182">
        <v>0</v>
      </c>
    </row>
    <row r="3183" spans="1:11" x14ac:dyDescent="0.25">
      <c r="A3183" t="s">
        <v>3223</v>
      </c>
      <c r="B3183" s="1">
        <v>46125.270868055559</v>
      </c>
      <c r="C3183" s="2" t="s">
        <v>22</v>
      </c>
      <c r="D3183" t="s">
        <v>45</v>
      </c>
      <c r="E3183">
        <v>38338</v>
      </c>
      <c r="F3183" t="s">
        <v>14</v>
      </c>
      <c r="G3183" t="s">
        <v>58</v>
      </c>
      <c r="H3183" t="s">
        <v>178</v>
      </c>
      <c r="I3183">
        <v>383.38</v>
      </c>
      <c r="J3183">
        <v>0</v>
      </c>
      <c r="K3183">
        <v>383.38</v>
      </c>
    </row>
    <row r="3184" spans="1:11" x14ac:dyDescent="0.25">
      <c r="A3184" t="s">
        <v>3224</v>
      </c>
      <c r="B3184" s="1">
        <v>46039.672523148147</v>
      </c>
      <c r="C3184" s="2" t="s">
        <v>22</v>
      </c>
      <c r="D3184" t="s">
        <v>19</v>
      </c>
      <c r="E3184">
        <v>55162</v>
      </c>
      <c r="F3184" t="s">
        <v>14</v>
      </c>
      <c r="G3184" t="s">
        <v>20</v>
      </c>
      <c r="H3184" t="s">
        <v>16</v>
      </c>
      <c r="I3184">
        <v>5</v>
      </c>
      <c r="J3184">
        <v>0</v>
      </c>
      <c r="K3184">
        <v>5</v>
      </c>
    </row>
    <row r="3185" spans="1:11" x14ac:dyDescent="0.25">
      <c r="A3185" t="s">
        <v>3225</v>
      </c>
      <c r="B3185" s="1">
        <v>46030.354814814818</v>
      </c>
      <c r="C3185" s="2" t="s">
        <v>41</v>
      </c>
      <c r="D3185" t="s">
        <v>33</v>
      </c>
      <c r="E3185">
        <v>9435</v>
      </c>
      <c r="F3185" t="s">
        <v>14</v>
      </c>
      <c r="G3185" t="s">
        <v>51</v>
      </c>
      <c r="H3185" t="s">
        <v>16</v>
      </c>
      <c r="I3185">
        <v>0</v>
      </c>
      <c r="J3185">
        <v>0</v>
      </c>
      <c r="K3185">
        <v>0</v>
      </c>
    </row>
    <row r="3186" spans="1:11" x14ac:dyDescent="0.25">
      <c r="A3186" t="s">
        <v>3226</v>
      </c>
      <c r="B3186" s="1">
        <v>45958.502986111111</v>
      </c>
      <c r="C3186" s="2" t="s">
        <v>18</v>
      </c>
      <c r="D3186" t="s">
        <v>23</v>
      </c>
      <c r="E3186">
        <v>855</v>
      </c>
      <c r="F3186" t="s">
        <v>14</v>
      </c>
      <c r="G3186" t="s">
        <v>84</v>
      </c>
      <c r="H3186" t="s">
        <v>16</v>
      </c>
      <c r="I3186">
        <v>0</v>
      </c>
      <c r="J3186">
        <v>0</v>
      </c>
      <c r="K3186">
        <v>0</v>
      </c>
    </row>
    <row r="3187" spans="1:11" x14ac:dyDescent="0.25">
      <c r="A3187" t="s">
        <v>3227</v>
      </c>
      <c r="B3187" s="1">
        <v>46063.904398148145</v>
      </c>
      <c r="C3187" s="2" t="s">
        <v>22</v>
      </c>
      <c r="D3187" t="s">
        <v>23</v>
      </c>
      <c r="E3187">
        <v>3245</v>
      </c>
      <c r="F3187" t="s">
        <v>14</v>
      </c>
      <c r="G3187" t="s">
        <v>20</v>
      </c>
      <c r="H3187" t="s">
        <v>16</v>
      </c>
      <c r="I3187">
        <v>0</v>
      </c>
      <c r="J3187">
        <v>0</v>
      </c>
      <c r="K3187">
        <v>0</v>
      </c>
    </row>
    <row r="3188" spans="1:11" x14ac:dyDescent="0.25">
      <c r="A3188" t="s">
        <v>3228</v>
      </c>
      <c r="B3188" s="1">
        <v>45948.610671296294</v>
      </c>
      <c r="C3188" s="2" t="s">
        <v>26</v>
      </c>
      <c r="D3188" t="s">
        <v>19</v>
      </c>
      <c r="E3188">
        <v>110710</v>
      </c>
      <c r="F3188" t="s">
        <v>14</v>
      </c>
      <c r="G3188" t="s">
        <v>58</v>
      </c>
      <c r="H3188" t="s">
        <v>16</v>
      </c>
      <c r="I3188">
        <v>5</v>
      </c>
      <c r="J3188">
        <v>0</v>
      </c>
      <c r="K3188">
        <v>5</v>
      </c>
    </row>
    <row r="3189" spans="1:11" x14ac:dyDescent="0.25">
      <c r="A3189" t="s">
        <v>3229</v>
      </c>
      <c r="B3189" s="1">
        <v>46042.053240740737</v>
      </c>
      <c r="C3189" s="2" t="s">
        <v>29</v>
      </c>
      <c r="D3189" t="s">
        <v>23</v>
      </c>
      <c r="E3189">
        <v>4295</v>
      </c>
      <c r="F3189" t="s">
        <v>14</v>
      </c>
      <c r="G3189" t="s">
        <v>84</v>
      </c>
      <c r="H3189" t="s">
        <v>16</v>
      </c>
      <c r="I3189">
        <v>0</v>
      </c>
      <c r="J3189">
        <v>0</v>
      </c>
      <c r="K3189">
        <v>0</v>
      </c>
    </row>
    <row r="3190" spans="1:11" x14ac:dyDescent="0.25">
      <c r="A3190" t="s">
        <v>3230</v>
      </c>
      <c r="B3190" s="1">
        <v>46061.164525462962</v>
      </c>
      <c r="C3190" s="2" t="s">
        <v>32</v>
      </c>
      <c r="D3190" t="s">
        <v>23</v>
      </c>
      <c r="E3190">
        <v>2395</v>
      </c>
      <c r="F3190" t="s">
        <v>14</v>
      </c>
      <c r="G3190" t="s">
        <v>15</v>
      </c>
      <c r="H3190" t="s">
        <v>16</v>
      </c>
      <c r="I3190">
        <v>0</v>
      </c>
      <c r="J3190">
        <v>0</v>
      </c>
      <c r="K3190">
        <v>0</v>
      </c>
    </row>
    <row r="3191" spans="1:11" x14ac:dyDescent="0.25">
      <c r="A3191" t="s">
        <v>3231</v>
      </c>
      <c r="B3191" s="1">
        <v>45783.259027777778</v>
      </c>
      <c r="C3191" s="2" t="s">
        <v>18</v>
      </c>
      <c r="D3191" t="s">
        <v>33</v>
      </c>
      <c r="E3191">
        <v>134770</v>
      </c>
      <c r="F3191" t="s">
        <v>14</v>
      </c>
      <c r="G3191" t="s">
        <v>58</v>
      </c>
      <c r="H3191" t="s">
        <v>16</v>
      </c>
      <c r="I3191">
        <v>0</v>
      </c>
      <c r="J3191">
        <v>0</v>
      </c>
      <c r="K3191">
        <v>0</v>
      </c>
    </row>
    <row r="3192" spans="1:11" x14ac:dyDescent="0.25">
      <c r="A3192" t="s">
        <v>3232</v>
      </c>
      <c r="B3192" s="1">
        <v>45917.144166666665</v>
      </c>
      <c r="C3192" s="2" t="s">
        <v>22</v>
      </c>
      <c r="D3192" t="s">
        <v>33</v>
      </c>
      <c r="E3192">
        <v>50397</v>
      </c>
      <c r="F3192" t="s">
        <v>14</v>
      </c>
      <c r="G3192" t="s">
        <v>34</v>
      </c>
      <c r="H3192" t="s">
        <v>16</v>
      </c>
      <c r="I3192">
        <v>0</v>
      </c>
      <c r="J3192">
        <v>0</v>
      </c>
      <c r="K3192">
        <v>0</v>
      </c>
    </row>
    <row r="3193" spans="1:11" x14ac:dyDescent="0.25">
      <c r="A3193" t="s">
        <v>3233</v>
      </c>
      <c r="B3193" s="1">
        <v>45887.681192129632</v>
      </c>
      <c r="C3193" s="2" t="s">
        <v>41</v>
      </c>
      <c r="D3193" t="s">
        <v>23</v>
      </c>
      <c r="E3193">
        <v>2603</v>
      </c>
      <c r="F3193" t="s">
        <v>14</v>
      </c>
      <c r="G3193" t="s">
        <v>27</v>
      </c>
      <c r="H3193" t="s">
        <v>16</v>
      </c>
      <c r="I3193">
        <v>0</v>
      </c>
      <c r="J3193">
        <v>0</v>
      </c>
      <c r="K3193">
        <v>0</v>
      </c>
    </row>
    <row r="3194" spans="1:11" x14ac:dyDescent="0.25">
      <c r="A3194" t="s">
        <v>3234</v>
      </c>
      <c r="B3194" s="1">
        <v>45925.929583333331</v>
      </c>
      <c r="C3194" s="2" t="s">
        <v>41</v>
      </c>
      <c r="D3194" t="s">
        <v>23</v>
      </c>
      <c r="E3194">
        <v>4810</v>
      </c>
      <c r="F3194" t="s">
        <v>14</v>
      </c>
      <c r="G3194" t="s">
        <v>30</v>
      </c>
      <c r="H3194" t="s">
        <v>16</v>
      </c>
      <c r="I3194">
        <v>0</v>
      </c>
      <c r="J3194">
        <v>0</v>
      </c>
      <c r="K3194">
        <v>0</v>
      </c>
    </row>
    <row r="3195" spans="1:11" x14ac:dyDescent="0.25">
      <c r="A3195" t="s">
        <v>3235</v>
      </c>
      <c r="B3195" s="1">
        <v>46031.779849537037</v>
      </c>
      <c r="C3195" s="2" t="s">
        <v>32</v>
      </c>
      <c r="D3195" t="s">
        <v>23</v>
      </c>
      <c r="E3195">
        <v>1701</v>
      </c>
      <c r="F3195" t="s">
        <v>50</v>
      </c>
      <c r="G3195" t="s">
        <v>58</v>
      </c>
      <c r="H3195" t="s">
        <v>16</v>
      </c>
      <c r="I3195">
        <v>0</v>
      </c>
      <c r="J3195">
        <v>0</v>
      </c>
      <c r="K3195">
        <v>0</v>
      </c>
    </row>
    <row r="3196" spans="1:11" x14ac:dyDescent="0.25">
      <c r="A3196" t="s">
        <v>3236</v>
      </c>
      <c r="B3196" s="1">
        <v>46137.036203703705</v>
      </c>
      <c r="C3196" s="2" t="s">
        <v>22</v>
      </c>
      <c r="D3196" t="s">
        <v>13</v>
      </c>
      <c r="E3196">
        <v>172000</v>
      </c>
      <c r="F3196" t="s">
        <v>14</v>
      </c>
      <c r="G3196" t="s">
        <v>58</v>
      </c>
      <c r="H3196" t="s">
        <v>16</v>
      </c>
      <c r="I3196">
        <v>3182</v>
      </c>
      <c r="J3196">
        <v>1272.8</v>
      </c>
      <c r="K3196">
        <v>1909.2</v>
      </c>
    </row>
    <row r="3197" spans="1:11" x14ac:dyDescent="0.25">
      <c r="A3197" t="s">
        <v>3237</v>
      </c>
      <c r="B3197" s="1">
        <v>45848.48238425926</v>
      </c>
      <c r="C3197" s="2" t="s">
        <v>39</v>
      </c>
      <c r="D3197" t="s">
        <v>19</v>
      </c>
      <c r="E3197">
        <v>18951</v>
      </c>
      <c r="F3197" t="s">
        <v>14</v>
      </c>
      <c r="G3197" t="s">
        <v>34</v>
      </c>
      <c r="H3197" t="s">
        <v>16</v>
      </c>
      <c r="I3197">
        <v>5</v>
      </c>
      <c r="J3197">
        <v>0</v>
      </c>
      <c r="K3197">
        <v>5</v>
      </c>
    </row>
    <row r="3198" spans="1:11" x14ac:dyDescent="0.25">
      <c r="A3198" t="s">
        <v>3238</v>
      </c>
      <c r="B3198" s="1">
        <v>46048.378703703704</v>
      </c>
      <c r="C3198" s="2" t="s">
        <v>18</v>
      </c>
      <c r="D3198" t="s">
        <v>33</v>
      </c>
      <c r="E3198">
        <v>38537</v>
      </c>
      <c r="F3198" t="s">
        <v>14</v>
      </c>
      <c r="G3198" t="s">
        <v>30</v>
      </c>
      <c r="H3198" t="s">
        <v>16</v>
      </c>
      <c r="I3198">
        <v>0</v>
      </c>
      <c r="J3198">
        <v>0</v>
      </c>
      <c r="K3198">
        <v>0</v>
      </c>
    </row>
    <row r="3199" spans="1:11" x14ac:dyDescent="0.25">
      <c r="A3199" t="s">
        <v>3239</v>
      </c>
      <c r="B3199" s="1">
        <v>45895.688402777778</v>
      </c>
      <c r="C3199" s="2" t="s">
        <v>39</v>
      </c>
      <c r="D3199" t="s">
        <v>45</v>
      </c>
      <c r="E3199">
        <v>72269</v>
      </c>
      <c r="F3199" t="s">
        <v>14</v>
      </c>
      <c r="G3199" t="s">
        <v>58</v>
      </c>
      <c r="H3199" t="s">
        <v>178</v>
      </c>
      <c r="I3199">
        <v>722.69</v>
      </c>
      <c r="J3199">
        <v>0</v>
      </c>
      <c r="K3199">
        <v>722.69</v>
      </c>
    </row>
    <row r="3200" spans="1:11" x14ac:dyDescent="0.25">
      <c r="A3200" t="s">
        <v>3240</v>
      </c>
      <c r="B3200" s="1">
        <v>46125.260462962964</v>
      </c>
      <c r="C3200" s="2" t="s">
        <v>39</v>
      </c>
      <c r="D3200" t="s">
        <v>33</v>
      </c>
      <c r="E3200">
        <v>43068</v>
      </c>
      <c r="F3200" t="s">
        <v>14</v>
      </c>
      <c r="G3200" t="s">
        <v>51</v>
      </c>
      <c r="H3200" t="s">
        <v>16</v>
      </c>
      <c r="I3200">
        <v>0</v>
      </c>
      <c r="J3200">
        <v>0</v>
      </c>
      <c r="K3200">
        <v>0</v>
      </c>
    </row>
    <row r="3201" spans="1:11" x14ac:dyDescent="0.25">
      <c r="A3201" t="s">
        <v>3241</v>
      </c>
      <c r="B3201" s="1">
        <v>45875.168599537035</v>
      </c>
      <c r="C3201" s="2" t="s">
        <v>22</v>
      </c>
      <c r="D3201" t="s">
        <v>23</v>
      </c>
      <c r="E3201">
        <v>4012</v>
      </c>
      <c r="F3201" t="s">
        <v>14</v>
      </c>
      <c r="G3201" t="s">
        <v>30</v>
      </c>
      <c r="H3201" t="s">
        <v>16</v>
      </c>
      <c r="I3201">
        <v>0</v>
      </c>
      <c r="J3201">
        <v>0</v>
      </c>
      <c r="K3201">
        <v>0</v>
      </c>
    </row>
    <row r="3202" spans="1:11" x14ac:dyDescent="0.25">
      <c r="A3202" t="s">
        <v>3242</v>
      </c>
      <c r="B3202" s="1">
        <v>45921.057256944441</v>
      </c>
      <c r="C3202" s="2" t="s">
        <v>29</v>
      </c>
      <c r="D3202" t="s">
        <v>19</v>
      </c>
      <c r="E3202">
        <v>91887</v>
      </c>
      <c r="F3202" t="s">
        <v>14</v>
      </c>
      <c r="G3202" t="s">
        <v>34</v>
      </c>
      <c r="H3202" t="s">
        <v>16</v>
      </c>
      <c r="I3202">
        <v>5</v>
      </c>
      <c r="J3202">
        <v>0</v>
      </c>
      <c r="K3202">
        <v>5</v>
      </c>
    </row>
    <row r="3203" spans="1:11" x14ac:dyDescent="0.25">
      <c r="A3203" t="s">
        <v>3243</v>
      </c>
      <c r="B3203" s="1">
        <v>45779.608935185184</v>
      </c>
      <c r="C3203" s="2" t="s">
        <v>29</v>
      </c>
      <c r="D3203" t="s">
        <v>19</v>
      </c>
      <c r="E3203">
        <v>21290</v>
      </c>
      <c r="F3203" t="s">
        <v>14</v>
      </c>
      <c r="G3203" t="s">
        <v>34</v>
      </c>
      <c r="H3203" t="s">
        <v>16</v>
      </c>
      <c r="I3203">
        <v>5</v>
      </c>
      <c r="J3203">
        <v>0</v>
      </c>
      <c r="K3203">
        <v>5</v>
      </c>
    </row>
    <row r="3204" spans="1:11" x14ac:dyDescent="0.25">
      <c r="A3204" t="s">
        <v>3244</v>
      </c>
      <c r="B3204" s="1">
        <v>45939.573449074072</v>
      </c>
      <c r="C3204" s="2" t="s">
        <v>18</v>
      </c>
      <c r="D3204" t="s">
        <v>23</v>
      </c>
      <c r="E3204">
        <v>432</v>
      </c>
      <c r="F3204" t="s">
        <v>14</v>
      </c>
      <c r="G3204" t="s">
        <v>20</v>
      </c>
      <c r="H3204" t="s">
        <v>16</v>
      </c>
      <c r="I3204">
        <v>0</v>
      </c>
      <c r="J3204">
        <v>0</v>
      </c>
      <c r="K3204">
        <v>0</v>
      </c>
    </row>
    <row r="3205" spans="1:11" x14ac:dyDescent="0.25">
      <c r="A3205" t="s">
        <v>3245</v>
      </c>
      <c r="B3205" s="1">
        <v>46005.358449074076</v>
      </c>
      <c r="C3205" s="2" t="s">
        <v>29</v>
      </c>
      <c r="D3205" t="s">
        <v>23</v>
      </c>
      <c r="E3205">
        <v>1126</v>
      </c>
      <c r="F3205" t="s">
        <v>14</v>
      </c>
      <c r="G3205" t="s">
        <v>58</v>
      </c>
      <c r="H3205" t="s">
        <v>16</v>
      </c>
      <c r="I3205">
        <v>0</v>
      </c>
      <c r="J3205">
        <v>0</v>
      </c>
      <c r="K3205">
        <v>0</v>
      </c>
    </row>
    <row r="3206" spans="1:11" x14ac:dyDescent="0.25">
      <c r="A3206" t="s">
        <v>3246</v>
      </c>
      <c r="B3206" s="1">
        <v>46017.975740740738</v>
      </c>
      <c r="C3206" s="2" t="s">
        <v>22</v>
      </c>
      <c r="D3206" t="s">
        <v>13</v>
      </c>
      <c r="E3206">
        <v>228000</v>
      </c>
      <c r="F3206" t="s">
        <v>50</v>
      </c>
      <c r="G3206" t="s">
        <v>24</v>
      </c>
      <c r="H3206" t="s">
        <v>16</v>
      </c>
      <c r="I3206">
        <v>4218</v>
      </c>
      <c r="J3206">
        <v>1687.2</v>
      </c>
      <c r="K3206">
        <v>2530.8000000000002</v>
      </c>
    </row>
    <row r="3207" spans="1:11" x14ac:dyDescent="0.25">
      <c r="A3207" t="s">
        <v>3247</v>
      </c>
      <c r="B3207" s="1">
        <v>45813.872847222221</v>
      </c>
      <c r="C3207" s="2" t="s">
        <v>39</v>
      </c>
      <c r="D3207" t="s">
        <v>13</v>
      </c>
      <c r="E3207">
        <v>19000</v>
      </c>
      <c r="F3207" t="s">
        <v>14</v>
      </c>
      <c r="G3207" t="s">
        <v>34</v>
      </c>
      <c r="H3207" t="s">
        <v>16</v>
      </c>
      <c r="I3207">
        <v>351.5</v>
      </c>
      <c r="J3207">
        <v>140.6</v>
      </c>
      <c r="K3207">
        <v>210.9</v>
      </c>
    </row>
    <row r="3208" spans="1:11" x14ac:dyDescent="0.25">
      <c r="A3208" t="s">
        <v>3248</v>
      </c>
      <c r="B3208" s="1">
        <v>45964.084409722222</v>
      </c>
      <c r="C3208" s="2" t="s">
        <v>39</v>
      </c>
      <c r="D3208" t="s">
        <v>33</v>
      </c>
      <c r="E3208">
        <v>105253</v>
      </c>
      <c r="F3208" t="s">
        <v>50</v>
      </c>
      <c r="G3208" t="s">
        <v>15</v>
      </c>
      <c r="H3208" t="s">
        <v>16</v>
      </c>
      <c r="I3208">
        <v>0</v>
      </c>
      <c r="J3208">
        <v>0</v>
      </c>
      <c r="K3208">
        <v>0</v>
      </c>
    </row>
    <row r="3209" spans="1:11" x14ac:dyDescent="0.25">
      <c r="A3209" t="s">
        <v>3249</v>
      </c>
      <c r="B3209" s="1">
        <v>45984.235138888886</v>
      </c>
      <c r="C3209" s="2" t="s">
        <v>39</v>
      </c>
      <c r="D3209" t="s">
        <v>23</v>
      </c>
      <c r="E3209">
        <v>363</v>
      </c>
      <c r="F3209" t="s">
        <v>14</v>
      </c>
      <c r="G3209" t="s">
        <v>24</v>
      </c>
      <c r="H3209" t="s">
        <v>16</v>
      </c>
      <c r="I3209">
        <v>0</v>
      </c>
      <c r="J3209">
        <v>0</v>
      </c>
      <c r="K3209">
        <v>0</v>
      </c>
    </row>
    <row r="3210" spans="1:11" x14ac:dyDescent="0.25">
      <c r="A3210" t="s">
        <v>3250</v>
      </c>
      <c r="B3210" s="1">
        <v>46007.872048611112</v>
      </c>
      <c r="C3210" s="2" t="s">
        <v>29</v>
      </c>
      <c r="D3210" t="s">
        <v>45</v>
      </c>
      <c r="E3210">
        <v>29702</v>
      </c>
      <c r="F3210" t="s">
        <v>99</v>
      </c>
      <c r="G3210" t="s">
        <v>15</v>
      </c>
      <c r="H3210" t="s">
        <v>59</v>
      </c>
      <c r="I3210">
        <v>297.02</v>
      </c>
      <c r="J3210">
        <v>0</v>
      </c>
      <c r="K3210">
        <v>297.02</v>
      </c>
    </row>
    <row r="3211" spans="1:11" x14ac:dyDescent="0.25">
      <c r="A3211" t="s">
        <v>3251</v>
      </c>
      <c r="B3211" s="1">
        <v>46010.442523148151</v>
      </c>
      <c r="C3211" s="2" t="s">
        <v>18</v>
      </c>
      <c r="D3211" t="s">
        <v>33</v>
      </c>
      <c r="E3211">
        <v>7054</v>
      </c>
      <c r="F3211" t="s">
        <v>14</v>
      </c>
      <c r="G3211" t="s">
        <v>34</v>
      </c>
      <c r="H3211" t="s">
        <v>16</v>
      </c>
      <c r="I3211">
        <v>0</v>
      </c>
      <c r="J3211">
        <v>0</v>
      </c>
      <c r="K3211">
        <v>0</v>
      </c>
    </row>
    <row r="3212" spans="1:11" x14ac:dyDescent="0.25">
      <c r="A3212" t="s">
        <v>3252</v>
      </c>
      <c r="B3212" s="1">
        <v>45896.555578703701</v>
      </c>
      <c r="C3212" s="2" t="s">
        <v>26</v>
      </c>
      <c r="D3212" t="s">
        <v>13</v>
      </c>
      <c r="E3212">
        <v>189500</v>
      </c>
      <c r="F3212" t="s">
        <v>14</v>
      </c>
      <c r="G3212" t="s">
        <v>20</v>
      </c>
      <c r="H3212" t="s">
        <v>16</v>
      </c>
      <c r="I3212">
        <v>3505.75</v>
      </c>
      <c r="J3212">
        <v>1402.3</v>
      </c>
      <c r="K3212">
        <v>2103.4499999999998</v>
      </c>
    </row>
    <row r="3213" spans="1:11" x14ac:dyDescent="0.25">
      <c r="A3213" t="s">
        <v>3253</v>
      </c>
      <c r="B3213" s="1">
        <v>45783.256620370368</v>
      </c>
      <c r="C3213" s="2" t="s">
        <v>32</v>
      </c>
      <c r="D3213" t="s">
        <v>23</v>
      </c>
      <c r="E3213">
        <v>958</v>
      </c>
      <c r="F3213" t="s">
        <v>14</v>
      </c>
      <c r="G3213" t="s">
        <v>20</v>
      </c>
      <c r="H3213" t="s">
        <v>16</v>
      </c>
      <c r="I3213">
        <v>0</v>
      </c>
      <c r="J3213">
        <v>0</v>
      </c>
      <c r="K3213">
        <v>0</v>
      </c>
    </row>
    <row r="3214" spans="1:11" x14ac:dyDescent="0.25">
      <c r="A3214" t="s">
        <v>3254</v>
      </c>
      <c r="B3214" s="1">
        <v>45815.744074074071</v>
      </c>
      <c r="C3214" s="2" t="s">
        <v>41</v>
      </c>
      <c r="D3214" t="s">
        <v>23</v>
      </c>
      <c r="E3214">
        <v>2682</v>
      </c>
      <c r="F3214" t="s">
        <v>14</v>
      </c>
      <c r="G3214" t="s">
        <v>20</v>
      </c>
      <c r="H3214" t="s">
        <v>16</v>
      </c>
      <c r="I3214">
        <v>0</v>
      </c>
      <c r="J3214">
        <v>0</v>
      </c>
      <c r="K3214">
        <v>0</v>
      </c>
    </row>
    <row r="3215" spans="1:11" x14ac:dyDescent="0.25">
      <c r="A3215" t="s">
        <v>3255</v>
      </c>
      <c r="B3215" s="1">
        <v>45798.605081018519</v>
      </c>
      <c r="C3215" s="2" t="s">
        <v>29</v>
      </c>
      <c r="D3215" t="s">
        <v>33</v>
      </c>
      <c r="E3215">
        <v>44719</v>
      </c>
      <c r="F3215" t="s">
        <v>50</v>
      </c>
      <c r="G3215" t="s">
        <v>15</v>
      </c>
      <c r="H3215" t="s">
        <v>16</v>
      </c>
      <c r="I3215">
        <v>0</v>
      </c>
      <c r="J3215">
        <v>0</v>
      </c>
      <c r="K3215">
        <v>0</v>
      </c>
    </row>
    <row r="3216" spans="1:11" x14ac:dyDescent="0.25">
      <c r="A3216" t="s">
        <v>3256</v>
      </c>
      <c r="B3216" s="1">
        <v>46038.047384259262</v>
      </c>
      <c r="C3216" s="2" t="s">
        <v>18</v>
      </c>
      <c r="D3216" t="s">
        <v>13</v>
      </c>
      <c r="E3216">
        <v>113000</v>
      </c>
      <c r="F3216" t="s">
        <v>50</v>
      </c>
      <c r="G3216" t="s">
        <v>20</v>
      </c>
      <c r="H3216" t="s">
        <v>16</v>
      </c>
      <c r="I3216">
        <v>2090.5</v>
      </c>
      <c r="J3216">
        <v>836.2</v>
      </c>
      <c r="K3216">
        <v>1254.3</v>
      </c>
    </row>
    <row r="3217" spans="1:11" x14ac:dyDescent="0.25">
      <c r="A3217" t="s">
        <v>3257</v>
      </c>
      <c r="B3217" s="1">
        <v>45866.631701388891</v>
      </c>
      <c r="C3217" s="2" t="s">
        <v>32</v>
      </c>
      <c r="D3217" t="s">
        <v>13</v>
      </c>
      <c r="E3217">
        <v>38000</v>
      </c>
      <c r="F3217" t="s">
        <v>99</v>
      </c>
      <c r="G3217" t="s">
        <v>20</v>
      </c>
      <c r="H3217" t="s">
        <v>16</v>
      </c>
      <c r="I3217">
        <v>703</v>
      </c>
      <c r="J3217">
        <v>281.2</v>
      </c>
      <c r="K3217">
        <v>421.8</v>
      </c>
    </row>
    <row r="3218" spans="1:11" x14ac:dyDescent="0.25">
      <c r="A3218" t="s">
        <v>3258</v>
      </c>
      <c r="B3218" s="1">
        <v>46084.358124999999</v>
      </c>
      <c r="C3218" s="2" t="s">
        <v>26</v>
      </c>
      <c r="D3218" t="s">
        <v>33</v>
      </c>
      <c r="E3218">
        <v>144664</v>
      </c>
      <c r="F3218" t="s">
        <v>50</v>
      </c>
      <c r="G3218" t="s">
        <v>58</v>
      </c>
      <c r="H3218" t="s">
        <v>16</v>
      </c>
      <c r="I3218">
        <v>0</v>
      </c>
      <c r="J3218">
        <v>0</v>
      </c>
      <c r="K3218">
        <v>0</v>
      </c>
    </row>
    <row r="3219" spans="1:11" x14ac:dyDescent="0.25">
      <c r="A3219" t="s">
        <v>3259</v>
      </c>
      <c r="B3219" s="1">
        <v>46001.163414351853</v>
      </c>
      <c r="C3219" s="2" t="s">
        <v>26</v>
      </c>
      <c r="D3219" t="s">
        <v>33</v>
      </c>
      <c r="E3219">
        <v>27162</v>
      </c>
      <c r="F3219" t="s">
        <v>50</v>
      </c>
      <c r="G3219" t="s">
        <v>24</v>
      </c>
      <c r="H3219" t="s">
        <v>16</v>
      </c>
      <c r="I3219">
        <v>0</v>
      </c>
      <c r="J3219">
        <v>0</v>
      </c>
      <c r="K3219">
        <v>0</v>
      </c>
    </row>
    <row r="3220" spans="1:11" x14ac:dyDescent="0.25">
      <c r="A3220" t="s">
        <v>3260</v>
      </c>
      <c r="B3220" s="1">
        <v>46119.534108796295</v>
      </c>
      <c r="C3220" s="2" t="s">
        <v>18</v>
      </c>
      <c r="D3220" t="s">
        <v>33</v>
      </c>
      <c r="E3220">
        <v>37576</v>
      </c>
      <c r="F3220" t="s">
        <v>14</v>
      </c>
      <c r="G3220" t="s">
        <v>51</v>
      </c>
      <c r="H3220" t="s">
        <v>16</v>
      </c>
      <c r="I3220">
        <v>0</v>
      </c>
      <c r="J3220">
        <v>0</v>
      </c>
      <c r="K3220">
        <v>0</v>
      </c>
    </row>
    <row r="3221" spans="1:11" x14ac:dyDescent="0.25">
      <c r="A3221" t="s">
        <v>3261</v>
      </c>
      <c r="B3221" s="1">
        <v>45784.38045138889</v>
      </c>
      <c r="C3221" s="2" t="s">
        <v>26</v>
      </c>
      <c r="D3221" t="s">
        <v>13</v>
      </c>
      <c r="E3221">
        <v>27500</v>
      </c>
      <c r="F3221" t="s">
        <v>14</v>
      </c>
      <c r="G3221" t="s">
        <v>15</v>
      </c>
      <c r="H3221" t="s">
        <v>16</v>
      </c>
      <c r="I3221">
        <v>508.75</v>
      </c>
      <c r="J3221">
        <v>203.5</v>
      </c>
      <c r="K3221">
        <v>305.25</v>
      </c>
    </row>
    <row r="3222" spans="1:11" x14ac:dyDescent="0.25">
      <c r="A3222" t="s">
        <v>3262</v>
      </c>
      <c r="B3222" s="1">
        <v>45956.184571759259</v>
      </c>
      <c r="C3222" s="2" t="s">
        <v>29</v>
      </c>
      <c r="D3222" t="s">
        <v>23</v>
      </c>
      <c r="E3222">
        <v>4443</v>
      </c>
      <c r="F3222" t="s">
        <v>14</v>
      </c>
      <c r="G3222" t="s">
        <v>27</v>
      </c>
      <c r="H3222" t="s">
        <v>16</v>
      </c>
      <c r="I3222">
        <v>0</v>
      </c>
      <c r="J3222">
        <v>0</v>
      </c>
      <c r="K3222">
        <v>0</v>
      </c>
    </row>
    <row r="3223" spans="1:11" x14ac:dyDescent="0.25">
      <c r="A3223" t="s">
        <v>3263</v>
      </c>
      <c r="B3223" s="1">
        <v>46070.415625000001</v>
      </c>
      <c r="C3223" s="2" t="s">
        <v>32</v>
      </c>
      <c r="D3223" t="s">
        <v>13</v>
      </c>
      <c r="E3223">
        <v>131000</v>
      </c>
      <c r="F3223" t="s">
        <v>14</v>
      </c>
      <c r="G3223" t="s">
        <v>15</v>
      </c>
      <c r="H3223" t="s">
        <v>16</v>
      </c>
      <c r="I3223">
        <v>2423.5</v>
      </c>
      <c r="J3223">
        <v>969.4</v>
      </c>
      <c r="K3223">
        <v>1454.1</v>
      </c>
    </row>
    <row r="3224" spans="1:11" x14ac:dyDescent="0.25">
      <c r="A3224" t="s">
        <v>3264</v>
      </c>
      <c r="B3224" s="1">
        <v>46028.687696759262</v>
      </c>
      <c r="C3224" s="2" t="s">
        <v>18</v>
      </c>
      <c r="D3224" t="s">
        <v>45</v>
      </c>
      <c r="E3224">
        <v>83795</v>
      </c>
      <c r="F3224" t="s">
        <v>14</v>
      </c>
      <c r="G3224" t="s">
        <v>27</v>
      </c>
      <c r="H3224" t="s">
        <v>56</v>
      </c>
      <c r="I3224">
        <v>837.95</v>
      </c>
      <c r="J3224">
        <v>0</v>
      </c>
      <c r="K3224">
        <v>837.95</v>
      </c>
    </row>
    <row r="3225" spans="1:11" x14ac:dyDescent="0.25">
      <c r="A3225" t="s">
        <v>3265</v>
      </c>
      <c r="B3225" s="1">
        <v>46097.80704861111</v>
      </c>
      <c r="C3225" s="2" t="s">
        <v>41</v>
      </c>
      <c r="D3225" t="s">
        <v>33</v>
      </c>
      <c r="E3225">
        <v>94021</v>
      </c>
      <c r="F3225" t="s">
        <v>50</v>
      </c>
      <c r="G3225" t="s">
        <v>20</v>
      </c>
      <c r="H3225" t="s">
        <v>16</v>
      </c>
      <c r="I3225">
        <v>0</v>
      </c>
      <c r="J3225">
        <v>0</v>
      </c>
      <c r="K3225">
        <v>0</v>
      </c>
    </row>
    <row r="3226" spans="1:11" x14ac:dyDescent="0.25">
      <c r="A3226" t="s">
        <v>3266</v>
      </c>
      <c r="B3226" s="1">
        <v>45982.546226851853</v>
      </c>
      <c r="C3226" s="2" t="s">
        <v>32</v>
      </c>
      <c r="D3226" t="s">
        <v>19</v>
      </c>
      <c r="E3226">
        <v>36865</v>
      </c>
      <c r="F3226" t="s">
        <v>14</v>
      </c>
      <c r="G3226" t="s">
        <v>20</v>
      </c>
      <c r="H3226" t="s">
        <v>16</v>
      </c>
      <c r="I3226">
        <v>5</v>
      </c>
      <c r="J3226">
        <v>0</v>
      </c>
      <c r="K3226">
        <v>5</v>
      </c>
    </row>
    <row r="3227" spans="1:11" x14ac:dyDescent="0.25">
      <c r="A3227" t="s">
        <v>3267</v>
      </c>
      <c r="B3227" s="1">
        <v>45989.975891203707</v>
      </c>
      <c r="C3227" s="2" t="s">
        <v>29</v>
      </c>
      <c r="D3227" t="s">
        <v>45</v>
      </c>
      <c r="E3227">
        <v>104397</v>
      </c>
      <c r="F3227" t="s">
        <v>14</v>
      </c>
      <c r="G3227" t="s">
        <v>24</v>
      </c>
      <c r="H3227" t="s">
        <v>59</v>
      </c>
      <c r="I3227">
        <v>1043.97</v>
      </c>
      <c r="J3227">
        <v>0</v>
      </c>
      <c r="K3227">
        <v>1043.97</v>
      </c>
    </row>
    <row r="3228" spans="1:11" x14ac:dyDescent="0.25">
      <c r="A3228" t="s">
        <v>3268</v>
      </c>
      <c r="B3228" s="1">
        <v>45884.38480324074</v>
      </c>
      <c r="C3228" s="2" t="s">
        <v>41</v>
      </c>
      <c r="D3228" t="s">
        <v>33</v>
      </c>
      <c r="E3228">
        <v>80483</v>
      </c>
      <c r="F3228" t="s">
        <v>50</v>
      </c>
      <c r="G3228" t="s">
        <v>24</v>
      </c>
      <c r="H3228" t="s">
        <v>16</v>
      </c>
      <c r="I3228">
        <v>0</v>
      </c>
      <c r="J3228">
        <v>0</v>
      </c>
      <c r="K3228">
        <v>0</v>
      </c>
    </row>
    <row r="3229" spans="1:11" x14ac:dyDescent="0.25">
      <c r="A3229" t="s">
        <v>3269</v>
      </c>
      <c r="B3229" s="1">
        <v>45903.540358796294</v>
      </c>
      <c r="C3229" s="2" t="s">
        <v>32</v>
      </c>
      <c r="D3229" t="s">
        <v>23</v>
      </c>
      <c r="E3229">
        <v>581</v>
      </c>
      <c r="F3229" t="s">
        <v>14</v>
      </c>
      <c r="G3229" t="s">
        <v>27</v>
      </c>
      <c r="H3229" t="s">
        <v>16</v>
      </c>
      <c r="I3229">
        <v>0</v>
      </c>
      <c r="J3229">
        <v>0</v>
      </c>
      <c r="K3229">
        <v>0</v>
      </c>
    </row>
    <row r="3230" spans="1:11" x14ac:dyDescent="0.25">
      <c r="A3230" t="s">
        <v>3270</v>
      </c>
      <c r="B3230" s="1">
        <v>45981.967013888891</v>
      </c>
      <c r="C3230" s="2" t="s">
        <v>29</v>
      </c>
      <c r="D3230" t="s">
        <v>19</v>
      </c>
      <c r="E3230">
        <v>29564</v>
      </c>
      <c r="F3230" t="s">
        <v>14</v>
      </c>
      <c r="G3230" t="s">
        <v>15</v>
      </c>
      <c r="H3230" t="s">
        <v>16</v>
      </c>
      <c r="I3230">
        <v>5</v>
      </c>
      <c r="J3230">
        <v>0</v>
      </c>
      <c r="K3230">
        <v>5</v>
      </c>
    </row>
    <row r="3231" spans="1:11" x14ac:dyDescent="0.25">
      <c r="A3231" t="s">
        <v>3271</v>
      </c>
      <c r="B3231" s="1">
        <v>45884.802094907405</v>
      </c>
      <c r="C3231" s="2" t="s">
        <v>12</v>
      </c>
      <c r="D3231" t="s">
        <v>45</v>
      </c>
      <c r="E3231">
        <v>126264</v>
      </c>
      <c r="F3231" t="s">
        <v>14</v>
      </c>
      <c r="G3231" t="s">
        <v>34</v>
      </c>
      <c r="H3231" t="s">
        <v>46</v>
      </c>
      <c r="I3231">
        <v>1262.6400000000001</v>
      </c>
      <c r="J3231">
        <v>0</v>
      </c>
      <c r="K3231">
        <v>1262.6400000000001</v>
      </c>
    </row>
    <row r="3232" spans="1:11" x14ac:dyDescent="0.25">
      <c r="A3232" t="s">
        <v>3272</v>
      </c>
      <c r="B3232" s="1">
        <v>45857.007511574076</v>
      </c>
      <c r="C3232" s="2" t="s">
        <v>22</v>
      </c>
      <c r="D3232" t="s">
        <v>23</v>
      </c>
      <c r="E3232">
        <v>1497</v>
      </c>
      <c r="F3232" t="s">
        <v>14</v>
      </c>
      <c r="G3232" t="s">
        <v>30</v>
      </c>
      <c r="H3232" t="s">
        <v>16</v>
      </c>
      <c r="I3232">
        <v>0</v>
      </c>
      <c r="J3232">
        <v>0</v>
      </c>
      <c r="K3232">
        <v>0</v>
      </c>
    </row>
    <row r="3233" spans="1:11" x14ac:dyDescent="0.25">
      <c r="A3233" t="s">
        <v>3273</v>
      </c>
      <c r="B3233" s="1">
        <v>46021.594988425924</v>
      </c>
      <c r="C3233" s="2" t="s">
        <v>12</v>
      </c>
      <c r="D3233" t="s">
        <v>13</v>
      </c>
      <c r="E3233">
        <v>168500</v>
      </c>
      <c r="F3233" t="s">
        <v>14</v>
      </c>
      <c r="G3233" t="s">
        <v>24</v>
      </c>
      <c r="H3233" t="s">
        <v>16</v>
      </c>
      <c r="I3233">
        <v>3117.25</v>
      </c>
      <c r="J3233">
        <v>1246.9000000000001</v>
      </c>
      <c r="K3233">
        <v>1870.35</v>
      </c>
    </row>
    <row r="3234" spans="1:11" x14ac:dyDescent="0.25">
      <c r="A3234" t="s">
        <v>3274</v>
      </c>
      <c r="B3234" s="1">
        <v>45858.165046296293</v>
      </c>
      <c r="C3234" s="2" t="s">
        <v>29</v>
      </c>
      <c r="D3234" t="s">
        <v>19</v>
      </c>
      <c r="E3234">
        <v>99912</v>
      </c>
      <c r="F3234" t="s">
        <v>50</v>
      </c>
      <c r="G3234" t="s">
        <v>58</v>
      </c>
      <c r="H3234" t="s">
        <v>16</v>
      </c>
      <c r="I3234">
        <v>5</v>
      </c>
      <c r="J3234">
        <v>0</v>
      </c>
      <c r="K3234">
        <v>5</v>
      </c>
    </row>
    <row r="3235" spans="1:11" x14ac:dyDescent="0.25">
      <c r="A3235" t="s">
        <v>3275</v>
      </c>
      <c r="B3235" s="1">
        <v>46080.130486111113</v>
      </c>
      <c r="C3235" s="2" t="s">
        <v>12</v>
      </c>
      <c r="D3235" t="s">
        <v>23</v>
      </c>
      <c r="E3235">
        <v>1185</v>
      </c>
      <c r="F3235" t="s">
        <v>14</v>
      </c>
      <c r="G3235" t="s">
        <v>51</v>
      </c>
      <c r="H3235" t="s">
        <v>16</v>
      </c>
      <c r="I3235">
        <v>0</v>
      </c>
      <c r="J3235">
        <v>0</v>
      </c>
      <c r="K3235">
        <v>0</v>
      </c>
    </row>
    <row r="3236" spans="1:11" x14ac:dyDescent="0.25">
      <c r="A3236" t="s">
        <v>3276</v>
      </c>
      <c r="B3236" s="1">
        <v>46134.737453703703</v>
      </c>
      <c r="C3236" s="2" t="s">
        <v>39</v>
      </c>
      <c r="D3236" t="s">
        <v>19</v>
      </c>
      <c r="E3236">
        <v>1068</v>
      </c>
      <c r="F3236" t="s">
        <v>14</v>
      </c>
      <c r="G3236" t="s">
        <v>34</v>
      </c>
      <c r="H3236" t="s">
        <v>16</v>
      </c>
      <c r="I3236">
        <v>5</v>
      </c>
      <c r="J3236">
        <v>0</v>
      </c>
      <c r="K3236">
        <v>5</v>
      </c>
    </row>
    <row r="3237" spans="1:11" x14ac:dyDescent="0.25">
      <c r="A3237" t="s">
        <v>3277</v>
      </c>
      <c r="B3237" s="1">
        <v>45974.805254629631</v>
      </c>
      <c r="C3237" s="2" t="s">
        <v>22</v>
      </c>
      <c r="D3237" t="s">
        <v>45</v>
      </c>
      <c r="E3237">
        <v>20825</v>
      </c>
      <c r="F3237" t="s">
        <v>14</v>
      </c>
      <c r="G3237" t="s">
        <v>34</v>
      </c>
      <c r="H3237" t="s">
        <v>59</v>
      </c>
      <c r="I3237">
        <v>208.25</v>
      </c>
      <c r="J3237">
        <v>0</v>
      </c>
      <c r="K3237">
        <v>208.25</v>
      </c>
    </row>
    <row r="3238" spans="1:11" x14ac:dyDescent="0.25">
      <c r="A3238" t="s">
        <v>3278</v>
      </c>
      <c r="B3238" s="1">
        <v>46053.710914351854</v>
      </c>
      <c r="C3238" s="2" t="s">
        <v>26</v>
      </c>
      <c r="D3238" t="s">
        <v>23</v>
      </c>
      <c r="E3238">
        <v>4239</v>
      </c>
      <c r="F3238" t="s">
        <v>50</v>
      </c>
      <c r="G3238" t="s">
        <v>34</v>
      </c>
      <c r="H3238" t="s">
        <v>16</v>
      </c>
      <c r="I3238">
        <v>0</v>
      </c>
      <c r="J3238">
        <v>0</v>
      </c>
      <c r="K3238">
        <v>0</v>
      </c>
    </row>
    <row r="3239" spans="1:11" x14ac:dyDescent="0.25">
      <c r="A3239" t="s">
        <v>3279</v>
      </c>
      <c r="B3239" s="1">
        <v>45841.982997685183</v>
      </c>
      <c r="C3239" s="2" t="s">
        <v>29</v>
      </c>
      <c r="D3239" t="s">
        <v>45</v>
      </c>
      <c r="E3239">
        <v>10530</v>
      </c>
      <c r="F3239" t="s">
        <v>14</v>
      </c>
      <c r="G3239" t="s">
        <v>51</v>
      </c>
      <c r="H3239" t="s">
        <v>71</v>
      </c>
      <c r="I3239">
        <v>105.3</v>
      </c>
      <c r="J3239">
        <v>0</v>
      </c>
      <c r="K3239">
        <v>105.3</v>
      </c>
    </row>
    <row r="3240" spans="1:11" x14ac:dyDescent="0.25">
      <c r="A3240" t="s">
        <v>3280</v>
      </c>
      <c r="B3240" s="1">
        <v>46103.931747685187</v>
      </c>
      <c r="C3240" s="2" t="s">
        <v>39</v>
      </c>
      <c r="D3240" t="s">
        <v>45</v>
      </c>
      <c r="E3240">
        <v>76362</v>
      </c>
      <c r="F3240" t="s">
        <v>14</v>
      </c>
      <c r="G3240" t="s">
        <v>24</v>
      </c>
      <c r="H3240" t="s">
        <v>71</v>
      </c>
      <c r="I3240">
        <v>763.62</v>
      </c>
      <c r="J3240">
        <v>0</v>
      </c>
      <c r="K3240">
        <v>763.62</v>
      </c>
    </row>
    <row r="3241" spans="1:11" x14ac:dyDescent="0.25">
      <c r="A3241" t="s">
        <v>3281</v>
      </c>
      <c r="B3241" s="1">
        <v>45911.897002314814</v>
      </c>
      <c r="C3241" s="2" t="s">
        <v>41</v>
      </c>
      <c r="D3241" t="s">
        <v>13</v>
      </c>
      <c r="E3241">
        <v>96500</v>
      </c>
      <c r="F3241" t="s">
        <v>14</v>
      </c>
      <c r="G3241" t="s">
        <v>24</v>
      </c>
      <c r="H3241" t="s">
        <v>16</v>
      </c>
      <c r="I3241">
        <v>1785.25</v>
      </c>
      <c r="J3241">
        <v>714.1</v>
      </c>
      <c r="K3241">
        <v>1071.1500000000001</v>
      </c>
    </row>
    <row r="3242" spans="1:11" x14ac:dyDescent="0.25">
      <c r="A3242" t="s">
        <v>3282</v>
      </c>
      <c r="B3242" s="1">
        <v>46075.472430555557</v>
      </c>
      <c r="C3242" s="2" t="s">
        <v>22</v>
      </c>
      <c r="D3242" t="s">
        <v>23</v>
      </c>
      <c r="E3242">
        <v>3469</v>
      </c>
      <c r="F3242" t="s">
        <v>14</v>
      </c>
      <c r="G3242" t="s">
        <v>30</v>
      </c>
      <c r="H3242" t="s">
        <v>16</v>
      </c>
      <c r="I3242">
        <v>0</v>
      </c>
      <c r="J3242">
        <v>0</v>
      </c>
      <c r="K3242">
        <v>0</v>
      </c>
    </row>
    <row r="3243" spans="1:11" x14ac:dyDescent="0.25">
      <c r="A3243" t="s">
        <v>3283</v>
      </c>
      <c r="B3243" s="1">
        <v>46089.459780092591</v>
      </c>
      <c r="C3243" s="2" t="s">
        <v>29</v>
      </c>
      <c r="D3243" t="s">
        <v>13</v>
      </c>
      <c r="E3243">
        <v>127500</v>
      </c>
      <c r="F3243" t="s">
        <v>14</v>
      </c>
      <c r="G3243" t="s">
        <v>27</v>
      </c>
      <c r="H3243" t="s">
        <v>16</v>
      </c>
      <c r="I3243">
        <v>2358.75</v>
      </c>
      <c r="J3243">
        <v>943.5</v>
      </c>
      <c r="K3243">
        <v>1415.25</v>
      </c>
    </row>
    <row r="3244" spans="1:11" x14ac:dyDescent="0.25">
      <c r="A3244" t="s">
        <v>3284</v>
      </c>
      <c r="B3244" s="1">
        <v>45990.441608796296</v>
      </c>
      <c r="C3244" s="2" t="s">
        <v>39</v>
      </c>
      <c r="D3244" t="s">
        <v>23</v>
      </c>
      <c r="E3244">
        <v>1670</v>
      </c>
      <c r="F3244" t="s">
        <v>14</v>
      </c>
      <c r="G3244" t="s">
        <v>51</v>
      </c>
      <c r="H3244" t="s">
        <v>16</v>
      </c>
      <c r="I3244">
        <v>0</v>
      </c>
      <c r="J3244">
        <v>0</v>
      </c>
      <c r="K3244">
        <v>0</v>
      </c>
    </row>
    <row r="3245" spans="1:11" x14ac:dyDescent="0.25">
      <c r="A3245" t="s">
        <v>3285</v>
      </c>
      <c r="B3245" s="1">
        <v>45890.632928240739</v>
      </c>
      <c r="C3245" s="2" t="s">
        <v>39</v>
      </c>
      <c r="D3245" t="s">
        <v>45</v>
      </c>
      <c r="E3245">
        <v>124397</v>
      </c>
      <c r="F3245" t="s">
        <v>14</v>
      </c>
      <c r="G3245" t="s">
        <v>34</v>
      </c>
      <c r="H3245" t="s">
        <v>71</v>
      </c>
      <c r="I3245">
        <v>1243.97</v>
      </c>
      <c r="J3245">
        <v>0</v>
      </c>
      <c r="K3245">
        <v>1243.97</v>
      </c>
    </row>
    <row r="3246" spans="1:11" x14ac:dyDescent="0.25">
      <c r="A3246" t="s">
        <v>3286</v>
      </c>
      <c r="B3246" s="1">
        <v>46055.96292824074</v>
      </c>
      <c r="C3246" s="2" t="s">
        <v>41</v>
      </c>
      <c r="D3246" t="s">
        <v>23</v>
      </c>
      <c r="E3246">
        <v>481</v>
      </c>
      <c r="F3246" t="s">
        <v>99</v>
      </c>
      <c r="G3246" t="s">
        <v>34</v>
      </c>
      <c r="H3246" t="s">
        <v>16</v>
      </c>
      <c r="I3246">
        <v>0</v>
      </c>
      <c r="J3246">
        <v>0</v>
      </c>
      <c r="K3246">
        <v>0</v>
      </c>
    </row>
    <row r="3247" spans="1:11" x14ac:dyDescent="0.25">
      <c r="A3247" t="s">
        <v>3287</v>
      </c>
      <c r="B3247" s="1">
        <v>45780.360555555555</v>
      </c>
      <c r="C3247" s="2" t="s">
        <v>41</v>
      </c>
      <c r="D3247" t="s">
        <v>23</v>
      </c>
      <c r="E3247">
        <v>1372</v>
      </c>
      <c r="F3247" t="s">
        <v>99</v>
      </c>
      <c r="G3247" t="s">
        <v>15</v>
      </c>
      <c r="H3247" t="s">
        <v>16</v>
      </c>
      <c r="I3247">
        <v>0</v>
      </c>
      <c r="J3247">
        <v>0</v>
      </c>
      <c r="K3247">
        <v>0</v>
      </c>
    </row>
    <row r="3248" spans="1:11" x14ac:dyDescent="0.25">
      <c r="A3248" t="s">
        <v>3288</v>
      </c>
      <c r="B3248" s="1">
        <v>46097.58452546296</v>
      </c>
      <c r="C3248" s="2" t="s">
        <v>18</v>
      </c>
      <c r="D3248" t="s">
        <v>19</v>
      </c>
      <c r="E3248">
        <v>100290</v>
      </c>
      <c r="F3248" t="s">
        <v>14</v>
      </c>
      <c r="G3248" t="s">
        <v>58</v>
      </c>
      <c r="H3248" t="s">
        <v>16</v>
      </c>
      <c r="I3248">
        <v>5</v>
      </c>
      <c r="J3248">
        <v>0</v>
      </c>
      <c r="K3248">
        <v>5</v>
      </c>
    </row>
    <row r="3249" spans="1:11" x14ac:dyDescent="0.25">
      <c r="A3249" t="s">
        <v>3289</v>
      </c>
      <c r="B3249" s="1">
        <v>46142.528321759259</v>
      </c>
      <c r="C3249" s="2" t="s">
        <v>22</v>
      </c>
      <c r="D3249" t="s">
        <v>13</v>
      </c>
      <c r="E3249">
        <v>93500</v>
      </c>
      <c r="F3249" t="s">
        <v>14</v>
      </c>
      <c r="G3249" t="s">
        <v>34</v>
      </c>
      <c r="H3249" t="s">
        <v>16</v>
      </c>
      <c r="I3249">
        <v>1729.75</v>
      </c>
      <c r="J3249">
        <v>691.9</v>
      </c>
      <c r="K3249">
        <v>1037.8499999999999</v>
      </c>
    </row>
    <row r="3250" spans="1:11" x14ac:dyDescent="0.25">
      <c r="A3250" t="s">
        <v>3290</v>
      </c>
      <c r="B3250" s="1">
        <v>46022.071701388886</v>
      </c>
      <c r="C3250" s="2" t="s">
        <v>39</v>
      </c>
      <c r="D3250" t="s">
        <v>13</v>
      </c>
      <c r="E3250">
        <v>202000</v>
      </c>
      <c r="F3250" t="s">
        <v>14</v>
      </c>
      <c r="G3250" t="s">
        <v>84</v>
      </c>
      <c r="H3250" t="s">
        <v>16</v>
      </c>
      <c r="I3250">
        <v>3737</v>
      </c>
      <c r="J3250">
        <v>1494.8</v>
      </c>
      <c r="K3250">
        <v>2242.1999999999998</v>
      </c>
    </row>
    <row r="3251" spans="1:11" x14ac:dyDescent="0.25">
      <c r="A3251" t="s">
        <v>3291</v>
      </c>
      <c r="B3251" s="1">
        <v>45955.283495370371</v>
      </c>
      <c r="C3251" s="2" t="s">
        <v>22</v>
      </c>
      <c r="D3251" t="s">
        <v>23</v>
      </c>
      <c r="E3251">
        <v>4290</v>
      </c>
      <c r="F3251" t="s">
        <v>14</v>
      </c>
      <c r="G3251" t="s">
        <v>27</v>
      </c>
      <c r="H3251" t="s">
        <v>16</v>
      </c>
      <c r="I3251">
        <v>0</v>
      </c>
      <c r="J3251">
        <v>0</v>
      </c>
      <c r="K3251">
        <v>0</v>
      </c>
    </row>
    <row r="3252" spans="1:11" x14ac:dyDescent="0.25">
      <c r="A3252" t="s">
        <v>3292</v>
      </c>
      <c r="B3252" s="1">
        <v>45956.881354166668</v>
      </c>
      <c r="C3252" s="2" t="s">
        <v>41</v>
      </c>
      <c r="D3252" t="s">
        <v>45</v>
      </c>
      <c r="E3252">
        <v>85110</v>
      </c>
      <c r="F3252" t="s">
        <v>14</v>
      </c>
      <c r="G3252" t="s">
        <v>27</v>
      </c>
      <c r="H3252" t="s">
        <v>178</v>
      </c>
      <c r="I3252">
        <v>851.1</v>
      </c>
      <c r="J3252">
        <v>0</v>
      </c>
      <c r="K3252">
        <v>851.1</v>
      </c>
    </row>
    <row r="3253" spans="1:11" x14ac:dyDescent="0.25">
      <c r="A3253" t="s">
        <v>3293</v>
      </c>
      <c r="B3253" s="1">
        <v>45882.879965277774</v>
      </c>
      <c r="C3253" s="2" t="s">
        <v>41</v>
      </c>
      <c r="D3253" t="s">
        <v>45</v>
      </c>
      <c r="E3253">
        <v>96164</v>
      </c>
      <c r="F3253" t="s">
        <v>50</v>
      </c>
      <c r="G3253" t="s">
        <v>58</v>
      </c>
      <c r="H3253" t="s">
        <v>59</v>
      </c>
      <c r="I3253">
        <v>961.64</v>
      </c>
      <c r="J3253">
        <v>0</v>
      </c>
      <c r="K3253">
        <v>961.64</v>
      </c>
    </row>
    <row r="3254" spans="1:11" x14ac:dyDescent="0.25">
      <c r="A3254" t="s">
        <v>3294</v>
      </c>
      <c r="B3254" s="1">
        <v>46115.319351851853</v>
      </c>
      <c r="C3254" s="2" t="s">
        <v>39</v>
      </c>
      <c r="D3254" t="s">
        <v>45</v>
      </c>
      <c r="E3254">
        <v>62530</v>
      </c>
      <c r="F3254" t="s">
        <v>99</v>
      </c>
      <c r="G3254" t="s">
        <v>34</v>
      </c>
      <c r="H3254" t="s">
        <v>178</v>
      </c>
      <c r="I3254">
        <v>625.29999999999995</v>
      </c>
      <c r="J3254">
        <v>0</v>
      </c>
      <c r="K3254">
        <v>625.29999999999995</v>
      </c>
    </row>
    <row r="3255" spans="1:11" x14ac:dyDescent="0.25">
      <c r="A3255" t="s">
        <v>3295</v>
      </c>
      <c r="B3255" s="1">
        <v>45930.504363425927</v>
      </c>
      <c r="C3255" s="2" t="s">
        <v>18</v>
      </c>
      <c r="D3255" t="s">
        <v>19</v>
      </c>
      <c r="E3255">
        <v>58628</v>
      </c>
      <c r="F3255" t="s">
        <v>50</v>
      </c>
      <c r="G3255" t="s">
        <v>27</v>
      </c>
      <c r="H3255" t="s">
        <v>16</v>
      </c>
      <c r="I3255">
        <v>5</v>
      </c>
      <c r="J3255">
        <v>0</v>
      </c>
      <c r="K3255">
        <v>5</v>
      </c>
    </row>
    <row r="3256" spans="1:11" x14ac:dyDescent="0.25">
      <c r="A3256" t="s">
        <v>3296</v>
      </c>
      <c r="B3256" s="1">
        <v>46054.719710648147</v>
      </c>
      <c r="C3256" s="2" t="s">
        <v>12</v>
      </c>
      <c r="D3256" t="s">
        <v>13</v>
      </c>
      <c r="E3256">
        <v>185500</v>
      </c>
      <c r="F3256" t="s">
        <v>14</v>
      </c>
      <c r="G3256" t="s">
        <v>20</v>
      </c>
      <c r="H3256" t="s">
        <v>16</v>
      </c>
      <c r="I3256">
        <v>3431.75</v>
      </c>
      <c r="J3256">
        <v>1372.7</v>
      </c>
      <c r="K3256">
        <v>2059.0500000000002</v>
      </c>
    </row>
    <row r="3257" spans="1:11" x14ac:dyDescent="0.25">
      <c r="A3257" t="s">
        <v>3297</v>
      </c>
      <c r="B3257" s="1">
        <v>46093.764421296299</v>
      </c>
      <c r="C3257" s="2" t="s">
        <v>22</v>
      </c>
      <c r="D3257" t="s">
        <v>45</v>
      </c>
      <c r="E3257">
        <v>64313</v>
      </c>
      <c r="F3257" t="s">
        <v>14</v>
      </c>
      <c r="G3257" t="s">
        <v>58</v>
      </c>
      <c r="H3257" t="s">
        <v>178</v>
      </c>
      <c r="I3257">
        <v>643.13</v>
      </c>
      <c r="J3257">
        <v>0</v>
      </c>
      <c r="K3257">
        <v>643.13</v>
      </c>
    </row>
    <row r="3258" spans="1:11" x14ac:dyDescent="0.25">
      <c r="A3258" t="s">
        <v>3298</v>
      </c>
      <c r="B3258" s="1">
        <v>46013.524282407408</v>
      </c>
      <c r="C3258" s="2" t="s">
        <v>32</v>
      </c>
      <c r="D3258" t="s">
        <v>19</v>
      </c>
      <c r="E3258">
        <v>43355</v>
      </c>
      <c r="F3258" t="s">
        <v>50</v>
      </c>
      <c r="G3258" t="s">
        <v>34</v>
      </c>
      <c r="H3258" t="s">
        <v>16</v>
      </c>
      <c r="I3258">
        <v>5</v>
      </c>
      <c r="J3258">
        <v>0</v>
      </c>
      <c r="K3258">
        <v>5</v>
      </c>
    </row>
    <row r="3259" spans="1:11" x14ac:dyDescent="0.25">
      <c r="A3259" t="s">
        <v>3299</v>
      </c>
      <c r="B3259" s="1">
        <v>45827.000497685185</v>
      </c>
      <c r="C3259" s="2" t="s">
        <v>22</v>
      </c>
      <c r="D3259" t="s">
        <v>23</v>
      </c>
      <c r="E3259">
        <v>4611</v>
      </c>
      <c r="F3259" t="s">
        <v>99</v>
      </c>
      <c r="G3259" t="s">
        <v>20</v>
      </c>
      <c r="H3259" t="s">
        <v>16</v>
      </c>
      <c r="I3259">
        <v>0</v>
      </c>
      <c r="J3259">
        <v>0</v>
      </c>
      <c r="K3259">
        <v>0</v>
      </c>
    </row>
    <row r="3260" spans="1:11" x14ac:dyDescent="0.25">
      <c r="A3260" t="s">
        <v>3300</v>
      </c>
      <c r="B3260" s="1">
        <v>45999.908888888887</v>
      </c>
      <c r="C3260" s="2" t="s">
        <v>12</v>
      </c>
      <c r="D3260" t="s">
        <v>13</v>
      </c>
      <c r="E3260">
        <v>140000</v>
      </c>
      <c r="F3260" t="s">
        <v>14</v>
      </c>
      <c r="G3260" t="s">
        <v>58</v>
      </c>
      <c r="H3260" t="s">
        <v>16</v>
      </c>
      <c r="I3260">
        <v>2590</v>
      </c>
      <c r="J3260">
        <v>1036</v>
      </c>
      <c r="K3260">
        <v>1554</v>
      </c>
    </row>
    <row r="3261" spans="1:11" x14ac:dyDescent="0.25">
      <c r="A3261" t="s">
        <v>3301</v>
      </c>
      <c r="B3261" s="1">
        <v>45842.623518518521</v>
      </c>
      <c r="C3261" s="2" t="s">
        <v>26</v>
      </c>
      <c r="D3261" t="s">
        <v>23</v>
      </c>
      <c r="E3261">
        <v>1563</v>
      </c>
      <c r="F3261" t="s">
        <v>14</v>
      </c>
      <c r="G3261" t="s">
        <v>58</v>
      </c>
      <c r="H3261" t="s">
        <v>16</v>
      </c>
      <c r="I3261">
        <v>0</v>
      </c>
      <c r="J3261">
        <v>0</v>
      </c>
      <c r="K3261">
        <v>0</v>
      </c>
    </row>
    <row r="3262" spans="1:11" x14ac:dyDescent="0.25">
      <c r="A3262" t="s">
        <v>3302</v>
      </c>
      <c r="B3262" s="1">
        <v>46004.652615740742</v>
      </c>
      <c r="C3262" s="2" t="s">
        <v>12</v>
      </c>
      <c r="D3262" t="s">
        <v>45</v>
      </c>
      <c r="E3262">
        <v>63517</v>
      </c>
      <c r="F3262" t="s">
        <v>14</v>
      </c>
      <c r="G3262" t="s">
        <v>58</v>
      </c>
      <c r="H3262" t="s">
        <v>46</v>
      </c>
      <c r="I3262">
        <v>635.16999999999996</v>
      </c>
      <c r="J3262">
        <v>0</v>
      </c>
      <c r="K3262">
        <v>635.16999999999996</v>
      </c>
    </row>
    <row r="3263" spans="1:11" x14ac:dyDescent="0.25">
      <c r="A3263" t="s">
        <v>3303</v>
      </c>
      <c r="B3263" s="1">
        <v>45892.707499999997</v>
      </c>
      <c r="C3263" s="2" t="s">
        <v>39</v>
      </c>
      <c r="D3263" t="s">
        <v>13</v>
      </c>
      <c r="E3263">
        <v>135500</v>
      </c>
      <c r="F3263" t="s">
        <v>99</v>
      </c>
      <c r="G3263" t="s">
        <v>58</v>
      </c>
      <c r="H3263" t="s">
        <v>16</v>
      </c>
      <c r="I3263">
        <v>2506.75</v>
      </c>
      <c r="J3263">
        <v>1002.7</v>
      </c>
      <c r="K3263">
        <v>1504.05</v>
      </c>
    </row>
    <row r="3264" spans="1:11" x14ac:dyDescent="0.25">
      <c r="A3264" t="s">
        <v>3304</v>
      </c>
      <c r="B3264" s="1">
        <v>45922.205034722225</v>
      </c>
      <c r="C3264" s="2" t="s">
        <v>32</v>
      </c>
      <c r="D3264" t="s">
        <v>13</v>
      </c>
      <c r="E3264">
        <v>30000</v>
      </c>
      <c r="F3264" t="s">
        <v>99</v>
      </c>
      <c r="G3264" t="s">
        <v>15</v>
      </c>
      <c r="H3264" t="s">
        <v>16</v>
      </c>
      <c r="I3264">
        <v>555</v>
      </c>
      <c r="J3264">
        <v>222</v>
      </c>
      <c r="K3264">
        <v>333</v>
      </c>
    </row>
    <row r="3265" spans="1:11" x14ac:dyDescent="0.25">
      <c r="A3265" t="s">
        <v>3305</v>
      </c>
      <c r="B3265" s="1">
        <v>45822.573067129626</v>
      </c>
      <c r="C3265" s="2" t="s">
        <v>41</v>
      </c>
      <c r="D3265" t="s">
        <v>33</v>
      </c>
      <c r="E3265">
        <v>130656</v>
      </c>
      <c r="F3265" t="s">
        <v>14</v>
      </c>
      <c r="G3265" t="s">
        <v>15</v>
      </c>
      <c r="H3265" t="s">
        <v>16</v>
      </c>
      <c r="I3265">
        <v>0</v>
      </c>
      <c r="J3265">
        <v>0</v>
      </c>
      <c r="K3265">
        <v>0</v>
      </c>
    </row>
    <row r="3266" spans="1:11" x14ac:dyDescent="0.25">
      <c r="A3266" t="s">
        <v>3306</v>
      </c>
      <c r="B3266" s="1">
        <v>46006.93309027778</v>
      </c>
      <c r="C3266" s="2" t="s">
        <v>22</v>
      </c>
      <c r="D3266" t="s">
        <v>19</v>
      </c>
      <c r="E3266">
        <v>41654</v>
      </c>
      <c r="F3266" t="s">
        <v>50</v>
      </c>
      <c r="G3266" t="s">
        <v>15</v>
      </c>
      <c r="H3266" t="s">
        <v>16</v>
      </c>
      <c r="I3266">
        <v>5</v>
      </c>
      <c r="J3266">
        <v>0</v>
      </c>
      <c r="K3266">
        <v>5</v>
      </c>
    </row>
    <row r="3267" spans="1:11" x14ac:dyDescent="0.25">
      <c r="A3267" t="s">
        <v>3307</v>
      </c>
      <c r="B3267" s="1">
        <v>45830.773900462962</v>
      </c>
      <c r="C3267" s="2" t="s">
        <v>29</v>
      </c>
      <c r="D3267" t="s">
        <v>23</v>
      </c>
      <c r="E3267">
        <v>886</v>
      </c>
      <c r="F3267" t="s">
        <v>50</v>
      </c>
      <c r="G3267" t="s">
        <v>51</v>
      </c>
      <c r="H3267" t="s">
        <v>16</v>
      </c>
      <c r="I3267">
        <v>0</v>
      </c>
      <c r="J3267">
        <v>0</v>
      </c>
      <c r="K3267">
        <v>0</v>
      </c>
    </row>
    <row r="3268" spans="1:11" x14ac:dyDescent="0.25">
      <c r="A3268" t="s">
        <v>3308</v>
      </c>
      <c r="B3268" s="1">
        <v>45905.029710648145</v>
      </c>
      <c r="C3268" s="2" t="s">
        <v>22</v>
      </c>
      <c r="D3268" t="s">
        <v>33</v>
      </c>
      <c r="E3268">
        <v>112153</v>
      </c>
      <c r="F3268" t="s">
        <v>14</v>
      </c>
      <c r="G3268" t="s">
        <v>34</v>
      </c>
      <c r="H3268" t="s">
        <v>16</v>
      </c>
      <c r="I3268">
        <v>0</v>
      </c>
      <c r="J3268">
        <v>0</v>
      </c>
      <c r="K3268">
        <v>0</v>
      </c>
    </row>
    <row r="3269" spans="1:11" x14ac:dyDescent="0.25">
      <c r="A3269" t="s">
        <v>3309</v>
      </c>
      <c r="B3269" s="1">
        <v>45984.041435185187</v>
      </c>
      <c r="C3269" s="2" t="s">
        <v>22</v>
      </c>
      <c r="D3269" t="s">
        <v>23</v>
      </c>
      <c r="E3269">
        <v>1366</v>
      </c>
      <c r="F3269" t="s">
        <v>14</v>
      </c>
      <c r="G3269" t="s">
        <v>51</v>
      </c>
      <c r="H3269" t="s">
        <v>16</v>
      </c>
      <c r="I3269">
        <v>0</v>
      </c>
      <c r="J3269">
        <v>0</v>
      </c>
      <c r="K3269">
        <v>0</v>
      </c>
    </row>
    <row r="3270" spans="1:11" x14ac:dyDescent="0.25">
      <c r="A3270" t="s">
        <v>3310</v>
      </c>
      <c r="B3270" s="1">
        <v>46075.049756944441</v>
      </c>
      <c r="C3270" s="2" t="s">
        <v>32</v>
      </c>
      <c r="D3270" t="s">
        <v>23</v>
      </c>
      <c r="E3270">
        <v>202</v>
      </c>
      <c r="F3270" t="s">
        <v>14</v>
      </c>
      <c r="G3270" t="s">
        <v>58</v>
      </c>
      <c r="H3270" t="s">
        <v>16</v>
      </c>
      <c r="I3270">
        <v>0</v>
      </c>
      <c r="J3270">
        <v>0</v>
      </c>
      <c r="K3270">
        <v>0</v>
      </c>
    </row>
    <row r="3271" spans="1:11" x14ac:dyDescent="0.25">
      <c r="A3271" t="s">
        <v>3311</v>
      </c>
      <c r="B3271" s="1">
        <v>46113.021597222221</v>
      </c>
      <c r="C3271" s="2" t="s">
        <v>39</v>
      </c>
      <c r="D3271" t="s">
        <v>13</v>
      </c>
      <c r="E3271">
        <v>127500</v>
      </c>
      <c r="F3271" t="s">
        <v>99</v>
      </c>
      <c r="G3271" t="s">
        <v>30</v>
      </c>
      <c r="H3271" t="s">
        <v>16</v>
      </c>
      <c r="I3271">
        <v>2358.75</v>
      </c>
      <c r="J3271">
        <v>943.5</v>
      </c>
      <c r="K3271">
        <v>1415.25</v>
      </c>
    </row>
    <row r="3272" spans="1:11" x14ac:dyDescent="0.25">
      <c r="A3272" t="s">
        <v>3312</v>
      </c>
      <c r="B3272" s="1">
        <v>46058.58085648148</v>
      </c>
      <c r="C3272" s="2" t="s">
        <v>29</v>
      </c>
      <c r="D3272" t="s">
        <v>45</v>
      </c>
      <c r="E3272">
        <v>65623</v>
      </c>
      <c r="F3272" t="s">
        <v>50</v>
      </c>
      <c r="G3272" t="s">
        <v>84</v>
      </c>
      <c r="H3272" t="s">
        <v>56</v>
      </c>
      <c r="I3272">
        <v>656.23</v>
      </c>
      <c r="J3272">
        <v>0</v>
      </c>
      <c r="K3272">
        <v>656.23</v>
      </c>
    </row>
    <row r="3273" spans="1:11" x14ac:dyDescent="0.25">
      <c r="A3273" t="s">
        <v>3313</v>
      </c>
      <c r="B3273" s="1">
        <v>46128.685011574074</v>
      </c>
      <c r="C3273" s="2" t="s">
        <v>18</v>
      </c>
      <c r="D3273" t="s">
        <v>13</v>
      </c>
      <c r="E3273">
        <v>42000</v>
      </c>
      <c r="F3273" t="s">
        <v>99</v>
      </c>
      <c r="G3273" t="s">
        <v>20</v>
      </c>
      <c r="H3273" t="s">
        <v>16</v>
      </c>
      <c r="I3273">
        <v>777</v>
      </c>
      <c r="J3273">
        <v>310.8</v>
      </c>
      <c r="K3273">
        <v>466.2</v>
      </c>
    </row>
    <row r="3274" spans="1:11" x14ac:dyDescent="0.25">
      <c r="A3274" t="s">
        <v>3314</v>
      </c>
      <c r="B3274" s="1">
        <v>46055.296956018516</v>
      </c>
      <c r="C3274" s="2" t="s">
        <v>26</v>
      </c>
      <c r="D3274" t="s">
        <v>45</v>
      </c>
      <c r="E3274">
        <v>61921</v>
      </c>
      <c r="F3274" t="s">
        <v>14</v>
      </c>
      <c r="G3274" t="s">
        <v>30</v>
      </c>
      <c r="H3274" t="s">
        <v>71</v>
      </c>
      <c r="I3274">
        <v>619.21</v>
      </c>
      <c r="J3274">
        <v>0</v>
      </c>
      <c r="K3274">
        <v>619.21</v>
      </c>
    </row>
    <row r="3275" spans="1:11" x14ac:dyDescent="0.25">
      <c r="A3275" t="s">
        <v>3315</v>
      </c>
      <c r="B3275" s="1">
        <v>45831.873912037037</v>
      </c>
      <c r="C3275" s="2" t="s">
        <v>26</v>
      </c>
      <c r="D3275" t="s">
        <v>45</v>
      </c>
      <c r="E3275">
        <v>48053</v>
      </c>
      <c r="F3275" t="s">
        <v>14</v>
      </c>
      <c r="G3275" t="s">
        <v>58</v>
      </c>
      <c r="H3275" t="s">
        <v>59</v>
      </c>
      <c r="I3275">
        <v>480.53</v>
      </c>
      <c r="J3275">
        <v>0</v>
      </c>
      <c r="K3275">
        <v>480.53</v>
      </c>
    </row>
    <row r="3276" spans="1:11" x14ac:dyDescent="0.25">
      <c r="A3276" t="s">
        <v>3316</v>
      </c>
      <c r="B3276" s="1">
        <v>46109.789560185185</v>
      </c>
      <c r="C3276" s="2" t="s">
        <v>26</v>
      </c>
      <c r="D3276" t="s">
        <v>45</v>
      </c>
      <c r="E3276">
        <v>123350</v>
      </c>
      <c r="F3276" t="s">
        <v>14</v>
      </c>
      <c r="G3276" t="s">
        <v>24</v>
      </c>
      <c r="H3276" t="s">
        <v>178</v>
      </c>
      <c r="I3276">
        <v>1233.5</v>
      </c>
      <c r="J3276">
        <v>0</v>
      </c>
      <c r="K3276">
        <v>1233.5</v>
      </c>
    </row>
    <row r="3277" spans="1:11" x14ac:dyDescent="0.25">
      <c r="A3277" t="s">
        <v>3317</v>
      </c>
      <c r="B3277" s="1">
        <v>46026.204293981478</v>
      </c>
      <c r="C3277" s="2" t="s">
        <v>41</v>
      </c>
      <c r="D3277" t="s">
        <v>23</v>
      </c>
      <c r="E3277">
        <v>2274</v>
      </c>
      <c r="F3277" t="s">
        <v>14</v>
      </c>
      <c r="G3277" t="s">
        <v>20</v>
      </c>
      <c r="H3277" t="s">
        <v>16</v>
      </c>
      <c r="I3277">
        <v>0</v>
      </c>
      <c r="J3277">
        <v>0</v>
      </c>
      <c r="K3277">
        <v>0</v>
      </c>
    </row>
    <row r="3278" spans="1:11" x14ac:dyDescent="0.25">
      <c r="A3278" t="s">
        <v>3318</v>
      </c>
      <c r="B3278" s="1">
        <v>46099.385150462964</v>
      </c>
      <c r="C3278" s="2" t="s">
        <v>39</v>
      </c>
      <c r="D3278" t="s">
        <v>19</v>
      </c>
      <c r="E3278">
        <v>90195</v>
      </c>
      <c r="F3278" t="s">
        <v>14</v>
      </c>
      <c r="G3278" t="s">
        <v>24</v>
      </c>
      <c r="H3278" t="s">
        <v>16</v>
      </c>
      <c r="I3278">
        <v>5</v>
      </c>
      <c r="J3278">
        <v>0</v>
      </c>
      <c r="K3278">
        <v>5</v>
      </c>
    </row>
    <row r="3279" spans="1:11" x14ac:dyDescent="0.25">
      <c r="A3279" t="s">
        <v>3319</v>
      </c>
      <c r="B3279" s="1">
        <v>45798.308518518519</v>
      </c>
      <c r="C3279" s="2" t="s">
        <v>32</v>
      </c>
      <c r="D3279" t="s">
        <v>23</v>
      </c>
      <c r="E3279">
        <v>2870</v>
      </c>
      <c r="F3279" t="s">
        <v>14</v>
      </c>
      <c r="G3279" t="s">
        <v>34</v>
      </c>
      <c r="H3279" t="s">
        <v>16</v>
      </c>
      <c r="I3279">
        <v>0</v>
      </c>
      <c r="J3279">
        <v>0</v>
      </c>
      <c r="K3279">
        <v>0</v>
      </c>
    </row>
    <row r="3280" spans="1:11" x14ac:dyDescent="0.25">
      <c r="A3280" t="s">
        <v>3320</v>
      </c>
      <c r="B3280" s="1">
        <v>45985.420092592591</v>
      </c>
      <c r="C3280" s="2" t="s">
        <v>12</v>
      </c>
      <c r="D3280" t="s">
        <v>23</v>
      </c>
      <c r="E3280">
        <v>4310</v>
      </c>
      <c r="F3280" t="s">
        <v>14</v>
      </c>
      <c r="G3280" t="s">
        <v>30</v>
      </c>
      <c r="H3280" t="s">
        <v>16</v>
      </c>
      <c r="I3280">
        <v>0</v>
      </c>
      <c r="J3280">
        <v>0</v>
      </c>
      <c r="K3280">
        <v>0</v>
      </c>
    </row>
    <row r="3281" spans="1:11" x14ac:dyDescent="0.25">
      <c r="A3281" t="s">
        <v>3321</v>
      </c>
      <c r="B3281" s="1">
        <v>46019.142164351855</v>
      </c>
      <c r="C3281" s="2" t="s">
        <v>32</v>
      </c>
      <c r="D3281" t="s">
        <v>23</v>
      </c>
      <c r="E3281">
        <v>446</v>
      </c>
      <c r="F3281" t="s">
        <v>14</v>
      </c>
      <c r="G3281" t="s">
        <v>15</v>
      </c>
      <c r="H3281" t="s">
        <v>16</v>
      </c>
      <c r="I3281">
        <v>0</v>
      </c>
      <c r="J3281">
        <v>0</v>
      </c>
      <c r="K3281">
        <v>0</v>
      </c>
    </row>
    <row r="3282" spans="1:11" x14ac:dyDescent="0.25">
      <c r="A3282" t="s">
        <v>3322</v>
      </c>
      <c r="B3282" s="1">
        <v>45918.744131944448</v>
      </c>
      <c r="C3282" s="2" t="s">
        <v>32</v>
      </c>
      <c r="D3282" t="s">
        <v>23</v>
      </c>
      <c r="E3282">
        <v>4131</v>
      </c>
      <c r="F3282" t="s">
        <v>14</v>
      </c>
      <c r="G3282" t="s">
        <v>58</v>
      </c>
      <c r="H3282" t="s">
        <v>16</v>
      </c>
      <c r="I3282">
        <v>0</v>
      </c>
      <c r="J3282">
        <v>0</v>
      </c>
      <c r="K3282">
        <v>0</v>
      </c>
    </row>
    <row r="3283" spans="1:11" x14ac:dyDescent="0.25">
      <c r="A3283" t="s">
        <v>3323</v>
      </c>
      <c r="B3283" s="1">
        <v>46089.924745370372</v>
      </c>
      <c r="C3283" s="2" t="s">
        <v>39</v>
      </c>
      <c r="D3283" t="s">
        <v>45</v>
      </c>
      <c r="E3283">
        <v>84185</v>
      </c>
      <c r="F3283" t="s">
        <v>14</v>
      </c>
      <c r="G3283" t="s">
        <v>20</v>
      </c>
      <c r="H3283" t="s">
        <v>71</v>
      </c>
      <c r="I3283">
        <v>841.85</v>
      </c>
      <c r="J3283">
        <v>0</v>
      </c>
      <c r="K3283">
        <v>841.85</v>
      </c>
    </row>
    <row r="3284" spans="1:11" x14ac:dyDescent="0.25">
      <c r="A3284" t="s">
        <v>3324</v>
      </c>
      <c r="B3284" s="1">
        <v>45928.980520833335</v>
      </c>
      <c r="C3284" s="2" t="s">
        <v>41</v>
      </c>
      <c r="D3284" t="s">
        <v>45</v>
      </c>
      <c r="E3284">
        <v>142623</v>
      </c>
      <c r="F3284" t="s">
        <v>50</v>
      </c>
      <c r="G3284" t="s">
        <v>34</v>
      </c>
      <c r="H3284" t="s">
        <v>46</v>
      </c>
      <c r="I3284">
        <v>1426.23</v>
      </c>
      <c r="J3284">
        <v>0</v>
      </c>
      <c r="K3284">
        <v>1426.23</v>
      </c>
    </row>
    <row r="3285" spans="1:11" x14ac:dyDescent="0.25">
      <c r="A3285" t="s">
        <v>3325</v>
      </c>
      <c r="B3285" s="1">
        <v>45986.62699074074</v>
      </c>
      <c r="C3285" s="2" t="s">
        <v>41</v>
      </c>
      <c r="D3285" t="s">
        <v>33</v>
      </c>
      <c r="E3285">
        <v>82593</v>
      </c>
      <c r="F3285" t="s">
        <v>50</v>
      </c>
      <c r="G3285" t="s">
        <v>15</v>
      </c>
      <c r="H3285" t="s">
        <v>16</v>
      </c>
      <c r="I3285">
        <v>0</v>
      </c>
      <c r="J3285">
        <v>0</v>
      </c>
      <c r="K3285">
        <v>0</v>
      </c>
    </row>
    <row r="3286" spans="1:11" x14ac:dyDescent="0.25">
      <c r="A3286" t="s">
        <v>3326</v>
      </c>
      <c r="B3286" s="1">
        <v>45786.499479166669</v>
      </c>
      <c r="C3286" s="2" t="s">
        <v>39</v>
      </c>
      <c r="D3286" t="s">
        <v>13</v>
      </c>
      <c r="E3286">
        <v>144000</v>
      </c>
      <c r="F3286" t="s">
        <v>14</v>
      </c>
      <c r="G3286" t="s">
        <v>84</v>
      </c>
      <c r="H3286" t="s">
        <v>16</v>
      </c>
      <c r="I3286">
        <v>2664</v>
      </c>
      <c r="J3286">
        <v>1065.5999999999999</v>
      </c>
      <c r="K3286">
        <v>1598.4</v>
      </c>
    </row>
    <row r="3287" spans="1:11" x14ac:dyDescent="0.25">
      <c r="A3287" t="s">
        <v>3327</v>
      </c>
      <c r="B3287" s="1">
        <v>46094.548009259262</v>
      </c>
      <c r="C3287" s="2" t="s">
        <v>39</v>
      </c>
      <c r="D3287" t="s">
        <v>19</v>
      </c>
      <c r="E3287">
        <v>112628</v>
      </c>
      <c r="F3287" t="s">
        <v>50</v>
      </c>
      <c r="G3287" t="s">
        <v>20</v>
      </c>
      <c r="H3287" t="s">
        <v>16</v>
      </c>
      <c r="I3287">
        <v>5</v>
      </c>
      <c r="J3287">
        <v>0</v>
      </c>
      <c r="K3287">
        <v>5</v>
      </c>
    </row>
    <row r="3288" spans="1:11" x14ac:dyDescent="0.25">
      <c r="A3288" t="s">
        <v>3328</v>
      </c>
      <c r="B3288" s="1">
        <v>46007.29550925926</v>
      </c>
      <c r="C3288" s="2" t="s">
        <v>22</v>
      </c>
      <c r="D3288" t="s">
        <v>33</v>
      </c>
      <c r="E3288">
        <v>113476</v>
      </c>
      <c r="F3288" t="s">
        <v>99</v>
      </c>
      <c r="G3288" t="s">
        <v>34</v>
      </c>
      <c r="H3288" t="s">
        <v>16</v>
      </c>
      <c r="I3288">
        <v>0</v>
      </c>
      <c r="J3288">
        <v>0</v>
      </c>
      <c r="K3288">
        <v>0</v>
      </c>
    </row>
    <row r="3289" spans="1:11" x14ac:dyDescent="0.25">
      <c r="A3289" t="s">
        <v>3329</v>
      </c>
      <c r="B3289" s="1">
        <v>45912.414143518516</v>
      </c>
      <c r="C3289" s="2" t="s">
        <v>26</v>
      </c>
      <c r="D3289" t="s">
        <v>23</v>
      </c>
      <c r="E3289">
        <v>1135</v>
      </c>
      <c r="F3289" t="s">
        <v>50</v>
      </c>
      <c r="G3289" t="s">
        <v>24</v>
      </c>
      <c r="H3289" t="s">
        <v>16</v>
      </c>
      <c r="I3289">
        <v>0</v>
      </c>
      <c r="J3289">
        <v>0</v>
      </c>
      <c r="K3289">
        <v>0</v>
      </c>
    </row>
    <row r="3290" spans="1:11" x14ac:dyDescent="0.25">
      <c r="A3290" t="s">
        <v>3330</v>
      </c>
      <c r="B3290" s="1">
        <v>45791.383217592593</v>
      </c>
      <c r="C3290" s="2" t="s">
        <v>12</v>
      </c>
      <c r="D3290" t="s">
        <v>23</v>
      </c>
      <c r="E3290">
        <v>4181</v>
      </c>
      <c r="F3290" t="s">
        <v>14</v>
      </c>
      <c r="G3290" t="s">
        <v>58</v>
      </c>
      <c r="H3290" t="s">
        <v>16</v>
      </c>
      <c r="I3290">
        <v>0</v>
      </c>
      <c r="J3290">
        <v>0</v>
      </c>
      <c r="K3290">
        <v>0</v>
      </c>
    </row>
    <row r="3291" spans="1:11" x14ac:dyDescent="0.25">
      <c r="A3291" t="s">
        <v>3331</v>
      </c>
      <c r="B3291" s="1">
        <v>45825.286365740743</v>
      </c>
      <c r="C3291" s="2" t="s">
        <v>32</v>
      </c>
      <c r="D3291" t="s">
        <v>45</v>
      </c>
      <c r="E3291">
        <v>126200</v>
      </c>
      <c r="F3291" t="s">
        <v>50</v>
      </c>
      <c r="G3291" t="s">
        <v>20</v>
      </c>
      <c r="H3291" t="s">
        <v>59</v>
      </c>
      <c r="I3291">
        <v>1262</v>
      </c>
      <c r="J3291">
        <v>0</v>
      </c>
      <c r="K3291">
        <v>1262</v>
      </c>
    </row>
    <row r="3292" spans="1:11" x14ac:dyDescent="0.25">
      <c r="A3292" t="s">
        <v>3332</v>
      </c>
      <c r="B3292" s="1">
        <v>45912.132974537039</v>
      </c>
      <c r="C3292" s="2" t="s">
        <v>41</v>
      </c>
      <c r="D3292" t="s">
        <v>19</v>
      </c>
      <c r="E3292">
        <v>78581</v>
      </c>
      <c r="F3292" t="s">
        <v>14</v>
      </c>
      <c r="G3292" t="s">
        <v>84</v>
      </c>
      <c r="H3292" t="s">
        <v>16</v>
      </c>
      <c r="I3292">
        <v>5</v>
      </c>
      <c r="J3292">
        <v>0</v>
      </c>
      <c r="K3292">
        <v>5</v>
      </c>
    </row>
    <row r="3293" spans="1:11" x14ac:dyDescent="0.25">
      <c r="A3293" t="s">
        <v>3333</v>
      </c>
      <c r="B3293" s="1">
        <v>46119.350011574075</v>
      </c>
      <c r="C3293" s="2" t="s">
        <v>29</v>
      </c>
      <c r="D3293" t="s">
        <v>19</v>
      </c>
      <c r="E3293">
        <v>72378</v>
      </c>
      <c r="F3293" t="s">
        <v>14</v>
      </c>
      <c r="G3293" t="s">
        <v>24</v>
      </c>
      <c r="H3293" t="s">
        <v>16</v>
      </c>
      <c r="I3293">
        <v>5</v>
      </c>
      <c r="J3293">
        <v>0</v>
      </c>
      <c r="K3293">
        <v>5</v>
      </c>
    </row>
    <row r="3294" spans="1:11" x14ac:dyDescent="0.25">
      <c r="A3294" t="s">
        <v>3334</v>
      </c>
      <c r="B3294" s="1">
        <v>45922.767118055555</v>
      </c>
      <c r="C3294" s="2" t="s">
        <v>18</v>
      </c>
      <c r="D3294" t="s">
        <v>13</v>
      </c>
      <c r="E3294">
        <v>155500</v>
      </c>
      <c r="F3294" t="s">
        <v>50</v>
      </c>
      <c r="G3294" t="s">
        <v>20</v>
      </c>
      <c r="H3294" t="s">
        <v>16</v>
      </c>
      <c r="I3294">
        <v>2876.75</v>
      </c>
      <c r="J3294">
        <v>1150.7</v>
      </c>
      <c r="K3294">
        <v>1726.05</v>
      </c>
    </row>
    <row r="3295" spans="1:11" x14ac:dyDescent="0.25">
      <c r="A3295" t="s">
        <v>3335</v>
      </c>
      <c r="B3295" s="1">
        <v>45850.713923611111</v>
      </c>
      <c r="C3295" s="2" t="s">
        <v>29</v>
      </c>
      <c r="D3295" t="s">
        <v>23</v>
      </c>
      <c r="E3295">
        <v>2390</v>
      </c>
      <c r="F3295" t="s">
        <v>14</v>
      </c>
      <c r="G3295" t="s">
        <v>51</v>
      </c>
      <c r="H3295" t="s">
        <v>16</v>
      </c>
      <c r="I3295">
        <v>0</v>
      </c>
      <c r="J3295">
        <v>0</v>
      </c>
      <c r="K3295">
        <v>0</v>
      </c>
    </row>
    <row r="3296" spans="1:11" x14ac:dyDescent="0.25">
      <c r="A3296" t="s">
        <v>3336</v>
      </c>
      <c r="B3296" s="1">
        <v>45995.71707175926</v>
      </c>
      <c r="C3296" s="2" t="s">
        <v>39</v>
      </c>
      <c r="D3296" t="s">
        <v>45</v>
      </c>
      <c r="E3296">
        <v>127559</v>
      </c>
      <c r="F3296" t="s">
        <v>14</v>
      </c>
      <c r="G3296" t="s">
        <v>20</v>
      </c>
      <c r="H3296" t="s">
        <v>178</v>
      </c>
      <c r="I3296">
        <v>1275.5899999999999</v>
      </c>
      <c r="J3296">
        <v>0</v>
      </c>
      <c r="K3296">
        <v>1275.5899999999999</v>
      </c>
    </row>
    <row r="3297" spans="1:11" x14ac:dyDescent="0.25">
      <c r="A3297" t="s">
        <v>3337</v>
      </c>
      <c r="B3297" s="1">
        <v>45958.272476851853</v>
      </c>
      <c r="C3297" s="2" t="s">
        <v>29</v>
      </c>
      <c r="D3297" t="s">
        <v>23</v>
      </c>
      <c r="E3297">
        <v>527</v>
      </c>
      <c r="F3297" t="s">
        <v>14</v>
      </c>
      <c r="G3297" t="s">
        <v>30</v>
      </c>
      <c r="H3297" t="s">
        <v>16</v>
      </c>
      <c r="I3297">
        <v>0</v>
      </c>
      <c r="J3297">
        <v>0</v>
      </c>
      <c r="K3297">
        <v>0</v>
      </c>
    </row>
    <row r="3298" spans="1:11" x14ac:dyDescent="0.25">
      <c r="A3298" t="s">
        <v>3338</v>
      </c>
      <c r="B3298" s="1">
        <v>45792.386655092596</v>
      </c>
      <c r="C3298" s="2" t="s">
        <v>18</v>
      </c>
      <c r="D3298" t="s">
        <v>23</v>
      </c>
      <c r="E3298">
        <v>2416</v>
      </c>
      <c r="F3298" t="s">
        <v>14</v>
      </c>
      <c r="G3298" t="s">
        <v>27</v>
      </c>
      <c r="H3298" t="s">
        <v>16</v>
      </c>
      <c r="I3298">
        <v>0</v>
      </c>
      <c r="J3298">
        <v>0</v>
      </c>
      <c r="K3298">
        <v>0</v>
      </c>
    </row>
    <row r="3299" spans="1:11" x14ac:dyDescent="0.25">
      <c r="A3299" t="s">
        <v>3339</v>
      </c>
      <c r="B3299" s="1">
        <v>45856.848587962966</v>
      </c>
      <c r="C3299" s="2" t="s">
        <v>29</v>
      </c>
      <c r="D3299" t="s">
        <v>45</v>
      </c>
      <c r="E3299">
        <v>132273</v>
      </c>
      <c r="F3299" t="s">
        <v>50</v>
      </c>
      <c r="G3299" t="s">
        <v>24</v>
      </c>
      <c r="H3299" t="s">
        <v>46</v>
      </c>
      <c r="I3299">
        <v>1322.73</v>
      </c>
      <c r="J3299">
        <v>0</v>
      </c>
      <c r="K3299">
        <v>1322.73</v>
      </c>
    </row>
    <row r="3300" spans="1:11" x14ac:dyDescent="0.25">
      <c r="A3300" t="s">
        <v>3340</v>
      </c>
      <c r="B3300" s="1">
        <v>46129.967268518521</v>
      </c>
      <c r="C3300" s="2" t="s">
        <v>39</v>
      </c>
      <c r="D3300" t="s">
        <v>33</v>
      </c>
      <c r="E3300">
        <v>72917</v>
      </c>
      <c r="F3300" t="s">
        <v>14</v>
      </c>
      <c r="G3300" t="s">
        <v>34</v>
      </c>
      <c r="H3300" t="s">
        <v>16</v>
      </c>
      <c r="I3300">
        <v>0</v>
      </c>
      <c r="J3300">
        <v>0</v>
      </c>
      <c r="K3300">
        <v>0</v>
      </c>
    </row>
    <row r="3301" spans="1:11" x14ac:dyDescent="0.25">
      <c r="A3301" t="s">
        <v>3341</v>
      </c>
      <c r="B3301" s="1">
        <v>46042.329618055555</v>
      </c>
      <c r="C3301" s="2" t="s">
        <v>12</v>
      </c>
      <c r="D3301" t="s">
        <v>13</v>
      </c>
      <c r="E3301">
        <v>167500</v>
      </c>
      <c r="F3301" t="s">
        <v>14</v>
      </c>
      <c r="G3301" t="s">
        <v>27</v>
      </c>
      <c r="H3301" t="s">
        <v>16</v>
      </c>
      <c r="I3301">
        <v>3098.75</v>
      </c>
      <c r="J3301">
        <v>1239.5</v>
      </c>
      <c r="K3301">
        <v>1859.25</v>
      </c>
    </row>
    <row r="3302" spans="1:11" x14ac:dyDescent="0.25">
      <c r="A3302" t="s">
        <v>3342</v>
      </c>
      <c r="B3302" s="1">
        <v>45963.651805555557</v>
      </c>
      <c r="C3302" s="2" t="s">
        <v>32</v>
      </c>
      <c r="D3302" t="s">
        <v>33</v>
      </c>
      <c r="E3302">
        <v>104133</v>
      </c>
      <c r="F3302" t="s">
        <v>14</v>
      </c>
      <c r="G3302" t="s">
        <v>34</v>
      </c>
      <c r="H3302" t="s">
        <v>16</v>
      </c>
      <c r="I3302">
        <v>0</v>
      </c>
      <c r="J3302">
        <v>0</v>
      </c>
      <c r="K3302">
        <v>0</v>
      </c>
    </row>
    <row r="3303" spans="1:11" x14ac:dyDescent="0.25">
      <c r="A3303" t="s">
        <v>3343</v>
      </c>
      <c r="B3303" s="1">
        <v>45952.905381944445</v>
      </c>
      <c r="C3303" s="2" t="s">
        <v>18</v>
      </c>
      <c r="D3303" t="s">
        <v>23</v>
      </c>
      <c r="E3303">
        <v>2312</v>
      </c>
      <c r="F3303" t="s">
        <v>99</v>
      </c>
      <c r="G3303" t="s">
        <v>27</v>
      </c>
      <c r="H3303" t="s">
        <v>16</v>
      </c>
      <c r="I3303">
        <v>0</v>
      </c>
      <c r="J3303">
        <v>0</v>
      </c>
      <c r="K3303">
        <v>0</v>
      </c>
    </row>
    <row r="3304" spans="1:11" x14ac:dyDescent="0.25">
      <c r="A3304" t="s">
        <v>3344</v>
      </c>
      <c r="B3304" s="1">
        <v>46003.994930555556</v>
      </c>
      <c r="C3304" s="2" t="s">
        <v>26</v>
      </c>
      <c r="D3304" t="s">
        <v>13</v>
      </c>
      <c r="E3304">
        <v>4500</v>
      </c>
      <c r="F3304" t="s">
        <v>50</v>
      </c>
      <c r="G3304" t="s">
        <v>51</v>
      </c>
      <c r="H3304" t="s">
        <v>16</v>
      </c>
      <c r="I3304">
        <v>83.25</v>
      </c>
      <c r="J3304">
        <v>33.299999999999997</v>
      </c>
      <c r="K3304">
        <v>49.95</v>
      </c>
    </row>
    <row r="3305" spans="1:11" x14ac:dyDescent="0.25">
      <c r="A3305" t="s">
        <v>3345</v>
      </c>
      <c r="B3305" s="1">
        <v>45865.030092592591</v>
      </c>
      <c r="C3305" s="2" t="s">
        <v>26</v>
      </c>
      <c r="D3305" t="s">
        <v>13</v>
      </c>
      <c r="E3305">
        <v>185000</v>
      </c>
      <c r="F3305" t="s">
        <v>50</v>
      </c>
      <c r="G3305" t="s">
        <v>34</v>
      </c>
      <c r="H3305" t="s">
        <v>16</v>
      </c>
      <c r="I3305">
        <v>3422.5</v>
      </c>
      <c r="J3305">
        <v>1369</v>
      </c>
      <c r="K3305">
        <v>2053.5</v>
      </c>
    </row>
    <row r="3306" spans="1:11" x14ac:dyDescent="0.25">
      <c r="A3306" t="s">
        <v>3346</v>
      </c>
      <c r="B3306" s="1">
        <v>46091.390439814815</v>
      </c>
      <c r="C3306" s="2" t="s">
        <v>41</v>
      </c>
      <c r="D3306" t="s">
        <v>23</v>
      </c>
      <c r="E3306">
        <v>3601</v>
      </c>
      <c r="F3306" t="s">
        <v>14</v>
      </c>
      <c r="G3306" t="s">
        <v>34</v>
      </c>
      <c r="H3306" t="s">
        <v>16</v>
      </c>
      <c r="I3306">
        <v>0</v>
      </c>
      <c r="J3306">
        <v>0</v>
      </c>
      <c r="K3306">
        <v>0</v>
      </c>
    </row>
    <row r="3307" spans="1:11" x14ac:dyDescent="0.25">
      <c r="A3307" t="s">
        <v>3347</v>
      </c>
      <c r="B3307" s="1">
        <v>45801.936863425923</v>
      </c>
      <c r="C3307" s="2" t="s">
        <v>32</v>
      </c>
      <c r="D3307" t="s">
        <v>13</v>
      </c>
      <c r="E3307">
        <v>50500</v>
      </c>
      <c r="F3307" t="s">
        <v>14</v>
      </c>
      <c r="G3307" t="s">
        <v>20</v>
      </c>
      <c r="H3307" t="s">
        <v>16</v>
      </c>
      <c r="I3307">
        <v>934.25</v>
      </c>
      <c r="J3307">
        <v>373.7</v>
      </c>
      <c r="K3307">
        <v>560.54999999999995</v>
      </c>
    </row>
    <row r="3308" spans="1:11" x14ac:dyDescent="0.25">
      <c r="A3308" t="s">
        <v>3348</v>
      </c>
      <c r="B3308" s="1">
        <v>46117.771296296298</v>
      </c>
      <c r="C3308" s="2" t="s">
        <v>22</v>
      </c>
      <c r="D3308" t="s">
        <v>13</v>
      </c>
      <c r="E3308">
        <v>13000</v>
      </c>
      <c r="F3308" t="s">
        <v>14</v>
      </c>
      <c r="G3308" t="s">
        <v>34</v>
      </c>
      <c r="H3308" t="s">
        <v>16</v>
      </c>
      <c r="I3308">
        <v>240.5</v>
      </c>
      <c r="J3308">
        <v>96.2</v>
      </c>
      <c r="K3308">
        <v>144.30000000000001</v>
      </c>
    </row>
    <row r="3309" spans="1:11" x14ac:dyDescent="0.25">
      <c r="A3309" t="s">
        <v>3349</v>
      </c>
      <c r="B3309" s="1">
        <v>46120.418240740742</v>
      </c>
      <c r="C3309" s="2" t="s">
        <v>26</v>
      </c>
      <c r="D3309" t="s">
        <v>33</v>
      </c>
      <c r="E3309">
        <v>52121</v>
      </c>
      <c r="F3309" t="s">
        <v>14</v>
      </c>
      <c r="G3309" t="s">
        <v>30</v>
      </c>
      <c r="H3309" t="s">
        <v>16</v>
      </c>
      <c r="I3309">
        <v>0</v>
      </c>
      <c r="J3309">
        <v>0</v>
      </c>
      <c r="K3309">
        <v>0</v>
      </c>
    </row>
    <row r="3310" spans="1:11" x14ac:dyDescent="0.25">
      <c r="A3310" t="s">
        <v>3350</v>
      </c>
      <c r="B3310" s="1">
        <v>46068.764918981484</v>
      </c>
      <c r="C3310" s="2" t="s">
        <v>18</v>
      </c>
      <c r="D3310" t="s">
        <v>45</v>
      </c>
      <c r="E3310">
        <v>48485</v>
      </c>
      <c r="F3310" t="s">
        <v>14</v>
      </c>
      <c r="G3310" t="s">
        <v>34</v>
      </c>
      <c r="H3310" t="s">
        <v>71</v>
      </c>
      <c r="I3310">
        <v>484.85</v>
      </c>
      <c r="J3310">
        <v>0</v>
      </c>
      <c r="K3310">
        <v>484.85</v>
      </c>
    </row>
    <row r="3311" spans="1:11" x14ac:dyDescent="0.25">
      <c r="A3311" t="s">
        <v>3351</v>
      </c>
      <c r="B3311" s="1">
        <v>46113.676828703705</v>
      </c>
      <c r="C3311" s="2" t="s">
        <v>18</v>
      </c>
      <c r="D3311" t="s">
        <v>45</v>
      </c>
      <c r="E3311">
        <v>64333</v>
      </c>
      <c r="F3311" t="s">
        <v>14</v>
      </c>
      <c r="G3311" t="s">
        <v>84</v>
      </c>
      <c r="H3311" t="s">
        <v>56</v>
      </c>
      <c r="I3311">
        <v>643.33000000000004</v>
      </c>
      <c r="J3311">
        <v>0</v>
      </c>
      <c r="K3311">
        <v>643.33000000000004</v>
      </c>
    </row>
    <row r="3312" spans="1:11" x14ac:dyDescent="0.25">
      <c r="A3312" t="s">
        <v>3352</v>
      </c>
      <c r="B3312" s="1">
        <v>46141.539560185185</v>
      </c>
      <c r="C3312" s="2" t="s">
        <v>18</v>
      </c>
      <c r="D3312" t="s">
        <v>45</v>
      </c>
      <c r="E3312">
        <v>83031</v>
      </c>
      <c r="F3312" t="s">
        <v>14</v>
      </c>
      <c r="G3312" t="s">
        <v>51</v>
      </c>
      <c r="H3312" t="s">
        <v>59</v>
      </c>
      <c r="I3312">
        <v>830.31</v>
      </c>
      <c r="J3312">
        <v>0</v>
      </c>
      <c r="K3312">
        <v>830.31</v>
      </c>
    </row>
    <row r="3313" spans="1:11" x14ac:dyDescent="0.25">
      <c r="A3313" t="s">
        <v>3353</v>
      </c>
      <c r="B3313" s="1">
        <v>45966.292094907411</v>
      </c>
      <c r="C3313" s="2" t="s">
        <v>26</v>
      </c>
      <c r="D3313" t="s">
        <v>19</v>
      </c>
      <c r="E3313">
        <v>37045</v>
      </c>
      <c r="F3313" t="s">
        <v>14</v>
      </c>
      <c r="G3313" t="s">
        <v>58</v>
      </c>
      <c r="H3313" t="s">
        <v>16</v>
      </c>
      <c r="I3313">
        <v>5</v>
      </c>
      <c r="J3313">
        <v>0</v>
      </c>
      <c r="K3313">
        <v>5</v>
      </c>
    </row>
    <row r="3314" spans="1:11" x14ac:dyDescent="0.25">
      <c r="A3314" t="s">
        <v>3354</v>
      </c>
      <c r="B3314" s="1">
        <v>46025.195428240739</v>
      </c>
      <c r="C3314" s="2" t="s">
        <v>32</v>
      </c>
      <c r="D3314" t="s">
        <v>33</v>
      </c>
      <c r="E3314">
        <v>92389</v>
      </c>
      <c r="F3314" t="s">
        <v>14</v>
      </c>
      <c r="G3314" t="s">
        <v>30</v>
      </c>
      <c r="H3314" t="s">
        <v>16</v>
      </c>
      <c r="I3314">
        <v>0</v>
      </c>
      <c r="J3314">
        <v>0</v>
      </c>
      <c r="K3314">
        <v>0</v>
      </c>
    </row>
    <row r="3315" spans="1:11" x14ac:dyDescent="0.25">
      <c r="A3315" t="s">
        <v>3355</v>
      </c>
      <c r="B3315" s="1">
        <v>46116.757881944446</v>
      </c>
      <c r="C3315" s="2" t="s">
        <v>39</v>
      </c>
      <c r="D3315" t="s">
        <v>23</v>
      </c>
      <c r="E3315">
        <v>2067</v>
      </c>
      <c r="F3315" t="s">
        <v>50</v>
      </c>
      <c r="G3315" t="s">
        <v>30</v>
      </c>
      <c r="H3315" t="s">
        <v>16</v>
      </c>
      <c r="I3315">
        <v>0</v>
      </c>
      <c r="J3315">
        <v>0</v>
      </c>
      <c r="K3315">
        <v>0</v>
      </c>
    </row>
    <row r="3316" spans="1:11" x14ac:dyDescent="0.25">
      <c r="A3316" t="s">
        <v>3356</v>
      </c>
      <c r="B3316" s="1">
        <v>46024.464270833334</v>
      </c>
      <c r="C3316" s="2" t="s">
        <v>39</v>
      </c>
      <c r="D3316" t="s">
        <v>13</v>
      </c>
      <c r="E3316">
        <v>134500</v>
      </c>
      <c r="F3316" t="s">
        <v>14</v>
      </c>
      <c r="G3316" t="s">
        <v>20</v>
      </c>
      <c r="H3316" t="s">
        <v>16</v>
      </c>
      <c r="I3316">
        <v>2488.25</v>
      </c>
      <c r="J3316">
        <v>995.3</v>
      </c>
      <c r="K3316">
        <v>1492.95</v>
      </c>
    </row>
    <row r="3317" spans="1:11" x14ac:dyDescent="0.25">
      <c r="A3317" t="s">
        <v>3357</v>
      </c>
      <c r="B3317" s="1">
        <v>46124.726365740738</v>
      </c>
      <c r="C3317" s="2" t="s">
        <v>12</v>
      </c>
      <c r="D3317" t="s">
        <v>45</v>
      </c>
      <c r="E3317">
        <v>23523</v>
      </c>
      <c r="F3317" t="s">
        <v>14</v>
      </c>
      <c r="G3317" t="s">
        <v>20</v>
      </c>
      <c r="H3317" t="s">
        <v>59</v>
      </c>
      <c r="I3317">
        <v>235.23</v>
      </c>
      <c r="J3317">
        <v>0</v>
      </c>
      <c r="K3317">
        <v>235.23</v>
      </c>
    </row>
    <row r="3318" spans="1:11" x14ac:dyDescent="0.25">
      <c r="A3318" t="s">
        <v>3358</v>
      </c>
      <c r="B3318" s="1">
        <v>46038.453425925924</v>
      </c>
      <c r="C3318" s="2" t="s">
        <v>12</v>
      </c>
      <c r="D3318" t="s">
        <v>19</v>
      </c>
      <c r="E3318">
        <v>33341</v>
      </c>
      <c r="F3318" t="s">
        <v>14</v>
      </c>
      <c r="G3318" t="s">
        <v>58</v>
      </c>
      <c r="H3318" t="s">
        <v>16</v>
      </c>
      <c r="I3318">
        <v>5</v>
      </c>
      <c r="J3318">
        <v>0</v>
      </c>
      <c r="K3318">
        <v>5</v>
      </c>
    </row>
    <row r="3319" spans="1:11" x14ac:dyDescent="0.25">
      <c r="A3319" t="s">
        <v>3359</v>
      </c>
      <c r="B3319" s="1">
        <v>46024.618969907409</v>
      </c>
      <c r="C3319" s="2" t="s">
        <v>26</v>
      </c>
      <c r="D3319" t="s">
        <v>13</v>
      </c>
      <c r="E3319">
        <v>168500</v>
      </c>
      <c r="F3319" t="s">
        <v>50</v>
      </c>
      <c r="G3319" t="s">
        <v>20</v>
      </c>
      <c r="H3319" t="s">
        <v>16</v>
      </c>
      <c r="I3319">
        <v>3117.25</v>
      </c>
      <c r="J3319">
        <v>1246.9000000000001</v>
      </c>
      <c r="K3319">
        <v>1870.35</v>
      </c>
    </row>
    <row r="3320" spans="1:11" x14ac:dyDescent="0.25">
      <c r="A3320" t="s">
        <v>3360</v>
      </c>
      <c r="B3320" s="1">
        <v>45954.433900462966</v>
      </c>
      <c r="C3320" s="2" t="s">
        <v>32</v>
      </c>
      <c r="D3320" t="s">
        <v>23</v>
      </c>
      <c r="E3320">
        <v>4767</v>
      </c>
      <c r="F3320" t="s">
        <v>14</v>
      </c>
      <c r="G3320" t="s">
        <v>30</v>
      </c>
      <c r="H3320" t="s">
        <v>16</v>
      </c>
      <c r="I3320">
        <v>0</v>
      </c>
      <c r="J3320">
        <v>0</v>
      </c>
      <c r="K3320">
        <v>0</v>
      </c>
    </row>
    <row r="3321" spans="1:11" x14ac:dyDescent="0.25">
      <c r="A3321" t="s">
        <v>3361</v>
      </c>
      <c r="B3321" s="1">
        <v>45919.565057870372</v>
      </c>
      <c r="C3321" s="2" t="s">
        <v>29</v>
      </c>
      <c r="D3321" t="s">
        <v>45</v>
      </c>
      <c r="E3321">
        <v>22311</v>
      </c>
      <c r="F3321" t="s">
        <v>14</v>
      </c>
      <c r="G3321" t="s">
        <v>84</v>
      </c>
      <c r="H3321" t="s">
        <v>71</v>
      </c>
      <c r="I3321">
        <v>223.11</v>
      </c>
      <c r="J3321">
        <v>0</v>
      </c>
      <c r="K3321">
        <v>223.11</v>
      </c>
    </row>
    <row r="3322" spans="1:11" x14ac:dyDescent="0.25">
      <c r="A3322" t="s">
        <v>3362</v>
      </c>
      <c r="B3322" s="1">
        <v>46023.264918981484</v>
      </c>
      <c r="C3322" s="2" t="s">
        <v>41</v>
      </c>
      <c r="D3322" t="s">
        <v>13</v>
      </c>
      <c r="E3322">
        <v>39500</v>
      </c>
      <c r="F3322" t="s">
        <v>99</v>
      </c>
      <c r="G3322" t="s">
        <v>24</v>
      </c>
      <c r="H3322" t="s">
        <v>16</v>
      </c>
      <c r="I3322">
        <v>730.75</v>
      </c>
      <c r="J3322">
        <v>292.3</v>
      </c>
      <c r="K3322">
        <v>438.45</v>
      </c>
    </row>
    <row r="3323" spans="1:11" x14ac:dyDescent="0.25">
      <c r="A3323" t="s">
        <v>3363</v>
      </c>
      <c r="B3323" s="1">
        <v>46080.72996527778</v>
      </c>
      <c r="C3323" s="2" t="s">
        <v>39</v>
      </c>
      <c r="D3323" t="s">
        <v>13</v>
      </c>
      <c r="E3323">
        <v>116500</v>
      </c>
      <c r="F3323" t="s">
        <v>14</v>
      </c>
      <c r="G3323" t="s">
        <v>84</v>
      </c>
      <c r="H3323" t="s">
        <v>16</v>
      </c>
      <c r="I3323">
        <v>2155.25</v>
      </c>
      <c r="J3323">
        <v>862.1</v>
      </c>
      <c r="K3323">
        <v>1293.1500000000001</v>
      </c>
    </row>
    <row r="3324" spans="1:11" x14ac:dyDescent="0.25">
      <c r="A3324" t="s">
        <v>3364</v>
      </c>
      <c r="B3324" s="1">
        <v>45845.369756944441</v>
      </c>
      <c r="C3324" s="2" t="s">
        <v>29</v>
      </c>
      <c r="D3324" t="s">
        <v>13</v>
      </c>
      <c r="E3324">
        <v>130000</v>
      </c>
      <c r="F3324" t="s">
        <v>14</v>
      </c>
      <c r="G3324" t="s">
        <v>51</v>
      </c>
      <c r="H3324" t="s">
        <v>16</v>
      </c>
      <c r="I3324">
        <v>2405</v>
      </c>
      <c r="J3324">
        <v>962</v>
      </c>
      <c r="K3324">
        <v>1443</v>
      </c>
    </row>
    <row r="3325" spans="1:11" x14ac:dyDescent="0.25">
      <c r="A3325" t="s">
        <v>3365</v>
      </c>
      <c r="B3325" s="1">
        <v>46034.432800925926</v>
      </c>
      <c r="C3325" s="2" t="s">
        <v>18</v>
      </c>
      <c r="D3325" t="s">
        <v>19</v>
      </c>
      <c r="E3325">
        <v>5876</v>
      </c>
      <c r="F3325" t="s">
        <v>14</v>
      </c>
      <c r="G3325" t="s">
        <v>58</v>
      </c>
      <c r="H3325" t="s">
        <v>16</v>
      </c>
      <c r="I3325">
        <v>5</v>
      </c>
      <c r="J3325">
        <v>0</v>
      </c>
      <c r="K3325">
        <v>5</v>
      </c>
    </row>
    <row r="3326" spans="1:11" x14ac:dyDescent="0.25">
      <c r="A3326" t="s">
        <v>3366</v>
      </c>
      <c r="B3326" s="1">
        <v>46139.548090277778</v>
      </c>
      <c r="C3326" s="2" t="s">
        <v>32</v>
      </c>
      <c r="D3326" t="s">
        <v>13</v>
      </c>
      <c r="E3326">
        <v>138500</v>
      </c>
      <c r="F3326" t="s">
        <v>14</v>
      </c>
      <c r="G3326" t="s">
        <v>15</v>
      </c>
      <c r="H3326" t="s">
        <v>16</v>
      </c>
      <c r="I3326">
        <v>2562.25</v>
      </c>
      <c r="J3326">
        <v>1024.9000000000001</v>
      </c>
      <c r="K3326">
        <v>1537.35</v>
      </c>
    </row>
    <row r="3327" spans="1:11" x14ac:dyDescent="0.25">
      <c r="A3327" t="s">
        <v>3367</v>
      </c>
      <c r="B3327" s="1">
        <v>45898.439166666663</v>
      </c>
      <c r="C3327" s="2" t="s">
        <v>41</v>
      </c>
      <c r="D3327" t="s">
        <v>19</v>
      </c>
      <c r="E3327">
        <v>55775</v>
      </c>
      <c r="F3327" t="s">
        <v>14</v>
      </c>
      <c r="G3327" t="s">
        <v>34</v>
      </c>
      <c r="H3327" t="s">
        <v>16</v>
      </c>
      <c r="I3327">
        <v>5</v>
      </c>
      <c r="J3327">
        <v>0</v>
      </c>
      <c r="K3327">
        <v>5</v>
      </c>
    </row>
    <row r="3328" spans="1:11" x14ac:dyDescent="0.25">
      <c r="A3328" t="s">
        <v>3368</v>
      </c>
      <c r="B3328" s="1">
        <v>46051.687986111108</v>
      </c>
      <c r="C3328" s="2" t="s">
        <v>29</v>
      </c>
      <c r="D3328" t="s">
        <v>13</v>
      </c>
      <c r="E3328">
        <v>245500</v>
      </c>
      <c r="F3328" t="s">
        <v>14</v>
      </c>
      <c r="G3328" t="s">
        <v>58</v>
      </c>
      <c r="H3328" t="s">
        <v>16</v>
      </c>
      <c r="I3328">
        <v>4541.75</v>
      </c>
      <c r="J3328">
        <v>1816.7</v>
      </c>
      <c r="K3328">
        <v>2725.05</v>
      </c>
    </row>
    <row r="3329" spans="1:11" x14ac:dyDescent="0.25">
      <c r="A3329" t="s">
        <v>3369</v>
      </c>
      <c r="B3329" s="1">
        <v>45817.516539351855</v>
      </c>
      <c r="C3329" s="2" t="s">
        <v>39</v>
      </c>
      <c r="D3329" t="s">
        <v>23</v>
      </c>
      <c r="E3329">
        <v>566</v>
      </c>
      <c r="F3329" t="s">
        <v>14</v>
      </c>
      <c r="G3329" t="s">
        <v>15</v>
      </c>
      <c r="H3329" t="s">
        <v>16</v>
      </c>
      <c r="I3329">
        <v>0</v>
      </c>
      <c r="J3329">
        <v>0</v>
      </c>
      <c r="K3329">
        <v>0</v>
      </c>
    </row>
    <row r="3330" spans="1:11" x14ac:dyDescent="0.25">
      <c r="A3330" t="s">
        <v>3370</v>
      </c>
      <c r="B3330" s="1">
        <v>45864.153483796297</v>
      </c>
      <c r="C3330" s="2" t="s">
        <v>39</v>
      </c>
      <c r="D3330" t="s">
        <v>45</v>
      </c>
      <c r="E3330">
        <v>46854</v>
      </c>
      <c r="F3330" t="s">
        <v>14</v>
      </c>
      <c r="G3330" t="s">
        <v>20</v>
      </c>
      <c r="H3330" t="s">
        <v>56</v>
      </c>
      <c r="I3330">
        <v>468.54</v>
      </c>
      <c r="J3330">
        <v>0</v>
      </c>
      <c r="K3330">
        <v>468.54</v>
      </c>
    </row>
    <row r="3331" spans="1:11" x14ac:dyDescent="0.25">
      <c r="A3331" t="s">
        <v>3371</v>
      </c>
      <c r="B3331" s="1">
        <v>46124.770439814813</v>
      </c>
      <c r="C3331" s="2" t="s">
        <v>29</v>
      </c>
      <c r="D3331" t="s">
        <v>33</v>
      </c>
      <c r="E3331">
        <v>97496</v>
      </c>
      <c r="F3331" t="s">
        <v>14</v>
      </c>
      <c r="G3331" t="s">
        <v>27</v>
      </c>
      <c r="H3331" t="s">
        <v>16</v>
      </c>
      <c r="I3331">
        <v>0</v>
      </c>
      <c r="J3331">
        <v>0</v>
      </c>
      <c r="K3331">
        <v>0</v>
      </c>
    </row>
    <row r="3332" spans="1:11" x14ac:dyDescent="0.25">
      <c r="A3332" t="s">
        <v>3372</v>
      </c>
      <c r="B3332" s="1">
        <v>45885.022523148145</v>
      </c>
      <c r="C3332" s="2" t="s">
        <v>32</v>
      </c>
      <c r="D3332" t="s">
        <v>19</v>
      </c>
      <c r="E3332">
        <v>107359</v>
      </c>
      <c r="F3332" t="s">
        <v>14</v>
      </c>
      <c r="G3332" t="s">
        <v>30</v>
      </c>
      <c r="H3332" t="s">
        <v>16</v>
      </c>
      <c r="I3332">
        <v>5</v>
      </c>
      <c r="J3332">
        <v>0</v>
      </c>
      <c r="K3332">
        <v>5</v>
      </c>
    </row>
    <row r="3333" spans="1:11" x14ac:dyDescent="0.25">
      <c r="A3333" t="s">
        <v>3373</v>
      </c>
      <c r="B3333" s="1">
        <v>46099.761828703704</v>
      </c>
      <c r="C3333" s="2" t="s">
        <v>26</v>
      </c>
      <c r="D3333" t="s">
        <v>23</v>
      </c>
      <c r="E3333">
        <v>2789</v>
      </c>
      <c r="F3333" t="s">
        <v>14</v>
      </c>
      <c r="G3333" t="s">
        <v>84</v>
      </c>
      <c r="H3333" t="s">
        <v>16</v>
      </c>
      <c r="I3333">
        <v>0</v>
      </c>
      <c r="J3333">
        <v>0</v>
      </c>
      <c r="K3333">
        <v>0</v>
      </c>
    </row>
    <row r="3334" spans="1:11" x14ac:dyDescent="0.25">
      <c r="A3334" t="s">
        <v>3374</v>
      </c>
      <c r="B3334" s="1">
        <v>45976.373252314814</v>
      </c>
      <c r="C3334" s="2" t="s">
        <v>22</v>
      </c>
      <c r="D3334" t="s">
        <v>45</v>
      </c>
      <c r="E3334">
        <v>128100</v>
      </c>
      <c r="F3334" t="s">
        <v>14</v>
      </c>
      <c r="G3334" t="s">
        <v>84</v>
      </c>
      <c r="H3334" t="s">
        <v>178</v>
      </c>
      <c r="I3334">
        <v>1281</v>
      </c>
      <c r="J3334">
        <v>0</v>
      </c>
      <c r="K3334">
        <v>1281</v>
      </c>
    </row>
    <row r="3335" spans="1:11" x14ac:dyDescent="0.25">
      <c r="A3335" t="s">
        <v>3375</v>
      </c>
      <c r="B3335" s="1">
        <v>46136.244062500002</v>
      </c>
      <c r="C3335" s="2" t="s">
        <v>26</v>
      </c>
      <c r="D3335" t="s">
        <v>23</v>
      </c>
      <c r="E3335">
        <v>2726</v>
      </c>
      <c r="F3335" t="s">
        <v>99</v>
      </c>
      <c r="G3335" t="s">
        <v>30</v>
      </c>
      <c r="H3335" t="s">
        <v>16</v>
      </c>
      <c r="I3335">
        <v>0</v>
      </c>
      <c r="J3335">
        <v>0</v>
      </c>
      <c r="K3335">
        <v>0</v>
      </c>
    </row>
    <row r="3336" spans="1:11" x14ac:dyDescent="0.25">
      <c r="A3336" t="s">
        <v>3376</v>
      </c>
      <c r="B3336" s="1">
        <v>45926.051458333335</v>
      </c>
      <c r="C3336" s="2" t="s">
        <v>26</v>
      </c>
      <c r="D3336" t="s">
        <v>23</v>
      </c>
      <c r="E3336">
        <v>1746</v>
      </c>
      <c r="F3336" t="s">
        <v>99</v>
      </c>
      <c r="G3336" t="s">
        <v>34</v>
      </c>
      <c r="H3336" t="s">
        <v>16</v>
      </c>
      <c r="I3336">
        <v>0</v>
      </c>
      <c r="J3336">
        <v>0</v>
      </c>
      <c r="K3336">
        <v>0</v>
      </c>
    </row>
    <row r="3337" spans="1:11" x14ac:dyDescent="0.25">
      <c r="A3337" t="s">
        <v>3377</v>
      </c>
      <c r="B3337" s="1">
        <v>45903.093055555553</v>
      </c>
      <c r="C3337" s="2" t="s">
        <v>32</v>
      </c>
      <c r="D3337" t="s">
        <v>33</v>
      </c>
      <c r="E3337">
        <v>41232</v>
      </c>
      <c r="F3337" t="s">
        <v>14</v>
      </c>
      <c r="G3337" t="s">
        <v>34</v>
      </c>
      <c r="H3337" t="s">
        <v>16</v>
      </c>
      <c r="I3337">
        <v>0</v>
      </c>
      <c r="J3337">
        <v>0</v>
      </c>
      <c r="K3337">
        <v>0</v>
      </c>
    </row>
    <row r="3338" spans="1:11" x14ac:dyDescent="0.25">
      <c r="A3338" t="s">
        <v>3378</v>
      </c>
      <c r="B3338" s="1">
        <v>45858.737256944441</v>
      </c>
      <c r="C3338" s="2" t="s">
        <v>18</v>
      </c>
      <c r="D3338" t="s">
        <v>33</v>
      </c>
      <c r="E3338">
        <v>147057</v>
      </c>
      <c r="F3338" t="s">
        <v>14</v>
      </c>
      <c r="G3338" t="s">
        <v>27</v>
      </c>
      <c r="H3338" t="s">
        <v>16</v>
      </c>
      <c r="I3338">
        <v>0</v>
      </c>
      <c r="J3338">
        <v>0</v>
      </c>
      <c r="K3338">
        <v>0</v>
      </c>
    </row>
    <row r="3339" spans="1:11" x14ac:dyDescent="0.25">
      <c r="A3339" t="s">
        <v>3379</v>
      </c>
      <c r="B3339" s="1">
        <v>45874.619675925926</v>
      </c>
      <c r="C3339" s="2" t="s">
        <v>22</v>
      </c>
      <c r="D3339" t="s">
        <v>13</v>
      </c>
      <c r="E3339">
        <v>25500</v>
      </c>
      <c r="F3339" t="s">
        <v>14</v>
      </c>
      <c r="G3339" t="s">
        <v>58</v>
      </c>
      <c r="H3339" t="s">
        <v>16</v>
      </c>
      <c r="I3339">
        <v>471.75</v>
      </c>
      <c r="J3339">
        <v>188.7</v>
      </c>
      <c r="K3339">
        <v>283.05</v>
      </c>
    </row>
    <row r="3340" spans="1:11" x14ac:dyDescent="0.25">
      <c r="A3340" t="s">
        <v>3380</v>
      </c>
      <c r="B3340" s="1">
        <v>46050.774560185186</v>
      </c>
      <c r="C3340" s="2" t="s">
        <v>41</v>
      </c>
      <c r="D3340" t="s">
        <v>45</v>
      </c>
      <c r="E3340">
        <v>86683</v>
      </c>
      <c r="F3340" t="s">
        <v>14</v>
      </c>
      <c r="G3340" t="s">
        <v>51</v>
      </c>
      <c r="H3340" t="s">
        <v>56</v>
      </c>
      <c r="I3340">
        <v>866.83</v>
      </c>
      <c r="J3340">
        <v>0</v>
      </c>
      <c r="K3340">
        <v>866.83</v>
      </c>
    </row>
    <row r="3341" spans="1:11" x14ac:dyDescent="0.25">
      <c r="A3341" t="s">
        <v>3381</v>
      </c>
      <c r="B3341" s="1">
        <v>45980.595613425925</v>
      </c>
      <c r="C3341" s="2" t="s">
        <v>12</v>
      </c>
      <c r="D3341" t="s">
        <v>33</v>
      </c>
      <c r="E3341">
        <v>47576</v>
      </c>
      <c r="F3341" t="s">
        <v>14</v>
      </c>
      <c r="G3341" t="s">
        <v>27</v>
      </c>
      <c r="H3341" t="s">
        <v>16</v>
      </c>
      <c r="I3341">
        <v>0</v>
      </c>
      <c r="J3341">
        <v>0</v>
      </c>
      <c r="K3341">
        <v>0</v>
      </c>
    </row>
    <row r="3342" spans="1:11" x14ac:dyDescent="0.25">
      <c r="A3342" t="s">
        <v>3382</v>
      </c>
      <c r="B3342" s="1">
        <v>46142.086469907408</v>
      </c>
      <c r="C3342" s="2" t="s">
        <v>41</v>
      </c>
      <c r="D3342" t="s">
        <v>13</v>
      </c>
      <c r="E3342">
        <v>119000</v>
      </c>
      <c r="F3342" t="s">
        <v>14</v>
      </c>
      <c r="G3342" t="s">
        <v>51</v>
      </c>
      <c r="H3342" t="s">
        <v>16</v>
      </c>
      <c r="I3342">
        <v>2201.5</v>
      </c>
      <c r="J3342">
        <v>880.6</v>
      </c>
      <c r="K3342">
        <v>1320.9</v>
      </c>
    </row>
    <row r="3343" spans="1:11" x14ac:dyDescent="0.25">
      <c r="A3343" t="s">
        <v>3383</v>
      </c>
      <c r="B3343" s="1">
        <v>45949.363113425927</v>
      </c>
      <c r="C3343" s="2" t="s">
        <v>12</v>
      </c>
      <c r="D3343" t="s">
        <v>19</v>
      </c>
      <c r="E3343">
        <v>22469</v>
      </c>
      <c r="F3343" t="s">
        <v>14</v>
      </c>
      <c r="G3343" t="s">
        <v>27</v>
      </c>
      <c r="H3343" t="s">
        <v>16</v>
      </c>
      <c r="I3343">
        <v>5</v>
      </c>
      <c r="J3343">
        <v>0</v>
      </c>
      <c r="K3343">
        <v>5</v>
      </c>
    </row>
    <row r="3344" spans="1:11" x14ac:dyDescent="0.25">
      <c r="A3344" t="s">
        <v>3384</v>
      </c>
      <c r="B3344" s="1">
        <v>46020.555520833332</v>
      </c>
      <c r="C3344" s="2" t="s">
        <v>29</v>
      </c>
      <c r="D3344" t="s">
        <v>13</v>
      </c>
      <c r="E3344">
        <v>93500</v>
      </c>
      <c r="F3344" t="s">
        <v>14</v>
      </c>
      <c r="G3344" t="s">
        <v>30</v>
      </c>
      <c r="H3344" t="s">
        <v>16</v>
      </c>
      <c r="I3344">
        <v>1729.75</v>
      </c>
      <c r="J3344">
        <v>691.9</v>
      </c>
      <c r="K3344">
        <v>1037.8499999999999</v>
      </c>
    </row>
    <row r="3345" spans="1:11" x14ac:dyDescent="0.25">
      <c r="A3345" t="s">
        <v>3385</v>
      </c>
      <c r="B3345" s="1">
        <v>45781.561701388891</v>
      </c>
      <c r="C3345" s="2" t="s">
        <v>39</v>
      </c>
      <c r="D3345" t="s">
        <v>23</v>
      </c>
      <c r="E3345">
        <v>4742</v>
      </c>
      <c r="F3345" t="s">
        <v>14</v>
      </c>
      <c r="G3345" t="s">
        <v>34</v>
      </c>
      <c r="H3345" t="s">
        <v>16</v>
      </c>
      <c r="I3345">
        <v>0</v>
      </c>
      <c r="J3345">
        <v>0</v>
      </c>
      <c r="K3345">
        <v>0</v>
      </c>
    </row>
    <row r="3346" spans="1:11" x14ac:dyDescent="0.25">
      <c r="A3346" t="s">
        <v>3386</v>
      </c>
      <c r="B3346" s="1">
        <v>45896.224363425928</v>
      </c>
      <c r="C3346" s="2" t="s">
        <v>12</v>
      </c>
      <c r="D3346" t="s">
        <v>13</v>
      </c>
      <c r="E3346">
        <v>208500</v>
      </c>
      <c r="F3346" t="s">
        <v>14</v>
      </c>
      <c r="G3346" t="s">
        <v>30</v>
      </c>
      <c r="H3346" t="s">
        <v>16</v>
      </c>
      <c r="I3346">
        <v>3857.25</v>
      </c>
      <c r="J3346">
        <v>1542.9</v>
      </c>
      <c r="K3346">
        <v>2314.35</v>
      </c>
    </row>
    <row r="3347" spans="1:11" x14ac:dyDescent="0.25">
      <c r="A3347" t="s">
        <v>3387</v>
      </c>
      <c r="B3347" s="1">
        <v>46039.140833333331</v>
      </c>
      <c r="C3347" s="2" t="s">
        <v>39</v>
      </c>
      <c r="D3347" t="s">
        <v>19</v>
      </c>
      <c r="E3347">
        <v>45312</v>
      </c>
      <c r="F3347" t="s">
        <v>14</v>
      </c>
      <c r="G3347" t="s">
        <v>27</v>
      </c>
      <c r="H3347" t="s">
        <v>16</v>
      </c>
      <c r="I3347">
        <v>5</v>
      </c>
      <c r="J3347">
        <v>0</v>
      </c>
      <c r="K3347">
        <v>5</v>
      </c>
    </row>
    <row r="3348" spans="1:11" x14ac:dyDescent="0.25">
      <c r="A3348" t="s">
        <v>3388</v>
      </c>
      <c r="B3348" s="1">
        <v>46117.171342592592</v>
      </c>
      <c r="C3348" s="2" t="s">
        <v>29</v>
      </c>
      <c r="D3348" t="s">
        <v>33</v>
      </c>
      <c r="E3348">
        <v>43359</v>
      </c>
      <c r="F3348" t="s">
        <v>99</v>
      </c>
      <c r="G3348" t="s">
        <v>34</v>
      </c>
      <c r="H3348" t="s">
        <v>16</v>
      </c>
      <c r="I3348">
        <v>0</v>
      </c>
      <c r="J3348">
        <v>0</v>
      </c>
      <c r="K3348">
        <v>0</v>
      </c>
    </row>
    <row r="3349" spans="1:11" x14ac:dyDescent="0.25">
      <c r="A3349" t="s">
        <v>3389</v>
      </c>
      <c r="B3349" s="1">
        <v>45886.810694444444</v>
      </c>
      <c r="C3349" s="2" t="s">
        <v>18</v>
      </c>
      <c r="D3349" t="s">
        <v>33</v>
      </c>
      <c r="E3349">
        <v>46863</v>
      </c>
      <c r="F3349" t="s">
        <v>14</v>
      </c>
      <c r="G3349" t="s">
        <v>27</v>
      </c>
      <c r="H3349" t="s">
        <v>16</v>
      </c>
      <c r="I3349">
        <v>0</v>
      </c>
      <c r="J3349">
        <v>0</v>
      </c>
      <c r="K3349">
        <v>0</v>
      </c>
    </row>
    <row r="3350" spans="1:11" x14ac:dyDescent="0.25">
      <c r="A3350" t="s">
        <v>3390</v>
      </c>
      <c r="B3350" s="1">
        <v>45839.438240740739</v>
      </c>
      <c r="C3350" s="2" t="s">
        <v>26</v>
      </c>
      <c r="D3350" t="s">
        <v>23</v>
      </c>
      <c r="E3350">
        <v>1982</v>
      </c>
      <c r="F3350" t="s">
        <v>14</v>
      </c>
      <c r="G3350" t="s">
        <v>24</v>
      </c>
      <c r="H3350" t="s">
        <v>16</v>
      </c>
      <c r="I3350">
        <v>0</v>
      </c>
      <c r="J3350">
        <v>0</v>
      </c>
      <c r="K3350">
        <v>0</v>
      </c>
    </row>
    <row r="3351" spans="1:11" x14ac:dyDescent="0.25">
      <c r="A3351" t="s">
        <v>3391</v>
      </c>
      <c r="B3351" s="1">
        <v>46056.462326388886</v>
      </c>
      <c r="C3351" s="2" t="s">
        <v>39</v>
      </c>
      <c r="D3351" t="s">
        <v>19</v>
      </c>
      <c r="E3351">
        <v>61116</v>
      </c>
      <c r="F3351" t="s">
        <v>14</v>
      </c>
      <c r="G3351" t="s">
        <v>20</v>
      </c>
      <c r="H3351" t="s">
        <v>16</v>
      </c>
      <c r="I3351">
        <v>5</v>
      </c>
      <c r="J3351">
        <v>0</v>
      </c>
      <c r="K3351">
        <v>5</v>
      </c>
    </row>
    <row r="3352" spans="1:11" x14ac:dyDescent="0.25">
      <c r="A3352" t="s">
        <v>3392</v>
      </c>
      <c r="B3352" s="1">
        <v>45926.652071759258</v>
      </c>
      <c r="C3352" s="2" t="s">
        <v>41</v>
      </c>
      <c r="D3352" t="s">
        <v>13</v>
      </c>
      <c r="E3352">
        <v>186500</v>
      </c>
      <c r="F3352" t="s">
        <v>14</v>
      </c>
      <c r="G3352" t="s">
        <v>58</v>
      </c>
      <c r="H3352" t="s">
        <v>16</v>
      </c>
      <c r="I3352">
        <v>3450.25</v>
      </c>
      <c r="J3352">
        <v>1380.1</v>
      </c>
      <c r="K3352">
        <v>2070.15</v>
      </c>
    </row>
    <row r="3353" spans="1:11" x14ac:dyDescent="0.25">
      <c r="A3353" t="s">
        <v>3393</v>
      </c>
      <c r="B3353" s="1">
        <v>46054.69190972222</v>
      </c>
      <c r="C3353" s="2" t="s">
        <v>22</v>
      </c>
      <c r="D3353" t="s">
        <v>13</v>
      </c>
      <c r="E3353">
        <v>214000</v>
      </c>
      <c r="F3353" t="s">
        <v>14</v>
      </c>
      <c r="G3353" t="s">
        <v>30</v>
      </c>
      <c r="H3353" t="s">
        <v>16</v>
      </c>
      <c r="I3353">
        <v>3959</v>
      </c>
      <c r="J3353">
        <v>1583.6</v>
      </c>
      <c r="K3353">
        <v>2375.4</v>
      </c>
    </row>
    <row r="3354" spans="1:11" x14ac:dyDescent="0.25">
      <c r="A3354" t="s">
        <v>3394</v>
      </c>
      <c r="B3354" s="1">
        <v>46097.495532407411</v>
      </c>
      <c r="C3354" s="2" t="s">
        <v>22</v>
      </c>
      <c r="D3354" t="s">
        <v>19</v>
      </c>
      <c r="E3354">
        <v>65375</v>
      </c>
      <c r="F3354" t="s">
        <v>50</v>
      </c>
      <c r="G3354" t="s">
        <v>34</v>
      </c>
      <c r="H3354" t="s">
        <v>16</v>
      </c>
      <c r="I3354">
        <v>5</v>
      </c>
      <c r="J3354">
        <v>0</v>
      </c>
      <c r="K3354">
        <v>5</v>
      </c>
    </row>
    <row r="3355" spans="1:11" x14ac:dyDescent="0.25">
      <c r="A3355" t="s">
        <v>3395</v>
      </c>
      <c r="B3355" s="1">
        <v>45854.293263888889</v>
      </c>
      <c r="C3355" s="2" t="s">
        <v>22</v>
      </c>
      <c r="D3355" t="s">
        <v>33</v>
      </c>
      <c r="E3355">
        <v>13340</v>
      </c>
      <c r="F3355" t="s">
        <v>50</v>
      </c>
      <c r="G3355" t="s">
        <v>51</v>
      </c>
      <c r="H3355" t="s">
        <v>16</v>
      </c>
      <c r="I3355">
        <v>0</v>
      </c>
      <c r="J3355">
        <v>0</v>
      </c>
      <c r="K3355">
        <v>0</v>
      </c>
    </row>
    <row r="3356" spans="1:11" x14ac:dyDescent="0.25">
      <c r="A3356" t="s">
        <v>3396</v>
      </c>
      <c r="B3356" s="1">
        <v>45831.929872685185</v>
      </c>
      <c r="C3356" s="2" t="s">
        <v>41</v>
      </c>
      <c r="D3356" t="s">
        <v>23</v>
      </c>
      <c r="E3356">
        <v>2484</v>
      </c>
      <c r="F3356" t="s">
        <v>14</v>
      </c>
      <c r="G3356" t="s">
        <v>24</v>
      </c>
      <c r="H3356" t="s">
        <v>16</v>
      </c>
      <c r="I3356">
        <v>0</v>
      </c>
      <c r="J3356">
        <v>0</v>
      </c>
      <c r="K3356">
        <v>0</v>
      </c>
    </row>
    <row r="3357" spans="1:11" x14ac:dyDescent="0.25">
      <c r="A3357" t="s">
        <v>3397</v>
      </c>
      <c r="B3357" s="1">
        <v>45964.995219907411</v>
      </c>
      <c r="C3357" s="2" t="s">
        <v>32</v>
      </c>
      <c r="D3357" t="s">
        <v>33</v>
      </c>
      <c r="E3357">
        <v>27020</v>
      </c>
      <c r="F3357" t="s">
        <v>14</v>
      </c>
      <c r="G3357" t="s">
        <v>24</v>
      </c>
      <c r="H3357" t="s">
        <v>16</v>
      </c>
      <c r="I3357">
        <v>0</v>
      </c>
      <c r="J3357">
        <v>0</v>
      </c>
      <c r="K3357">
        <v>0</v>
      </c>
    </row>
    <row r="3358" spans="1:11" x14ac:dyDescent="0.25">
      <c r="A3358" t="s">
        <v>3398</v>
      </c>
      <c r="B3358" s="1">
        <v>45918.483553240738</v>
      </c>
      <c r="C3358" s="2" t="s">
        <v>32</v>
      </c>
      <c r="D3358" t="s">
        <v>23</v>
      </c>
      <c r="E3358">
        <v>760</v>
      </c>
      <c r="F3358" t="s">
        <v>14</v>
      </c>
      <c r="G3358" t="s">
        <v>51</v>
      </c>
      <c r="H3358" t="s">
        <v>16</v>
      </c>
      <c r="I3358">
        <v>0</v>
      </c>
      <c r="J3358">
        <v>0</v>
      </c>
      <c r="K3358">
        <v>0</v>
      </c>
    </row>
    <row r="3359" spans="1:11" x14ac:dyDescent="0.25">
      <c r="A3359" t="s">
        <v>3399</v>
      </c>
      <c r="B3359" s="1">
        <v>45784.338414351849</v>
      </c>
      <c r="C3359" s="2" t="s">
        <v>12</v>
      </c>
      <c r="D3359" t="s">
        <v>23</v>
      </c>
      <c r="E3359">
        <v>1751</v>
      </c>
      <c r="F3359" t="s">
        <v>14</v>
      </c>
      <c r="G3359" t="s">
        <v>34</v>
      </c>
      <c r="H3359" t="s">
        <v>16</v>
      </c>
      <c r="I3359">
        <v>0</v>
      </c>
      <c r="J3359">
        <v>0</v>
      </c>
      <c r="K3359">
        <v>0</v>
      </c>
    </row>
    <row r="3360" spans="1:11" x14ac:dyDescent="0.25">
      <c r="A3360" t="s">
        <v>3400</v>
      </c>
      <c r="B3360" s="1">
        <v>46001.253854166665</v>
      </c>
      <c r="C3360" s="2" t="s">
        <v>26</v>
      </c>
      <c r="D3360" t="s">
        <v>13</v>
      </c>
      <c r="E3360">
        <v>213500</v>
      </c>
      <c r="F3360" t="s">
        <v>14</v>
      </c>
      <c r="G3360" t="s">
        <v>30</v>
      </c>
      <c r="H3360" t="s">
        <v>16</v>
      </c>
      <c r="I3360">
        <v>3949.75</v>
      </c>
      <c r="J3360">
        <v>1579.9</v>
      </c>
      <c r="K3360">
        <v>2369.85</v>
      </c>
    </row>
    <row r="3361" spans="1:11" x14ac:dyDescent="0.25">
      <c r="A3361" t="s">
        <v>3401</v>
      </c>
      <c r="B3361" s="1">
        <v>46066.103032407409</v>
      </c>
      <c r="C3361" s="2" t="s">
        <v>12</v>
      </c>
      <c r="D3361" t="s">
        <v>45</v>
      </c>
      <c r="E3361">
        <v>16487</v>
      </c>
      <c r="F3361" t="s">
        <v>99</v>
      </c>
      <c r="G3361" t="s">
        <v>58</v>
      </c>
      <c r="H3361" t="s">
        <v>59</v>
      </c>
      <c r="I3361">
        <v>164.87</v>
      </c>
      <c r="J3361">
        <v>0</v>
      </c>
      <c r="K3361">
        <v>164.87</v>
      </c>
    </row>
    <row r="3362" spans="1:11" x14ac:dyDescent="0.25">
      <c r="A3362" t="s">
        <v>3402</v>
      </c>
      <c r="B3362" s="1">
        <v>46022.687465277777</v>
      </c>
      <c r="C3362" s="2" t="s">
        <v>39</v>
      </c>
      <c r="D3362" t="s">
        <v>33</v>
      </c>
      <c r="E3362">
        <v>136685</v>
      </c>
      <c r="F3362" t="s">
        <v>14</v>
      </c>
      <c r="G3362" t="s">
        <v>58</v>
      </c>
      <c r="H3362" t="s">
        <v>16</v>
      </c>
      <c r="I3362">
        <v>0</v>
      </c>
      <c r="J3362">
        <v>0</v>
      </c>
      <c r="K3362">
        <v>0</v>
      </c>
    </row>
    <row r="3363" spans="1:11" x14ac:dyDescent="0.25">
      <c r="A3363" t="s">
        <v>3403</v>
      </c>
      <c r="B3363" s="1">
        <v>45826.231631944444</v>
      </c>
      <c r="C3363" s="2" t="s">
        <v>22</v>
      </c>
      <c r="D3363" t="s">
        <v>45</v>
      </c>
      <c r="E3363">
        <v>86830</v>
      </c>
      <c r="F3363" t="s">
        <v>14</v>
      </c>
      <c r="G3363" t="s">
        <v>84</v>
      </c>
      <c r="H3363" t="s">
        <v>59</v>
      </c>
      <c r="I3363">
        <v>868.3</v>
      </c>
      <c r="J3363">
        <v>0</v>
      </c>
      <c r="K3363">
        <v>868.3</v>
      </c>
    </row>
    <row r="3364" spans="1:11" x14ac:dyDescent="0.25">
      <c r="A3364" t="s">
        <v>3404</v>
      </c>
      <c r="B3364" s="1">
        <v>46136.010706018518</v>
      </c>
      <c r="C3364" s="2" t="s">
        <v>26</v>
      </c>
      <c r="D3364" t="s">
        <v>45</v>
      </c>
      <c r="E3364">
        <v>104948</v>
      </c>
      <c r="F3364" t="s">
        <v>14</v>
      </c>
      <c r="G3364" t="s">
        <v>84</v>
      </c>
      <c r="H3364" t="s">
        <v>71</v>
      </c>
      <c r="I3364">
        <v>1049.48</v>
      </c>
      <c r="J3364">
        <v>0</v>
      </c>
      <c r="K3364">
        <v>1049.48</v>
      </c>
    </row>
    <row r="3365" spans="1:11" x14ac:dyDescent="0.25">
      <c r="A3365" t="s">
        <v>3405</v>
      </c>
      <c r="B3365" s="1">
        <v>46097.068622685183</v>
      </c>
      <c r="C3365" s="2" t="s">
        <v>41</v>
      </c>
      <c r="D3365" t="s">
        <v>13</v>
      </c>
      <c r="E3365">
        <v>234500</v>
      </c>
      <c r="F3365" t="s">
        <v>14</v>
      </c>
      <c r="G3365" t="s">
        <v>24</v>
      </c>
      <c r="H3365" t="s">
        <v>16</v>
      </c>
      <c r="I3365">
        <v>4338.25</v>
      </c>
      <c r="J3365">
        <v>1735.3</v>
      </c>
      <c r="K3365">
        <v>2602.9499999999998</v>
      </c>
    </row>
    <row r="3366" spans="1:11" x14ac:dyDescent="0.25">
      <c r="A3366" t="s">
        <v>3406</v>
      </c>
      <c r="B3366" s="1">
        <v>45890.632615740738</v>
      </c>
      <c r="C3366" s="2" t="s">
        <v>39</v>
      </c>
      <c r="D3366" t="s">
        <v>23</v>
      </c>
      <c r="E3366">
        <v>2511</v>
      </c>
      <c r="F3366" t="s">
        <v>14</v>
      </c>
      <c r="G3366" t="s">
        <v>34</v>
      </c>
      <c r="H3366" t="s">
        <v>16</v>
      </c>
      <c r="I3366">
        <v>0</v>
      </c>
      <c r="J3366">
        <v>0</v>
      </c>
      <c r="K3366">
        <v>0</v>
      </c>
    </row>
    <row r="3367" spans="1:11" x14ac:dyDescent="0.25">
      <c r="A3367" t="s">
        <v>3407</v>
      </c>
      <c r="B3367" s="1">
        <v>45837.823657407411</v>
      </c>
      <c r="C3367" s="2" t="s">
        <v>18</v>
      </c>
      <c r="D3367" t="s">
        <v>23</v>
      </c>
      <c r="E3367">
        <v>1630</v>
      </c>
      <c r="F3367" t="s">
        <v>50</v>
      </c>
      <c r="G3367" t="s">
        <v>20</v>
      </c>
      <c r="H3367" t="s">
        <v>16</v>
      </c>
      <c r="I3367">
        <v>0</v>
      </c>
      <c r="J3367">
        <v>0</v>
      </c>
      <c r="K3367">
        <v>0</v>
      </c>
    </row>
    <row r="3368" spans="1:11" x14ac:dyDescent="0.25">
      <c r="A3368" t="s">
        <v>3408</v>
      </c>
      <c r="B3368" s="1">
        <v>45892.650393518517</v>
      </c>
      <c r="C3368" s="2" t="s">
        <v>41</v>
      </c>
      <c r="D3368" t="s">
        <v>13</v>
      </c>
      <c r="E3368">
        <v>174500</v>
      </c>
      <c r="F3368" t="s">
        <v>50</v>
      </c>
      <c r="G3368" t="s">
        <v>15</v>
      </c>
      <c r="H3368" t="s">
        <v>16</v>
      </c>
      <c r="I3368">
        <v>3228.25</v>
      </c>
      <c r="J3368">
        <v>1291.3</v>
      </c>
      <c r="K3368">
        <v>1936.95</v>
      </c>
    </row>
    <row r="3369" spans="1:11" x14ac:dyDescent="0.25">
      <c r="A3369" t="s">
        <v>3409</v>
      </c>
      <c r="B3369" s="1">
        <v>45968.491018518522</v>
      </c>
      <c r="C3369" s="2" t="s">
        <v>32</v>
      </c>
      <c r="D3369" t="s">
        <v>19</v>
      </c>
      <c r="E3369">
        <v>20158</v>
      </c>
      <c r="F3369" t="s">
        <v>99</v>
      </c>
      <c r="G3369" t="s">
        <v>27</v>
      </c>
      <c r="H3369" t="s">
        <v>16</v>
      </c>
      <c r="I3369">
        <v>5</v>
      </c>
      <c r="J3369">
        <v>0</v>
      </c>
      <c r="K3369">
        <v>5</v>
      </c>
    </row>
    <row r="3370" spans="1:11" x14ac:dyDescent="0.25">
      <c r="A3370" t="s">
        <v>3410</v>
      </c>
      <c r="B3370" s="1">
        <v>45817.418738425928</v>
      </c>
      <c r="C3370" s="2" t="s">
        <v>41</v>
      </c>
      <c r="D3370" t="s">
        <v>45</v>
      </c>
      <c r="E3370">
        <v>134192</v>
      </c>
      <c r="F3370" t="s">
        <v>50</v>
      </c>
      <c r="G3370" t="s">
        <v>58</v>
      </c>
      <c r="H3370" t="s">
        <v>59</v>
      </c>
      <c r="I3370">
        <v>1341.92</v>
      </c>
      <c r="J3370">
        <v>0</v>
      </c>
      <c r="K3370">
        <v>1341.92</v>
      </c>
    </row>
    <row r="3371" spans="1:11" x14ac:dyDescent="0.25">
      <c r="A3371" t="s">
        <v>3411</v>
      </c>
      <c r="B3371" s="1">
        <v>45904.117222222223</v>
      </c>
      <c r="C3371" s="2" t="s">
        <v>12</v>
      </c>
      <c r="D3371" t="s">
        <v>23</v>
      </c>
      <c r="E3371">
        <v>2726</v>
      </c>
      <c r="F3371" t="s">
        <v>50</v>
      </c>
      <c r="G3371" t="s">
        <v>30</v>
      </c>
      <c r="H3371" t="s">
        <v>16</v>
      </c>
      <c r="I3371">
        <v>0</v>
      </c>
      <c r="J3371">
        <v>0</v>
      </c>
      <c r="K3371">
        <v>0</v>
      </c>
    </row>
    <row r="3372" spans="1:11" x14ac:dyDescent="0.25">
      <c r="A3372" t="s">
        <v>3412</v>
      </c>
      <c r="B3372" s="1">
        <v>46110.310636574075</v>
      </c>
      <c r="C3372" s="2" t="s">
        <v>39</v>
      </c>
      <c r="D3372" t="s">
        <v>19</v>
      </c>
      <c r="E3372">
        <v>87878</v>
      </c>
      <c r="F3372" t="s">
        <v>14</v>
      </c>
      <c r="G3372" t="s">
        <v>27</v>
      </c>
      <c r="H3372" t="s">
        <v>16</v>
      </c>
      <c r="I3372">
        <v>5</v>
      </c>
      <c r="J3372">
        <v>0</v>
      </c>
      <c r="K3372">
        <v>5</v>
      </c>
    </row>
    <row r="3373" spans="1:11" x14ac:dyDescent="0.25">
      <c r="A3373" t="s">
        <v>3413</v>
      </c>
      <c r="B3373" s="1">
        <v>45823.268425925926</v>
      </c>
      <c r="C3373" s="2" t="s">
        <v>32</v>
      </c>
      <c r="D3373" t="s">
        <v>45</v>
      </c>
      <c r="E3373">
        <v>26666</v>
      </c>
      <c r="F3373" t="s">
        <v>50</v>
      </c>
      <c r="G3373" t="s">
        <v>34</v>
      </c>
      <c r="H3373" t="s">
        <v>178</v>
      </c>
      <c r="I3373">
        <v>266.66000000000003</v>
      </c>
      <c r="J3373">
        <v>0</v>
      </c>
      <c r="K3373">
        <v>266.66000000000003</v>
      </c>
    </row>
    <row r="3374" spans="1:11" x14ac:dyDescent="0.25">
      <c r="A3374" t="s">
        <v>3414</v>
      </c>
      <c r="B3374" s="1">
        <v>45947.802372685182</v>
      </c>
      <c r="C3374" s="2" t="s">
        <v>26</v>
      </c>
      <c r="D3374" t="s">
        <v>33</v>
      </c>
      <c r="E3374">
        <v>128755</v>
      </c>
      <c r="F3374" t="s">
        <v>14</v>
      </c>
      <c r="G3374" t="s">
        <v>30</v>
      </c>
      <c r="H3374" t="s">
        <v>16</v>
      </c>
      <c r="I3374">
        <v>0</v>
      </c>
      <c r="J3374">
        <v>0</v>
      </c>
      <c r="K3374">
        <v>0</v>
      </c>
    </row>
    <row r="3375" spans="1:11" x14ac:dyDescent="0.25">
      <c r="A3375" t="s">
        <v>3415</v>
      </c>
      <c r="B3375" s="1">
        <v>45795.956562500003</v>
      </c>
      <c r="C3375" s="2" t="s">
        <v>26</v>
      </c>
      <c r="D3375" t="s">
        <v>23</v>
      </c>
      <c r="E3375">
        <v>1009</v>
      </c>
      <c r="F3375" t="s">
        <v>14</v>
      </c>
      <c r="G3375" t="s">
        <v>30</v>
      </c>
      <c r="H3375" t="s">
        <v>16</v>
      </c>
      <c r="I3375">
        <v>0</v>
      </c>
      <c r="J3375">
        <v>0</v>
      </c>
      <c r="K3375">
        <v>0</v>
      </c>
    </row>
    <row r="3376" spans="1:11" x14ac:dyDescent="0.25">
      <c r="A3376" t="s">
        <v>3416</v>
      </c>
      <c r="B3376" s="1">
        <v>45822.509212962963</v>
      </c>
      <c r="C3376" s="2" t="s">
        <v>32</v>
      </c>
      <c r="D3376" t="s">
        <v>13</v>
      </c>
      <c r="E3376">
        <v>97500</v>
      </c>
      <c r="F3376" t="s">
        <v>14</v>
      </c>
      <c r="G3376" t="s">
        <v>24</v>
      </c>
      <c r="H3376" t="s">
        <v>16</v>
      </c>
      <c r="I3376">
        <v>1803.75</v>
      </c>
      <c r="J3376">
        <v>721.5</v>
      </c>
      <c r="K3376">
        <v>1082.25</v>
      </c>
    </row>
    <row r="3377" spans="1:11" x14ac:dyDescent="0.25">
      <c r="A3377" t="s">
        <v>3417</v>
      </c>
      <c r="B3377" s="1">
        <v>46083.394849537035</v>
      </c>
      <c r="C3377" s="2" t="s">
        <v>22</v>
      </c>
      <c r="D3377" t="s">
        <v>45</v>
      </c>
      <c r="E3377">
        <v>112837</v>
      </c>
      <c r="F3377" t="s">
        <v>14</v>
      </c>
      <c r="G3377" t="s">
        <v>24</v>
      </c>
      <c r="H3377" t="s">
        <v>178</v>
      </c>
      <c r="I3377">
        <v>1128.3699999999999</v>
      </c>
      <c r="J3377">
        <v>0</v>
      </c>
      <c r="K3377">
        <v>1128.3699999999999</v>
      </c>
    </row>
    <row r="3378" spans="1:11" x14ac:dyDescent="0.25">
      <c r="A3378" t="s">
        <v>3418</v>
      </c>
      <c r="B3378" s="1">
        <v>46139.054282407407</v>
      </c>
      <c r="C3378" s="2" t="s">
        <v>12</v>
      </c>
      <c r="D3378" t="s">
        <v>33</v>
      </c>
      <c r="E3378">
        <v>73072</v>
      </c>
      <c r="F3378" t="s">
        <v>14</v>
      </c>
      <c r="G3378" t="s">
        <v>51</v>
      </c>
      <c r="H3378" t="s">
        <v>16</v>
      </c>
      <c r="I3378">
        <v>0</v>
      </c>
      <c r="J3378">
        <v>0</v>
      </c>
      <c r="K3378">
        <v>0</v>
      </c>
    </row>
    <row r="3379" spans="1:11" x14ac:dyDescent="0.25">
      <c r="A3379" t="s">
        <v>3419</v>
      </c>
      <c r="B3379" s="1">
        <v>45869.043749999997</v>
      </c>
      <c r="C3379" s="2" t="s">
        <v>32</v>
      </c>
      <c r="D3379" t="s">
        <v>45</v>
      </c>
      <c r="E3379">
        <v>75442</v>
      </c>
      <c r="F3379" t="s">
        <v>14</v>
      </c>
      <c r="G3379" t="s">
        <v>84</v>
      </c>
      <c r="H3379" t="s">
        <v>46</v>
      </c>
      <c r="I3379">
        <v>754.42</v>
      </c>
      <c r="J3379">
        <v>0</v>
      </c>
      <c r="K3379">
        <v>754.42</v>
      </c>
    </row>
    <row r="3380" spans="1:11" x14ac:dyDescent="0.25">
      <c r="A3380" t="s">
        <v>3420</v>
      </c>
      <c r="B3380" s="1">
        <v>45936.642280092594</v>
      </c>
      <c r="C3380" s="2" t="s">
        <v>32</v>
      </c>
      <c r="D3380" t="s">
        <v>23</v>
      </c>
      <c r="E3380">
        <v>2601</v>
      </c>
      <c r="F3380" t="s">
        <v>14</v>
      </c>
      <c r="G3380" t="s">
        <v>24</v>
      </c>
      <c r="H3380" t="s">
        <v>16</v>
      </c>
      <c r="I3380">
        <v>0</v>
      </c>
      <c r="J3380">
        <v>0</v>
      </c>
      <c r="K3380">
        <v>0</v>
      </c>
    </row>
    <row r="3381" spans="1:11" x14ac:dyDescent="0.25">
      <c r="A3381" t="s">
        <v>3421</v>
      </c>
      <c r="B3381" s="1">
        <v>46105.401932870373</v>
      </c>
      <c r="C3381" s="2" t="s">
        <v>12</v>
      </c>
      <c r="D3381" t="s">
        <v>13</v>
      </c>
      <c r="E3381">
        <v>35500</v>
      </c>
      <c r="F3381" t="s">
        <v>14</v>
      </c>
      <c r="G3381" t="s">
        <v>84</v>
      </c>
      <c r="H3381" t="s">
        <v>16</v>
      </c>
      <c r="I3381">
        <v>656.75</v>
      </c>
      <c r="J3381">
        <v>262.7</v>
      </c>
      <c r="K3381">
        <v>394.05</v>
      </c>
    </row>
    <row r="3382" spans="1:11" x14ac:dyDescent="0.25">
      <c r="A3382" t="s">
        <v>3422</v>
      </c>
      <c r="B3382" s="1">
        <v>45972.923634259256</v>
      </c>
      <c r="C3382" s="2" t="s">
        <v>26</v>
      </c>
      <c r="D3382" t="s">
        <v>13</v>
      </c>
      <c r="E3382">
        <v>129500</v>
      </c>
      <c r="F3382" t="s">
        <v>14</v>
      </c>
      <c r="G3382" t="s">
        <v>58</v>
      </c>
      <c r="H3382" t="s">
        <v>16</v>
      </c>
      <c r="I3382">
        <v>2395.75</v>
      </c>
      <c r="J3382">
        <v>958.3</v>
      </c>
      <c r="K3382">
        <v>1437.45</v>
      </c>
    </row>
    <row r="3383" spans="1:11" x14ac:dyDescent="0.25">
      <c r="A3383" t="s">
        <v>3423</v>
      </c>
      <c r="B3383" s="1">
        <v>45783.848923611113</v>
      </c>
      <c r="C3383" s="2" t="s">
        <v>39</v>
      </c>
      <c r="D3383" t="s">
        <v>19</v>
      </c>
      <c r="E3383">
        <v>6280</v>
      </c>
      <c r="F3383" t="s">
        <v>14</v>
      </c>
      <c r="G3383" t="s">
        <v>84</v>
      </c>
      <c r="H3383" t="s">
        <v>16</v>
      </c>
      <c r="I3383">
        <v>5</v>
      </c>
      <c r="J3383">
        <v>0</v>
      </c>
      <c r="K3383">
        <v>5</v>
      </c>
    </row>
    <row r="3384" spans="1:11" x14ac:dyDescent="0.25">
      <c r="A3384" t="s">
        <v>3424</v>
      </c>
      <c r="B3384" s="1">
        <v>45784.705335648148</v>
      </c>
      <c r="C3384" s="2" t="s">
        <v>26</v>
      </c>
      <c r="D3384" t="s">
        <v>23</v>
      </c>
      <c r="E3384">
        <v>2839</v>
      </c>
      <c r="F3384" t="s">
        <v>14</v>
      </c>
      <c r="G3384" t="s">
        <v>51</v>
      </c>
      <c r="H3384" t="s">
        <v>16</v>
      </c>
      <c r="I3384">
        <v>0</v>
      </c>
      <c r="J3384">
        <v>0</v>
      </c>
      <c r="K3384">
        <v>0</v>
      </c>
    </row>
    <row r="3385" spans="1:11" x14ac:dyDescent="0.25">
      <c r="A3385" t="s">
        <v>3425</v>
      </c>
      <c r="B3385" s="1">
        <v>45900.575474537036</v>
      </c>
      <c r="C3385" s="2" t="s">
        <v>26</v>
      </c>
      <c r="D3385" t="s">
        <v>23</v>
      </c>
      <c r="E3385">
        <v>4913</v>
      </c>
      <c r="F3385" t="s">
        <v>14</v>
      </c>
      <c r="G3385" t="s">
        <v>20</v>
      </c>
      <c r="H3385" t="s">
        <v>16</v>
      </c>
      <c r="I3385">
        <v>0</v>
      </c>
      <c r="J3385">
        <v>0</v>
      </c>
      <c r="K3385">
        <v>0</v>
      </c>
    </row>
    <row r="3386" spans="1:11" x14ac:dyDescent="0.25">
      <c r="A3386" t="s">
        <v>3426</v>
      </c>
      <c r="B3386" s="1">
        <v>45861.23746527778</v>
      </c>
      <c r="C3386" s="2" t="s">
        <v>26</v>
      </c>
      <c r="D3386" t="s">
        <v>23</v>
      </c>
      <c r="E3386">
        <v>3467</v>
      </c>
      <c r="F3386" t="s">
        <v>14</v>
      </c>
      <c r="G3386" t="s">
        <v>27</v>
      </c>
      <c r="H3386" t="s">
        <v>16</v>
      </c>
      <c r="I3386">
        <v>0</v>
      </c>
      <c r="J3386">
        <v>0</v>
      </c>
      <c r="K3386">
        <v>0</v>
      </c>
    </row>
    <row r="3387" spans="1:11" x14ac:dyDescent="0.25">
      <c r="A3387" t="s">
        <v>3427</v>
      </c>
      <c r="B3387" s="1">
        <v>46139.395416666666</v>
      </c>
      <c r="C3387" s="2" t="s">
        <v>12</v>
      </c>
      <c r="D3387" t="s">
        <v>45</v>
      </c>
      <c r="E3387">
        <v>114024</v>
      </c>
      <c r="F3387" t="s">
        <v>14</v>
      </c>
      <c r="G3387" t="s">
        <v>51</v>
      </c>
      <c r="H3387" t="s">
        <v>59</v>
      </c>
      <c r="I3387">
        <v>1140.24</v>
      </c>
      <c r="J3387">
        <v>0</v>
      </c>
      <c r="K3387">
        <v>1140.24</v>
      </c>
    </row>
    <row r="3388" spans="1:11" x14ac:dyDescent="0.25">
      <c r="A3388" t="s">
        <v>3428</v>
      </c>
      <c r="B3388" s="1">
        <v>45878.868113425924</v>
      </c>
      <c r="C3388" s="2" t="s">
        <v>39</v>
      </c>
      <c r="D3388" t="s">
        <v>33</v>
      </c>
      <c r="E3388">
        <v>84926</v>
      </c>
      <c r="F3388" t="s">
        <v>50</v>
      </c>
      <c r="G3388" t="s">
        <v>15</v>
      </c>
      <c r="H3388" t="s">
        <v>16</v>
      </c>
      <c r="I3388">
        <v>0</v>
      </c>
      <c r="J3388">
        <v>0</v>
      </c>
      <c r="K3388">
        <v>0</v>
      </c>
    </row>
    <row r="3389" spans="1:11" x14ac:dyDescent="0.25">
      <c r="A3389" t="s">
        <v>3429</v>
      </c>
      <c r="B3389" s="1">
        <v>45955.370381944442</v>
      </c>
      <c r="C3389" s="2" t="s">
        <v>18</v>
      </c>
      <c r="D3389" t="s">
        <v>23</v>
      </c>
      <c r="E3389">
        <v>1455</v>
      </c>
      <c r="F3389" t="s">
        <v>14</v>
      </c>
      <c r="G3389" t="s">
        <v>84</v>
      </c>
      <c r="H3389" t="s">
        <v>16</v>
      </c>
      <c r="I3389">
        <v>0</v>
      </c>
      <c r="J3389">
        <v>0</v>
      </c>
      <c r="K3389">
        <v>0</v>
      </c>
    </row>
    <row r="3390" spans="1:11" x14ac:dyDescent="0.25">
      <c r="A3390" t="s">
        <v>3430</v>
      </c>
      <c r="B3390" s="1">
        <v>46117.744710648149</v>
      </c>
      <c r="C3390" s="2" t="s">
        <v>12</v>
      </c>
      <c r="D3390" t="s">
        <v>23</v>
      </c>
      <c r="E3390">
        <v>4884</v>
      </c>
      <c r="F3390" t="s">
        <v>14</v>
      </c>
      <c r="G3390" t="s">
        <v>24</v>
      </c>
      <c r="H3390" t="s">
        <v>16</v>
      </c>
      <c r="I3390">
        <v>0</v>
      </c>
      <c r="J3390">
        <v>0</v>
      </c>
      <c r="K3390">
        <v>0</v>
      </c>
    </row>
    <row r="3391" spans="1:11" x14ac:dyDescent="0.25">
      <c r="A3391" t="s">
        <v>3431</v>
      </c>
      <c r="B3391" s="1">
        <v>45843.072523148148</v>
      </c>
      <c r="C3391" s="2" t="s">
        <v>41</v>
      </c>
      <c r="D3391" t="s">
        <v>23</v>
      </c>
      <c r="E3391">
        <v>1675</v>
      </c>
      <c r="F3391" t="s">
        <v>14</v>
      </c>
      <c r="G3391" t="s">
        <v>24</v>
      </c>
      <c r="H3391" t="s">
        <v>16</v>
      </c>
      <c r="I3391">
        <v>0</v>
      </c>
      <c r="J3391">
        <v>0</v>
      </c>
      <c r="K3391">
        <v>0</v>
      </c>
    </row>
    <row r="3392" spans="1:11" x14ac:dyDescent="0.25">
      <c r="A3392" t="s">
        <v>3432</v>
      </c>
      <c r="B3392" s="1">
        <v>45977.806354166663</v>
      </c>
      <c r="C3392" s="2" t="s">
        <v>26</v>
      </c>
      <c r="D3392" t="s">
        <v>45</v>
      </c>
      <c r="E3392">
        <v>118845</v>
      </c>
      <c r="F3392" t="s">
        <v>14</v>
      </c>
      <c r="G3392" t="s">
        <v>30</v>
      </c>
      <c r="H3392" t="s">
        <v>46</v>
      </c>
      <c r="I3392">
        <v>1188.45</v>
      </c>
      <c r="J3392">
        <v>0</v>
      </c>
      <c r="K3392">
        <v>1188.45</v>
      </c>
    </row>
    <row r="3393" spans="1:11" x14ac:dyDescent="0.25">
      <c r="A3393" t="s">
        <v>3433</v>
      </c>
      <c r="B3393" s="1">
        <v>46083.20517361111</v>
      </c>
      <c r="C3393" s="2" t="s">
        <v>39</v>
      </c>
      <c r="D3393" t="s">
        <v>19</v>
      </c>
      <c r="E3393">
        <v>29518</v>
      </c>
      <c r="F3393" t="s">
        <v>99</v>
      </c>
      <c r="G3393" t="s">
        <v>51</v>
      </c>
      <c r="H3393" t="s">
        <v>16</v>
      </c>
      <c r="I3393">
        <v>5</v>
      </c>
      <c r="J3393">
        <v>0</v>
      </c>
      <c r="K3393">
        <v>5</v>
      </c>
    </row>
    <row r="3394" spans="1:11" x14ac:dyDescent="0.25">
      <c r="A3394" t="s">
        <v>3434</v>
      </c>
      <c r="B3394" s="1">
        <v>45946.726747685185</v>
      </c>
      <c r="C3394" s="2" t="s">
        <v>32</v>
      </c>
      <c r="D3394" t="s">
        <v>45</v>
      </c>
      <c r="E3394">
        <v>35883</v>
      </c>
      <c r="F3394" t="s">
        <v>14</v>
      </c>
      <c r="G3394" t="s">
        <v>58</v>
      </c>
      <c r="H3394" t="s">
        <v>46</v>
      </c>
      <c r="I3394">
        <v>358.83</v>
      </c>
      <c r="J3394">
        <v>0</v>
      </c>
      <c r="K3394">
        <v>358.83</v>
      </c>
    </row>
    <row r="3395" spans="1:11" x14ac:dyDescent="0.25">
      <c r="A3395" t="s">
        <v>3435</v>
      </c>
      <c r="B3395" s="1">
        <v>45894.876273148147</v>
      </c>
      <c r="C3395" s="2" t="s">
        <v>39</v>
      </c>
      <c r="D3395" t="s">
        <v>23</v>
      </c>
      <c r="E3395">
        <v>4942</v>
      </c>
      <c r="F3395" t="s">
        <v>14</v>
      </c>
      <c r="G3395" t="s">
        <v>58</v>
      </c>
      <c r="H3395" t="s">
        <v>16</v>
      </c>
      <c r="I3395">
        <v>0</v>
      </c>
      <c r="J3395">
        <v>0</v>
      </c>
      <c r="K3395">
        <v>0</v>
      </c>
    </row>
    <row r="3396" spans="1:11" x14ac:dyDescent="0.25">
      <c r="A3396" t="s">
        <v>3436</v>
      </c>
      <c r="B3396" s="1">
        <v>45789.438587962963</v>
      </c>
      <c r="C3396" s="2" t="s">
        <v>12</v>
      </c>
      <c r="D3396" t="s">
        <v>19</v>
      </c>
      <c r="E3396">
        <v>140506</v>
      </c>
      <c r="F3396" t="s">
        <v>14</v>
      </c>
      <c r="G3396" t="s">
        <v>34</v>
      </c>
      <c r="H3396" t="s">
        <v>16</v>
      </c>
      <c r="I3396">
        <v>5</v>
      </c>
      <c r="J3396">
        <v>0</v>
      </c>
      <c r="K3396">
        <v>5</v>
      </c>
    </row>
    <row r="3397" spans="1:11" x14ac:dyDescent="0.25">
      <c r="A3397" t="s">
        <v>3437</v>
      </c>
      <c r="B3397" s="1">
        <v>45993.621435185189</v>
      </c>
      <c r="C3397" s="2" t="s">
        <v>39</v>
      </c>
      <c r="D3397" t="s">
        <v>19</v>
      </c>
      <c r="E3397">
        <v>13760</v>
      </c>
      <c r="F3397" t="s">
        <v>14</v>
      </c>
      <c r="G3397" t="s">
        <v>34</v>
      </c>
      <c r="H3397" t="s">
        <v>16</v>
      </c>
      <c r="I3397">
        <v>5</v>
      </c>
      <c r="J3397">
        <v>0</v>
      </c>
      <c r="K3397">
        <v>5</v>
      </c>
    </row>
    <row r="3398" spans="1:11" x14ac:dyDescent="0.25">
      <c r="A3398" t="s">
        <v>3438</v>
      </c>
      <c r="B3398" s="1">
        <v>45806.621701388889</v>
      </c>
      <c r="C3398" s="2" t="s">
        <v>22</v>
      </c>
      <c r="D3398" t="s">
        <v>33</v>
      </c>
      <c r="E3398">
        <v>92977</v>
      </c>
      <c r="F3398" t="s">
        <v>99</v>
      </c>
      <c r="G3398" t="s">
        <v>58</v>
      </c>
      <c r="H3398" t="s">
        <v>16</v>
      </c>
      <c r="I3398">
        <v>0</v>
      </c>
      <c r="J3398">
        <v>0</v>
      </c>
      <c r="K3398">
        <v>0</v>
      </c>
    </row>
    <row r="3399" spans="1:11" x14ac:dyDescent="0.25">
      <c r="A3399" t="s">
        <v>3439</v>
      </c>
      <c r="B3399" s="1">
        <v>46029.101111111115</v>
      </c>
      <c r="C3399" s="2" t="s">
        <v>39</v>
      </c>
      <c r="D3399" t="s">
        <v>45</v>
      </c>
      <c r="E3399">
        <v>115155</v>
      </c>
      <c r="F3399" t="s">
        <v>14</v>
      </c>
      <c r="G3399" t="s">
        <v>24</v>
      </c>
      <c r="H3399" t="s">
        <v>56</v>
      </c>
      <c r="I3399">
        <v>1151.55</v>
      </c>
      <c r="J3399">
        <v>0</v>
      </c>
      <c r="K3399">
        <v>1151.55</v>
      </c>
    </row>
    <row r="3400" spans="1:11" x14ac:dyDescent="0.25">
      <c r="A3400" t="s">
        <v>3440</v>
      </c>
      <c r="B3400" s="1">
        <v>46123.643912037034</v>
      </c>
      <c r="C3400" s="2" t="s">
        <v>12</v>
      </c>
      <c r="D3400" t="s">
        <v>33</v>
      </c>
      <c r="E3400">
        <v>16841</v>
      </c>
      <c r="F3400" t="s">
        <v>14</v>
      </c>
      <c r="G3400" t="s">
        <v>34</v>
      </c>
      <c r="H3400" t="s">
        <v>16</v>
      </c>
      <c r="I3400">
        <v>0</v>
      </c>
      <c r="J3400">
        <v>0</v>
      </c>
      <c r="K3400">
        <v>0</v>
      </c>
    </row>
    <row r="3401" spans="1:11" x14ac:dyDescent="0.25">
      <c r="A3401" t="s">
        <v>3441</v>
      </c>
      <c r="B3401" s="1">
        <v>46109.36246527778</v>
      </c>
      <c r="C3401" s="2" t="s">
        <v>29</v>
      </c>
      <c r="D3401" t="s">
        <v>45</v>
      </c>
      <c r="E3401">
        <v>35886</v>
      </c>
      <c r="F3401" t="s">
        <v>14</v>
      </c>
      <c r="G3401" t="s">
        <v>15</v>
      </c>
      <c r="H3401" t="s">
        <v>59</v>
      </c>
      <c r="I3401">
        <v>358.86</v>
      </c>
      <c r="J3401">
        <v>0</v>
      </c>
      <c r="K3401">
        <v>358.86</v>
      </c>
    </row>
    <row r="3402" spans="1:11" x14ac:dyDescent="0.25">
      <c r="A3402" t="s">
        <v>3442</v>
      </c>
      <c r="B3402" s="1">
        <v>46044.045231481483</v>
      </c>
      <c r="C3402" s="2" t="s">
        <v>32</v>
      </c>
      <c r="D3402" t="s">
        <v>45</v>
      </c>
      <c r="E3402">
        <v>79804</v>
      </c>
      <c r="F3402" t="s">
        <v>14</v>
      </c>
      <c r="G3402" t="s">
        <v>51</v>
      </c>
      <c r="H3402" t="s">
        <v>59</v>
      </c>
      <c r="I3402">
        <v>798.04</v>
      </c>
      <c r="J3402">
        <v>0</v>
      </c>
      <c r="K3402">
        <v>798.04</v>
      </c>
    </row>
    <row r="3403" spans="1:11" x14ac:dyDescent="0.25">
      <c r="A3403" t="s">
        <v>3443</v>
      </c>
      <c r="B3403" s="1">
        <v>45803.305543981478</v>
      </c>
      <c r="C3403" s="2" t="s">
        <v>22</v>
      </c>
      <c r="D3403" t="s">
        <v>45</v>
      </c>
      <c r="E3403">
        <v>50310</v>
      </c>
      <c r="F3403" t="s">
        <v>14</v>
      </c>
      <c r="G3403" t="s">
        <v>24</v>
      </c>
      <c r="H3403" t="s">
        <v>178</v>
      </c>
      <c r="I3403">
        <v>503.1</v>
      </c>
      <c r="J3403">
        <v>0</v>
      </c>
      <c r="K3403">
        <v>503.1</v>
      </c>
    </row>
    <row r="3404" spans="1:11" x14ac:dyDescent="0.25">
      <c r="A3404" t="s">
        <v>3444</v>
      </c>
      <c r="B3404" s="1">
        <v>45999.708136574074</v>
      </c>
      <c r="C3404" s="2" t="s">
        <v>26</v>
      </c>
      <c r="D3404" t="s">
        <v>13</v>
      </c>
      <c r="E3404">
        <v>237000</v>
      </c>
      <c r="F3404" t="s">
        <v>14</v>
      </c>
      <c r="G3404" t="s">
        <v>34</v>
      </c>
      <c r="H3404" t="s">
        <v>16</v>
      </c>
      <c r="I3404">
        <v>4384.5</v>
      </c>
      <c r="J3404">
        <v>1753.8</v>
      </c>
      <c r="K3404">
        <v>2630.7</v>
      </c>
    </row>
    <row r="3405" spans="1:11" x14ac:dyDescent="0.25">
      <c r="A3405" t="s">
        <v>3445</v>
      </c>
      <c r="B3405" s="1">
        <v>46118.254282407404</v>
      </c>
      <c r="C3405" s="2" t="s">
        <v>39</v>
      </c>
      <c r="D3405" t="s">
        <v>33</v>
      </c>
      <c r="E3405">
        <v>149758</v>
      </c>
      <c r="F3405" t="s">
        <v>14</v>
      </c>
      <c r="G3405" t="s">
        <v>34</v>
      </c>
      <c r="H3405" t="s">
        <v>16</v>
      </c>
      <c r="I3405">
        <v>0</v>
      </c>
      <c r="J3405">
        <v>0</v>
      </c>
      <c r="K3405">
        <v>0</v>
      </c>
    </row>
    <row r="3406" spans="1:11" x14ac:dyDescent="0.25">
      <c r="A3406" t="s">
        <v>3446</v>
      </c>
      <c r="B3406" s="1">
        <v>46039.31832175926</v>
      </c>
      <c r="C3406" s="2" t="s">
        <v>18</v>
      </c>
      <c r="D3406" t="s">
        <v>19</v>
      </c>
      <c r="E3406">
        <v>11915</v>
      </c>
      <c r="F3406" t="s">
        <v>14</v>
      </c>
      <c r="G3406" t="s">
        <v>20</v>
      </c>
      <c r="H3406" t="s">
        <v>16</v>
      </c>
      <c r="I3406">
        <v>5</v>
      </c>
      <c r="J3406">
        <v>0</v>
      </c>
      <c r="K3406">
        <v>5</v>
      </c>
    </row>
    <row r="3407" spans="1:11" x14ac:dyDescent="0.25">
      <c r="A3407" t="s">
        <v>3447</v>
      </c>
      <c r="B3407" s="1">
        <v>45902.987905092596</v>
      </c>
      <c r="C3407" s="2" t="s">
        <v>18</v>
      </c>
      <c r="D3407" t="s">
        <v>19</v>
      </c>
      <c r="E3407">
        <v>86195</v>
      </c>
      <c r="F3407" t="s">
        <v>14</v>
      </c>
      <c r="G3407" t="s">
        <v>15</v>
      </c>
      <c r="H3407" t="s">
        <v>16</v>
      </c>
      <c r="I3407">
        <v>5</v>
      </c>
      <c r="J3407">
        <v>0</v>
      </c>
      <c r="K3407">
        <v>5</v>
      </c>
    </row>
    <row r="3408" spans="1:11" x14ac:dyDescent="0.25">
      <c r="A3408" t="s">
        <v>3448</v>
      </c>
      <c r="B3408" s="1">
        <v>45805.976180555554</v>
      </c>
      <c r="C3408" s="2" t="s">
        <v>41</v>
      </c>
      <c r="D3408" t="s">
        <v>45</v>
      </c>
      <c r="E3408">
        <v>29794</v>
      </c>
      <c r="F3408" t="s">
        <v>14</v>
      </c>
      <c r="G3408" t="s">
        <v>15</v>
      </c>
      <c r="H3408" t="s">
        <v>71</v>
      </c>
      <c r="I3408">
        <v>297.94</v>
      </c>
      <c r="J3408">
        <v>0</v>
      </c>
      <c r="K3408">
        <v>297.94</v>
      </c>
    </row>
    <row r="3409" spans="1:11" x14ac:dyDescent="0.25">
      <c r="A3409" t="s">
        <v>3449</v>
      </c>
      <c r="B3409" s="1">
        <v>45788.931400462963</v>
      </c>
      <c r="C3409" s="2" t="s">
        <v>26</v>
      </c>
      <c r="D3409" t="s">
        <v>45</v>
      </c>
      <c r="E3409">
        <v>36288</v>
      </c>
      <c r="F3409" t="s">
        <v>14</v>
      </c>
      <c r="G3409" t="s">
        <v>15</v>
      </c>
      <c r="H3409" t="s">
        <v>71</v>
      </c>
      <c r="I3409">
        <v>362.88</v>
      </c>
      <c r="J3409">
        <v>0</v>
      </c>
      <c r="K3409">
        <v>362.88</v>
      </c>
    </row>
    <row r="3410" spans="1:11" x14ac:dyDescent="0.25">
      <c r="A3410" t="s">
        <v>3450</v>
      </c>
      <c r="B3410" s="1">
        <v>45868.723263888889</v>
      </c>
      <c r="C3410" s="2" t="s">
        <v>29</v>
      </c>
      <c r="D3410" t="s">
        <v>23</v>
      </c>
      <c r="E3410">
        <v>1421</v>
      </c>
      <c r="F3410" t="s">
        <v>14</v>
      </c>
      <c r="G3410" t="s">
        <v>84</v>
      </c>
      <c r="H3410" t="s">
        <v>16</v>
      </c>
      <c r="I3410">
        <v>0</v>
      </c>
      <c r="J3410">
        <v>0</v>
      </c>
      <c r="K3410">
        <v>0</v>
      </c>
    </row>
    <row r="3411" spans="1:11" x14ac:dyDescent="0.25">
      <c r="A3411" t="s">
        <v>3451</v>
      </c>
      <c r="B3411" s="1">
        <v>46059.341273148151</v>
      </c>
      <c r="C3411" s="2" t="s">
        <v>32</v>
      </c>
      <c r="D3411" t="s">
        <v>19</v>
      </c>
      <c r="E3411">
        <v>84599</v>
      </c>
      <c r="F3411" t="s">
        <v>14</v>
      </c>
      <c r="G3411" t="s">
        <v>27</v>
      </c>
      <c r="H3411" t="s">
        <v>16</v>
      </c>
      <c r="I3411">
        <v>5</v>
      </c>
      <c r="J3411">
        <v>0</v>
      </c>
      <c r="K3411">
        <v>5</v>
      </c>
    </row>
    <row r="3412" spans="1:11" x14ac:dyDescent="0.25">
      <c r="A3412" t="s">
        <v>3452</v>
      </c>
      <c r="B3412" s="1">
        <v>45996.247407407405</v>
      </c>
      <c r="C3412" s="2" t="s">
        <v>32</v>
      </c>
      <c r="D3412" t="s">
        <v>19</v>
      </c>
      <c r="E3412">
        <v>144500</v>
      </c>
      <c r="F3412" t="s">
        <v>14</v>
      </c>
      <c r="G3412" t="s">
        <v>30</v>
      </c>
      <c r="H3412" t="s">
        <v>16</v>
      </c>
      <c r="I3412">
        <v>5</v>
      </c>
      <c r="J3412">
        <v>0</v>
      </c>
      <c r="K3412">
        <v>5</v>
      </c>
    </row>
    <row r="3413" spans="1:11" x14ac:dyDescent="0.25">
      <c r="A3413" t="s">
        <v>3453</v>
      </c>
      <c r="B3413" s="1">
        <v>45958.618368055555</v>
      </c>
      <c r="C3413" s="2" t="s">
        <v>26</v>
      </c>
      <c r="D3413" t="s">
        <v>23</v>
      </c>
      <c r="E3413">
        <v>3346</v>
      </c>
      <c r="F3413" t="s">
        <v>14</v>
      </c>
      <c r="G3413" t="s">
        <v>34</v>
      </c>
      <c r="H3413" t="s">
        <v>16</v>
      </c>
      <c r="I3413">
        <v>0</v>
      </c>
      <c r="J3413">
        <v>0</v>
      </c>
      <c r="K3413">
        <v>0</v>
      </c>
    </row>
    <row r="3414" spans="1:11" x14ac:dyDescent="0.25">
      <c r="A3414" t="s">
        <v>3454</v>
      </c>
      <c r="B3414" s="1">
        <v>46016.183819444443</v>
      </c>
      <c r="C3414" s="2" t="s">
        <v>39</v>
      </c>
      <c r="D3414" t="s">
        <v>13</v>
      </c>
      <c r="E3414">
        <v>148000</v>
      </c>
      <c r="F3414" t="s">
        <v>14</v>
      </c>
      <c r="G3414" t="s">
        <v>20</v>
      </c>
      <c r="H3414" t="s">
        <v>16</v>
      </c>
      <c r="I3414">
        <v>2738</v>
      </c>
      <c r="J3414">
        <v>1095.2</v>
      </c>
      <c r="K3414">
        <v>1642.8</v>
      </c>
    </row>
    <row r="3415" spans="1:11" x14ac:dyDescent="0.25">
      <c r="A3415" t="s">
        <v>3455</v>
      </c>
      <c r="B3415" s="1">
        <v>46037.940104166664</v>
      </c>
      <c r="C3415" s="2" t="s">
        <v>12</v>
      </c>
      <c r="D3415" t="s">
        <v>33</v>
      </c>
      <c r="E3415">
        <v>140724</v>
      </c>
      <c r="F3415" t="s">
        <v>14</v>
      </c>
      <c r="G3415" t="s">
        <v>30</v>
      </c>
      <c r="H3415" t="s">
        <v>16</v>
      </c>
      <c r="I3415">
        <v>0</v>
      </c>
      <c r="J3415">
        <v>0</v>
      </c>
      <c r="K3415">
        <v>0</v>
      </c>
    </row>
    <row r="3416" spans="1:11" x14ac:dyDescent="0.25">
      <c r="A3416" t="s">
        <v>3456</v>
      </c>
      <c r="B3416" s="1">
        <v>45779.071944444448</v>
      </c>
      <c r="C3416" s="2" t="s">
        <v>41</v>
      </c>
      <c r="D3416" t="s">
        <v>19</v>
      </c>
      <c r="E3416">
        <v>135519</v>
      </c>
      <c r="F3416" t="s">
        <v>14</v>
      </c>
      <c r="G3416" t="s">
        <v>24</v>
      </c>
      <c r="H3416" t="s">
        <v>16</v>
      </c>
      <c r="I3416">
        <v>5</v>
      </c>
      <c r="J3416">
        <v>0</v>
      </c>
      <c r="K3416">
        <v>5</v>
      </c>
    </row>
    <row r="3417" spans="1:11" x14ac:dyDescent="0.25">
      <c r="A3417" t="s">
        <v>3457</v>
      </c>
      <c r="B3417" s="1">
        <v>45903.833680555559</v>
      </c>
      <c r="C3417" s="2" t="s">
        <v>26</v>
      </c>
      <c r="D3417" t="s">
        <v>19</v>
      </c>
      <c r="E3417">
        <v>116506</v>
      </c>
      <c r="F3417" t="s">
        <v>14</v>
      </c>
      <c r="G3417" t="s">
        <v>34</v>
      </c>
      <c r="H3417" t="s">
        <v>16</v>
      </c>
      <c r="I3417">
        <v>5</v>
      </c>
      <c r="J3417">
        <v>0</v>
      </c>
      <c r="K3417">
        <v>5</v>
      </c>
    </row>
    <row r="3418" spans="1:11" x14ac:dyDescent="0.25">
      <c r="A3418" t="s">
        <v>3458</v>
      </c>
      <c r="B3418" s="1">
        <v>45844.652083333334</v>
      </c>
      <c r="C3418" s="2" t="s">
        <v>41</v>
      </c>
      <c r="D3418" t="s">
        <v>19</v>
      </c>
      <c r="E3418">
        <v>22608</v>
      </c>
      <c r="F3418" t="s">
        <v>14</v>
      </c>
      <c r="G3418" t="s">
        <v>58</v>
      </c>
      <c r="H3418" t="s">
        <v>16</v>
      </c>
      <c r="I3418">
        <v>5</v>
      </c>
      <c r="J3418">
        <v>0</v>
      </c>
      <c r="K3418">
        <v>5</v>
      </c>
    </row>
    <row r="3419" spans="1:11" x14ac:dyDescent="0.25">
      <c r="A3419" t="s">
        <v>3459</v>
      </c>
      <c r="B3419" s="1">
        <v>45889.009918981479</v>
      </c>
      <c r="C3419" s="2" t="s">
        <v>39</v>
      </c>
      <c r="D3419" t="s">
        <v>13</v>
      </c>
      <c r="E3419">
        <v>149000</v>
      </c>
      <c r="F3419" t="s">
        <v>14</v>
      </c>
      <c r="G3419" t="s">
        <v>34</v>
      </c>
      <c r="H3419" t="s">
        <v>16</v>
      </c>
      <c r="I3419">
        <v>2756.5</v>
      </c>
      <c r="J3419">
        <v>1102.5999999999999</v>
      </c>
      <c r="K3419">
        <v>1653.9</v>
      </c>
    </row>
    <row r="3420" spans="1:11" x14ac:dyDescent="0.25">
      <c r="A3420" t="s">
        <v>3460</v>
      </c>
      <c r="B3420" s="1">
        <v>45899.554942129631</v>
      </c>
      <c r="C3420" s="2" t="s">
        <v>32</v>
      </c>
      <c r="D3420" t="s">
        <v>23</v>
      </c>
      <c r="E3420">
        <v>4430</v>
      </c>
      <c r="F3420" t="s">
        <v>14</v>
      </c>
      <c r="G3420" t="s">
        <v>30</v>
      </c>
      <c r="H3420" t="s">
        <v>16</v>
      </c>
      <c r="I3420">
        <v>0</v>
      </c>
      <c r="J3420">
        <v>0</v>
      </c>
      <c r="K3420">
        <v>0</v>
      </c>
    </row>
    <row r="3421" spans="1:11" x14ac:dyDescent="0.25">
      <c r="A3421" t="s">
        <v>3461</v>
      </c>
      <c r="B3421" s="1">
        <v>46067.394236111111</v>
      </c>
      <c r="C3421" s="2" t="s">
        <v>41</v>
      </c>
      <c r="D3421" t="s">
        <v>23</v>
      </c>
      <c r="E3421">
        <v>4929</v>
      </c>
      <c r="F3421" t="s">
        <v>50</v>
      </c>
      <c r="G3421" t="s">
        <v>27</v>
      </c>
      <c r="H3421" t="s">
        <v>16</v>
      </c>
      <c r="I3421">
        <v>0</v>
      </c>
      <c r="J3421">
        <v>0</v>
      </c>
      <c r="K3421">
        <v>0</v>
      </c>
    </row>
    <row r="3422" spans="1:11" x14ac:dyDescent="0.25">
      <c r="A3422" t="s">
        <v>3462</v>
      </c>
      <c r="B3422" s="1">
        <v>46132.416134259256</v>
      </c>
      <c r="C3422" s="2" t="s">
        <v>41</v>
      </c>
      <c r="D3422" t="s">
        <v>13</v>
      </c>
      <c r="E3422">
        <v>180500</v>
      </c>
      <c r="F3422" t="s">
        <v>14</v>
      </c>
      <c r="G3422" t="s">
        <v>84</v>
      </c>
      <c r="H3422" t="s">
        <v>16</v>
      </c>
      <c r="I3422">
        <v>3339.25</v>
      </c>
      <c r="J3422">
        <v>1335.7</v>
      </c>
      <c r="K3422">
        <v>2003.55</v>
      </c>
    </row>
    <row r="3423" spans="1:11" x14ac:dyDescent="0.25">
      <c r="A3423" t="s">
        <v>3463</v>
      </c>
      <c r="B3423" s="1">
        <v>45878.723032407404</v>
      </c>
      <c r="C3423" s="2" t="s">
        <v>29</v>
      </c>
      <c r="D3423" t="s">
        <v>19</v>
      </c>
      <c r="E3423">
        <v>13598</v>
      </c>
      <c r="F3423" t="s">
        <v>14</v>
      </c>
      <c r="G3423" t="s">
        <v>30</v>
      </c>
      <c r="H3423" t="s">
        <v>16</v>
      </c>
      <c r="I3423">
        <v>5</v>
      </c>
      <c r="J3423">
        <v>0</v>
      </c>
      <c r="K3423">
        <v>5</v>
      </c>
    </row>
    <row r="3424" spans="1:11" x14ac:dyDescent="0.25">
      <c r="A3424" t="s">
        <v>3464</v>
      </c>
      <c r="B3424" s="1">
        <v>45790.244618055556</v>
      </c>
      <c r="C3424" s="2" t="s">
        <v>39</v>
      </c>
      <c r="D3424" t="s">
        <v>45</v>
      </c>
      <c r="E3424">
        <v>142443</v>
      </c>
      <c r="F3424" t="s">
        <v>14</v>
      </c>
      <c r="G3424" t="s">
        <v>20</v>
      </c>
      <c r="H3424" t="s">
        <v>46</v>
      </c>
      <c r="I3424">
        <v>1424.43</v>
      </c>
      <c r="J3424">
        <v>0</v>
      </c>
      <c r="K3424">
        <v>1424.43</v>
      </c>
    </row>
    <row r="3425" spans="1:11" x14ac:dyDescent="0.25">
      <c r="A3425" t="s">
        <v>3465</v>
      </c>
      <c r="B3425" s="1">
        <v>45922.839317129627</v>
      </c>
      <c r="C3425" s="2" t="s">
        <v>26</v>
      </c>
      <c r="D3425" t="s">
        <v>13</v>
      </c>
      <c r="E3425">
        <v>90000</v>
      </c>
      <c r="F3425" t="s">
        <v>14</v>
      </c>
      <c r="G3425" t="s">
        <v>58</v>
      </c>
      <c r="H3425" t="s">
        <v>16</v>
      </c>
      <c r="I3425">
        <v>1665</v>
      </c>
      <c r="J3425">
        <v>666</v>
      </c>
      <c r="K3425">
        <v>999</v>
      </c>
    </row>
    <row r="3426" spans="1:11" x14ac:dyDescent="0.25">
      <c r="A3426" t="s">
        <v>3466</v>
      </c>
      <c r="B3426" s="1">
        <v>46137.186226851853</v>
      </c>
      <c r="C3426" s="2" t="s">
        <v>41</v>
      </c>
      <c r="D3426" t="s">
        <v>19</v>
      </c>
      <c r="E3426">
        <v>89886</v>
      </c>
      <c r="F3426" t="s">
        <v>14</v>
      </c>
      <c r="G3426" t="s">
        <v>24</v>
      </c>
      <c r="H3426" t="s">
        <v>16</v>
      </c>
      <c r="I3426">
        <v>5</v>
      </c>
      <c r="J3426">
        <v>0</v>
      </c>
      <c r="K3426">
        <v>5</v>
      </c>
    </row>
    <row r="3427" spans="1:11" x14ac:dyDescent="0.25">
      <c r="A3427" t="s">
        <v>3467</v>
      </c>
      <c r="B3427" s="1">
        <v>46016.661574074074</v>
      </c>
      <c r="C3427" s="2" t="s">
        <v>22</v>
      </c>
      <c r="D3427" t="s">
        <v>23</v>
      </c>
      <c r="E3427">
        <v>4657</v>
      </c>
      <c r="F3427" t="s">
        <v>14</v>
      </c>
      <c r="G3427" t="s">
        <v>15</v>
      </c>
      <c r="H3427" t="s">
        <v>16</v>
      </c>
      <c r="I3427">
        <v>0</v>
      </c>
      <c r="J3427">
        <v>0</v>
      </c>
      <c r="K3427">
        <v>0</v>
      </c>
    </row>
    <row r="3428" spans="1:11" x14ac:dyDescent="0.25">
      <c r="A3428" t="s">
        <v>3468</v>
      </c>
      <c r="B3428" s="1">
        <v>45782.692511574074</v>
      </c>
      <c r="C3428" s="2" t="s">
        <v>18</v>
      </c>
      <c r="D3428" t="s">
        <v>45</v>
      </c>
      <c r="E3428">
        <v>44835</v>
      </c>
      <c r="F3428" t="s">
        <v>14</v>
      </c>
      <c r="G3428" t="s">
        <v>24</v>
      </c>
      <c r="H3428" t="s">
        <v>71</v>
      </c>
      <c r="I3428">
        <v>448.35</v>
      </c>
      <c r="J3428">
        <v>0</v>
      </c>
      <c r="K3428">
        <v>448.35</v>
      </c>
    </row>
    <row r="3429" spans="1:11" x14ac:dyDescent="0.25">
      <c r="A3429" t="s">
        <v>3469</v>
      </c>
      <c r="B3429" s="1">
        <v>46094.53</v>
      </c>
      <c r="C3429" s="2" t="s">
        <v>12</v>
      </c>
      <c r="D3429" t="s">
        <v>23</v>
      </c>
      <c r="E3429">
        <v>4436</v>
      </c>
      <c r="F3429" t="s">
        <v>14</v>
      </c>
      <c r="G3429" t="s">
        <v>84</v>
      </c>
      <c r="H3429" t="s">
        <v>16</v>
      </c>
      <c r="I3429">
        <v>0</v>
      </c>
      <c r="J3429">
        <v>0</v>
      </c>
      <c r="K3429">
        <v>0</v>
      </c>
    </row>
    <row r="3430" spans="1:11" x14ac:dyDescent="0.25">
      <c r="A3430" t="s">
        <v>3470</v>
      </c>
      <c r="B3430" s="1">
        <v>46033.241909722223</v>
      </c>
      <c r="C3430" s="2" t="s">
        <v>29</v>
      </c>
      <c r="D3430" t="s">
        <v>23</v>
      </c>
      <c r="E3430">
        <v>1147</v>
      </c>
      <c r="F3430" t="s">
        <v>14</v>
      </c>
      <c r="G3430" t="s">
        <v>58</v>
      </c>
      <c r="H3430" t="s">
        <v>16</v>
      </c>
      <c r="I3430">
        <v>0</v>
      </c>
      <c r="J3430">
        <v>0</v>
      </c>
      <c r="K3430">
        <v>0</v>
      </c>
    </row>
    <row r="3431" spans="1:11" x14ac:dyDescent="0.25">
      <c r="A3431" t="s">
        <v>3471</v>
      </c>
      <c r="B3431" s="1">
        <v>45968.30878472222</v>
      </c>
      <c r="C3431" s="2" t="s">
        <v>18</v>
      </c>
      <c r="D3431" t="s">
        <v>23</v>
      </c>
      <c r="E3431">
        <v>1327</v>
      </c>
      <c r="F3431" t="s">
        <v>14</v>
      </c>
      <c r="G3431" t="s">
        <v>51</v>
      </c>
      <c r="H3431" t="s">
        <v>16</v>
      </c>
      <c r="I3431">
        <v>0</v>
      </c>
      <c r="J3431">
        <v>0</v>
      </c>
      <c r="K3431">
        <v>0</v>
      </c>
    </row>
    <row r="3432" spans="1:11" x14ac:dyDescent="0.25">
      <c r="A3432" t="s">
        <v>3472</v>
      </c>
      <c r="B3432" s="1">
        <v>46033.901041666664</v>
      </c>
      <c r="C3432" s="2" t="s">
        <v>32</v>
      </c>
      <c r="D3432" t="s">
        <v>13</v>
      </c>
      <c r="E3432">
        <v>116000</v>
      </c>
      <c r="F3432" t="s">
        <v>50</v>
      </c>
      <c r="G3432" t="s">
        <v>30</v>
      </c>
      <c r="H3432" t="s">
        <v>16</v>
      </c>
      <c r="I3432">
        <v>2146</v>
      </c>
      <c r="J3432">
        <v>858.4</v>
      </c>
      <c r="K3432">
        <v>1287.5999999999999</v>
      </c>
    </row>
    <row r="3433" spans="1:11" x14ac:dyDescent="0.25">
      <c r="A3433" t="s">
        <v>3473</v>
      </c>
      <c r="B3433" s="1">
        <v>45860.515370370369</v>
      </c>
      <c r="C3433" s="2" t="s">
        <v>18</v>
      </c>
      <c r="D3433" t="s">
        <v>13</v>
      </c>
      <c r="E3433">
        <v>14000</v>
      </c>
      <c r="F3433" t="s">
        <v>14</v>
      </c>
      <c r="G3433" t="s">
        <v>84</v>
      </c>
      <c r="H3433" t="s">
        <v>16</v>
      </c>
      <c r="I3433">
        <v>259</v>
      </c>
      <c r="J3433">
        <v>103.6</v>
      </c>
      <c r="K3433">
        <v>155.4</v>
      </c>
    </row>
    <row r="3434" spans="1:11" x14ac:dyDescent="0.25">
      <c r="A3434" t="s">
        <v>3474</v>
      </c>
      <c r="B3434" s="1">
        <v>45926.222870370373</v>
      </c>
      <c r="C3434" s="2" t="s">
        <v>32</v>
      </c>
      <c r="D3434" t="s">
        <v>33</v>
      </c>
      <c r="E3434">
        <v>64168</v>
      </c>
      <c r="F3434" t="s">
        <v>50</v>
      </c>
      <c r="G3434" t="s">
        <v>58</v>
      </c>
      <c r="H3434" t="s">
        <v>16</v>
      </c>
      <c r="I3434">
        <v>0</v>
      </c>
      <c r="J3434">
        <v>0</v>
      </c>
      <c r="K3434">
        <v>0</v>
      </c>
    </row>
    <row r="3435" spans="1:11" x14ac:dyDescent="0.25">
      <c r="A3435" t="s">
        <v>3475</v>
      </c>
      <c r="B3435" s="1">
        <v>46069.196689814817</v>
      </c>
      <c r="C3435" s="2" t="s">
        <v>39</v>
      </c>
      <c r="D3435" t="s">
        <v>23</v>
      </c>
      <c r="E3435">
        <v>3637</v>
      </c>
      <c r="F3435" t="s">
        <v>14</v>
      </c>
      <c r="G3435" t="s">
        <v>30</v>
      </c>
      <c r="H3435" t="s">
        <v>16</v>
      </c>
      <c r="I3435">
        <v>0</v>
      </c>
      <c r="J3435">
        <v>0</v>
      </c>
      <c r="K3435">
        <v>0</v>
      </c>
    </row>
    <row r="3436" spans="1:11" x14ac:dyDescent="0.25">
      <c r="A3436" t="s">
        <v>3476</v>
      </c>
      <c r="B3436" s="1">
        <v>45894.139837962961</v>
      </c>
      <c r="C3436" s="2" t="s">
        <v>32</v>
      </c>
      <c r="D3436" t="s">
        <v>23</v>
      </c>
      <c r="E3436">
        <v>4092</v>
      </c>
      <c r="F3436" t="s">
        <v>14</v>
      </c>
      <c r="G3436" t="s">
        <v>27</v>
      </c>
      <c r="H3436" t="s">
        <v>16</v>
      </c>
      <c r="I3436">
        <v>0</v>
      </c>
      <c r="J3436">
        <v>0</v>
      </c>
      <c r="K3436">
        <v>0</v>
      </c>
    </row>
    <row r="3437" spans="1:11" x14ac:dyDescent="0.25">
      <c r="A3437" t="s">
        <v>3477</v>
      </c>
      <c r="B3437" s="1">
        <v>45888.37462962963</v>
      </c>
      <c r="C3437" s="2" t="s">
        <v>39</v>
      </c>
      <c r="D3437" t="s">
        <v>33</v>
      </c>
      <c r="E3437">
        <v>119551</v>
      </c>
      <c r="F3437" t="s">
        <v>50</v>
      </c>
      <c r="G3437" t="s">
        <v>34</v>
      </c>
      <c r="H3437" t="s">
        <v>16</v>
      </c>
      <c r="I3437">
        <v>0</v>
      </c>
      <c r="J3437">
        <v>0</v>
      </c>
      <c r="K3437">
        <v>0</v>
      </c>
    </row>
    <row r="3438" spans="1:11" x14ac:dyDescent="0.25">
      <c r="A3438" t="s">
        <v>3478</v>
      </c>
      <c r="B3438" s="1">
        <v>46115.498726851853</v>
      </c>
      <c r="C3438" s="2" t="s">
        <v>18</v>
      </c>
      <c r="D3438" t="s">
        <v>33</v>
      </c>
      <c r="E3438">
        <v>75490</v>
      </c>
      <c r="F3438" t="s">
        <v>14</v>
      </c>
      <c r="G3438" t="s">
        <v>58</v>
      </c>
      <c r="H3438" t="s">
        <v>16</v>
      </c>
      <c r="I3438">
        <v>0</v>
      </c>
      <c r="J3438">
        <v>0</v>
      </c>
      <c r="K3438">
        <v>0</v>
      </c>
    </row>
    <row r="3439" spans="1:11" x14ac:dyDescent="0.25">
      <c r="A3439" t="s">
        <v>3479</v>
      </c>
      <c r="B3439" s="1">
        <v>45778.152372685188</v>
      </c>
      <c r="C3439" s="2" t="s">
        <v>18</v>
      </c>
      <c r="D3439" t="s">
        <v>23</v>
      </c>
      <c r="E3439">
        <v>2313</v>
      </c>
      <c r="F3439" t="s">
        <v>14</v>
      </c>
      <c r="G3439" t="s">
        <v>51</v>
      </c>
      <c r="H3439" t="s">
        <v>16</v>
      </c>
      <c r="I3439">
        <v>0</v>
      </c>
      <c r="J3439">
        <v>0</v>
      </c>
      <c r="K3439">
        <v>0</v>
      </c>
    </row>
    <row r="3440" spans="1:11" x14ac:dyDescent="0.25">
      <c r="A3440" t="s">
        <v>3480</v>
      </c>
      <c r="B3440" s="1">
        <v>45957.093252314815</v>
      </c>
      <c r="C3440" s="2" t="s">
        <v>12</v>
      </c>
      <c r="D3440" t="s">
        <v>13</v>
      </c>
      <c r="E3440">
        <v>184000</v>
      </c>
      <c r="F3440" t="s">
        <v>99</v>
      </c>
      <c r="G3440" t="s">
        <v>84</v>
      </c>
      <c r="H3440" t="s">
        <v>16</v>
      </c>
      <c r="I3440">
        <v>3404</v>
      </c>
      <c r="J3440">
        <v>1361.6</v>
      </c>
      <c r="K3440">
        <v>2042.4</v>
      </c>
    </row>
    <row r="3441" spans="1:11" x14ac:dyDescent="0.25">
      <c r="A3441" t="s">
        <v>3481</v>
      </c>
      <c r="B3441" s="1">
        <v>45862.390532407408</v>
      </c>
      <c r="C3441" s="2" t="s">
        <v>32</v>
      </c>
      <c r="D3441" t="s">
        <v>45</v>
      </c>
      <c r="E3441">
        <v>65948</v>
      </c>
      <c r="F3441" t="s">
        <v>50</v>
      </c>
      <c r="G3441" t="s">
        <v>27</v>
      </c>
      <c r="H3441" t="s">
        <v>71</v>
      </c>
      <c r="I3441">
        <v>659.48</v>
      </c>
      <c r="J3441">
        <v>0</v>
      </c>
      <c r="K3441">
        <v>659.48</v>
      </c>
    </row>
    <row r="3442" spans="1:11" x14ac:dyDescent="0.25">
      <c r="A3442" t="s">
        <v>3482</v>
      </c>
      <c r="B3442" s="1">
        <v>46022.819710648146</v>
      </c>
      <c r="C3442" s="2" t="s">
        <v>18</v>
      </c>
      <c r="D3442" t="s">
        <v>45</v>
      </c>
      <c r="E3442">
        <v>52864</v>
      </c>
      <c r="F3442" t="s">
        <v>14</v>
      </c>
      <c r="G3442" t="s">
        <v>15</v>
      </c>
      <c r="H3442" t="s">
        <v>71</v>
      </c>
      <c r="I3442">
        <v>528.64</v>
      </c>
      <c r="J3442">
        <v>0</v>
      </c>
      <c r="K3442">
        <v>528.64</v>
      </c>
    </row>
    <row r="3443" spans="1:11" x14ac:dyDescent="0.25">
      <c r="A3443" t="s">
        <v>3483</v>
      </c>
      <c r="B3443" s="1">
        <v>45984.124745370369</v>
      </c>
      <c r="C3443" s="2" t="s">
        <v>39</v>
      </c>
      <c r="D3443" t="s">
        <v>19</v>
      </c>
      <c r="E3443">
        <v>109475</v>
      </c>
      <c r="F3443" t="s">
        <v>50</v>
      </c>
      <c r="G3443" t="s">
        <v>84</v>
      </c>
      <c r="H3443" t="s">
        <v>16</v>
      </c>
      <c r="I3443">
        <v>5</v>
      </c>
      <c r="J3443">
        <v>0</v>
      </c>
      <c r="K3443">
        <v>5</v>
      </c>
    </row>
    <row r="3444" spans="1:11" x14ac:dyDescent="0.25">
      <c r="A3444" t="s">
        <v>3484</v>
      </c>
      <c r="B3444" s="1">
        <v>46020.934490740743</v>
      </c>
      <c r="C3444" s="2" t="s">
        <v>22</v>
      </c>
      <c r="D3444" t="s">
        <v>23</v>
      </c>
      <c r="E3444">
        <v>4781</v>
      </c>
      <c r="F3444" t="s">
        <v>14</v>
      </c>
      <c r="G3444" t="s">
        <v>58</v>
      </c>
      <c r="H3444" t="s">
        <v>16</v>
      </c>
      <c r="I3444">
        <v>0</v>
      </c>
      <c r="J3444">
        <v>0</v>
      </c>
      <c r="K3444">
        <v>0</v>
      </c>
    </row>
    <row r="3445" spans="1:11" x14ac:dyDescent="0.25">
      <c r="A3445" t="s">
        <v>3485</v>
      </c>
      <c r="B3445" s="1">
        <v>45906.337673611109</v>
      </c>
      <c r="C3445" s="2" t="s">
        <v>39</v>
      </c>
      <c r="D3445" t="s">
        <v>13</v>
      </c>
      <c r="E3445">
        <v>90500</v>
      </c>
      <c r="F3445" t="s">
        <v>14</v>
      </c>
      <c r="G3445" t="s">
        <v>20</v>
      </c>
      <c r="H3445" t="s">
        <v>16</v>
      </c>
      <c r="I3445">
        <v>1674.25</v>
      </c>
      <c r="J3445">
        <v>669.7</v>
      </c>
      <c r="K3445">
        <v>1004.55</v>
      </c>
    </row>
    <row r="3446" spans="1:11" x14ac:dyDescent="0.25">
      <c r="A3446" t="s">
        <v>3486</v>
      </c>
      <c r="B3446" s="1">
        <v>46022.843182870369</v>
      </c>
      <c r="C3446" s="2" t="s">
        <v>41</v>
      </c>
      <c r="D3446" t="s">
        <v>33</v>
      </c>
      <c r="E3446">
        <v>131044</v>
      </c>
      <c r="F3446" t="s">
        <v>14</v>
      </c>
      <c r="G3446" t="s">
        <v>27</v>
      </c>
      <c r="H3446" t="s">
        <v>16</v>
      </c>
      <c r="I3446">
        <v>0</v>
      </c>
      <c r="J3446">
        <v>0</v>
      </c>
      <c r="K3446">
        <v>0</v>
      </c>
    </row>
    <row r="3447" spans="1:11" x14ac:dyDescent="0.25">
      <c r="A3447" t="s">
        <v>3487</v>
      </c>
      <c r="B3447" s="1">
        <v>45868.55164351852</v>
      </c>
      <c r="C3447" s="2" t="s">
        <v>26</v>
      </c>
      <c r="D3447" t="s">
        <v>45</v>
      </c>
      <c r="E3447">
        <v>57475</v>
      </c>
      <c r="F3447" t="s">
        <v>14</v>
      </c>
      <c r="G3447" t="s">
        <v>27</v>
      </c>
      <c r="H3447" t="s">
        <v>59</v>
      </c>
      <c r="I3447">
        <v>574.75</v>
      </c>
      <c r="J3447">
        <v>0</v>
      </c>
      <c r="K3447">
        <v>574.75</v>
      </c>
    </row>
    <row r="3448" spans="1:11" x14ac:dyDescent="0.25">
      <c r="A3448" t="s">
        <v>3488</v>
      </c>
      <c r="B3448" s="1">
        <v>46024.471215277779</v>
      </c>
      <c r="C3448" s="2" t="s">
        <v>41</v>
      </c>
      <c r="D3448" t="s">
        <v>33</v>
      </c>
      <c r="E3448">
        <v>70412</v>
      </c>
      <c r="F3448" t="s">
        <v>14</v>
      </c>
      <c r="G3448" t="s">
        <v>34</v>
      </c>
      <c r="H3448" t="s">
        <v>16</v>
      </c>
      <c r="I3448">
        <v>0</v>
      </c>
      <c r="J3448">
        <v>0</v>
      </c>
      <c r="K3448">
        <v>0</v>
      </c>
    </row>
    <row r="3449" spans="1:11" x14ac:dyDescent="0.25">
      <c r="A3449" t="s">
        <v>3489</v>
      </c>
      <c r="B3449" s="1">
        <v>45856.761516203704</v>
      </c>
      <c r="C3449" s="2" t="s">
        <v>41</v>
      </c>
      <c r="D3449" t="s">
        <v>33</v>
      </c>
      <c r="E3449">
        <v>6864</v>
      </c>
      <c r="F3449" t="s">
        <v>14</v>
      </c>
      <c r="G3449" t="s">
        <v>20</v>
      </c>
      <c r="H3449" t="s">
        <v>16</v>
      </c>
      <c r="I3449">
        <v>0</v>
      </c>
      <c r="J3449">
        <v>0</v>
      </c>
      <c r="K3449">
        <v>0</v>
      </c>
    </row>
    <row r="3450" spans="1:11" x14ac:dyDescent="0.25">
      <c r="A3450" t="s">
        <v>3490</v>
      </c>
      <c r="B3450" s="1">
        <v>46106.755752314813</v>
      </c>
      <c r="C3450" s="2" t="s">
        <v>26</v>
      </c>
      <c r="D3450" t="s">
        <v>23</v>
      </c>
      <c r="E3450">
        <v>3947</v>
      </c>
      <c r="F3450" t="s">
        <v>14</v>
      </c>
      <c r="G3450" t="s">
        <v>24</v>
      </c>
      <c r="H3450" t="s">
        <v>16</v>
      </c>
      <c r="I3450">
        <v>0</v>
      </c>
      <c r="J3450">
        <v>0</v>
      </c>
      <c r="K3450">
        <v>0</v>
      </c>
    </row>
    <row r="3451" spans="1:11" x14ac:dyDescent="0.25">
      <c r="A3451" t="s">
        <v>3491</v>
      </c>
      <c r="B3451" s="1">
        <v>45993.082488425927</v>
      </c>
      <c r="C3451" s="2" t="s">
        <v>29</v>
      </c>
      <c r="D3451" t="s">
        <v>23</v>
      </c>
      <c r="E3451">
        <v>1054</v>
      </c>
      <c r="F3451" t="s">
        <v>50</v>
      </c>
      <c r="G3451" t="s">
        <v>58</v>
      </c>
      <c r="H3451" t="s">
        <v>16</v>
      </c>
      <c r="I3451">
        <v>0</v>
      </c>
      <c r="J3451">
        <v>0</v>
      </c>
      <c r="K3451">
        <v>0</v>
      </c>
    </row>
    <row r="3452" spans="1:11" x14ac:dyDescent="0.25">
      <c r="A3452" t="s">
        <v>3492</v>
      </c>
      <c r="B3452" s="1">
        <v>46105.37059027778</v>
      </c>
      <c r="C3452" s="2" t="s">
        <v>39</v>
      </c>
      <c r="D3452" t="s">
        <v>45</v>
      </c>
      <c r="E3452">
        <v>104740</v>
      </c>
      <c r="F3452" t="s">
        <v>14</v>
      </c>
      <c r="G3452" t="s">
        <v>84</v>
      </c>
      <c r="H3452" t="s">
        <v>178</v>
      </c>
      <c r="I3452">
        <v>1047.4000000000001</v>
      </c>
      <c r="J3452">
        <v>0</v>
      </c>
      <c r="K3452">
        <v>1047.4000000000001</v>
      </c>
    </row>
    <row r="3453" spans="1:11" x14ac:dyDescent="0.25">
      <c r="A3453" t="s">
        <v>3493</v>
      </c>
      <c r="B3453" s="1">
        <v>46054.489432870374</v>
      </c>
      <c r="C3453" s="2" t="s">
        <v>26</v>
      </c>
      <c r="D3453" t="s">
        <v>19</v>
      </c>
      <c r="E3453">
        <v>137004</v>
      </c>
      <c r="F3453" t="s">
        <v>14</v>
      </c>
      <c r="G3453" t="s">
        <v>34</v>
      </c>
      <c r="H3453" t="s">
        <v>16</v>
      </c>
      <c r="I3453">
        <v>5</v>
      </c>
      <c r="J3453">
        <v>0</v>
      </c>
      <c r="K3453">
        <v>5</v>
      </c>
    </row>
    <row r="3454" spans="1:11" x14ac:dyDescent="0.25">
      <c r="A3454" t="s">
        <v>3494</v>
      </c>
      <c r="B3454" s="1">
        <v>46050.485625000001</v>
      </c>
      <c r="C3454" s="2" t="s">
        <v>18</v>
      </c>
      <c r="D3454" t="s">
        <v>13</v>
      </c>
      <c r="E3454">
        <v>6000</v>
      </c>
      <c r="F3454" t="s">
        <v>14</v>
      </c>
      <c r="G3454" t="s">
        <v>51</v>
      </c>
      <c r="H3454" t="s">
        <v>16</v>
      </c>
      <c r="I3454">
        <v>111</v>
      </c>
      <c r="J3454">
        <v>44.4</v>
      </c>
      <c r="K3454">
        <v>66.599999999999994</v>
      </c>
    </row>
    <row r="3455" spans="1:11" x14ac:dyDescent="0.25">
      <c r="A3455" t="s">
        <v>3495</v>
      </c>
      <c r="B3455" s="1">
        <v>45853.409201388888</v>
      </c>
      <c r="C3455" s="2" t="s">
        <v>26</v>
      </c>
      <c r="D3455" t="s">
        <v>45</v>
      </c>
      <c r="E3455">
        <v>86158</v>
      </c>
      <c r="F3455" t="s">
        <v>14</v>
      </c>
      <c r="G3455" t="s">
        <v>15</v>
      </c>
      <c r="H3455" t="s">
        <v>178</v>
      </c>
      <c r="I3455">
        <v>861.58</v>
      </c>
      <c r="J3455">
        <v>0</v>
      </c>
      <c r="K3455">
        <v>861.58</v>
      </c>
    </row>
    <row r="3456" spans="1:11" x14ac:dyDescent="0.25">
      <c r="A3456" t="s">
        <v>3496</v>
      </c>
      <c r="B3456" s="1">
        <v>46029.539027777777</v>
      </c>
      <c r="C3456" s="2" t="s">
        <v>29</v>
      </c>
      <c r="D3456" t="s">
        <v>13</v>
      </c>
      <c r="E3456">
        <v>63500</v>
      </c>
      <c r="F3456" t="s">
        <v>14</v>
      </c>
      <c r="G3456" t="s">
        <v>20</v>
      </c>
      <c r="H3456" t="s">
        <v>16</v>
      </c>
      <c r="I3456">
        <v>1174.75</v>
      </c>
      <c r="J3456">
        <v>469.9</v>
      </c>
      <c r="K3456">
        <v>704.85</v>
      </c>
    </row>
    <row r="3457" spans="1:11" x14ac:dyDescent="0.25">
      <c r="A3457" t="s">
        <v>3497</v>
      </c>
      <c r="B3457" s="1">
        <v>46072.280821759261</v>
      </c>
      <c r="C3457" s="2" t="s">
        <v>22</v>
      </c>
      <c r="D3457" t="s">
        <v>13</v>
      </c>
      <c r="E3457">
        <v>240500</v>
      </c>
      <c r="F3457" t="s">
        <v>14</v>
      </c>
      <c r="G3457" t="s">
        <v>27</v>
      </c>
      <c r="H3457" t="s">
        <v>16</v>
      </c>
      <c r="I3457">
        <v>4449.25</v>
      </c>
      <c r="J3457">
        <v>1779.7</v>
      </c>
      <c r="K3457">
        <v>2669.55</v>
      </c>
    </row>
    <row r="3458" spans="1:11" x14ac:dyDescent="0.25">
      <c r="A3458" t="s">
        <v>3498</v>
      </c>
      <c r="B3458" s="1">
        <v>46072.932627314818</v>
      </c>
      <c r="C3458" s="2" t="s">
        <v>41</v>
      </c>
      <c r="D3458" t="s">
        <v>19</v>
      </c>
      <c r="E3458">
        <v>127292</v>
      </c>
      <c r="F3458" t="s">
        <v>14</v>
      </c>
      <c r="G3458" t="s">
        <v>51</v>
      </c>
      <c r="H3458" t="s">
        <v>16</v>
      </c>
      <c r="I3458">
        <v>5</v>
      </c>
      <c r="J3458">
        <v>0</v>
      </c>
      <c r="K3458">
        <v>5</v>
      </c>
    </row>
    <row r="3459" spans="1:11" x14ac:dyDescent="0.25">
      <c r="A3459" t="s">
        <v>3499</v>
      </c>
      <c r="B3459" s="1">
        <v>45860.100347222222</v>
      </c>
      <c r="C3459" s="2" t="s">
        <v>39</v>
      </c>
      <c r="D3459" t="s">
        <v>45</v>
      </c>
      <c r="E3459">
        <v>5095</v>
      </c>
      <c r="F3459" t="s">
        <v>14</v>
      </c>
      <c r="G3459" t="s">
        <v>34</v>
      </c>
      <c r="H3459" t="s">
        <v>59</v>
      </c>
      <c r="I3459">
        <v>50.95</v>
      </c>
      <c r="J3459">
        <v>0</v>
      </c>
      <c r="K3459">
        <v>50.95</v>
      </c>
    </row>
    <row r="3460" spans="1:11" x14ac:dyDescent="0.25">
      <c r="A3460" t="s">
        <v>3500</v>
      </c>
      <c r="B3460" s="1">
        <v>45962.154479166667</v>
      </c>
      <c r="C3460" s="2" t="s">
        <v>22</v>
      </c>
      <c r="D3460" t="s">
        <v>33</v>
      </c>
      <c r="E3460">
        <v>22262</v>
      </c>
      <c r="F3460" t="s">
        <v>14</v>
      </c>
      <c r="G3460" t="s">
        <v>58</v>
      </c>
      <c r="H3460" t="s">
        <v>16</v>
      </c>
      <c r="I3460">
        <v>0</v>
      </c>
      <c r="J3460">
        <v>0</v>
      </c>
      <c r="K3460">
        <v>0</v>
      </c>
    </row>
    <row r="3461" spans="1:11" x14ac:dyDescent="0.25">
      <c r="A3461" t="s">
        <v>3501</v>
      </c>
      <c r="B3461" s="1">
        <v>45913.113067129627</v>
      </c>
      <c r="C3461" s="2" t="s">
        <v>12</v>
      </c>
      <c r="D3461" t="s">
        <v>13</v>
      </c>
      <c r="E3461">
        <v>134500</v>
      </c>
      <c r="F3461" t="s">
        <v>14</v>
      </c>
      <c r="G3461" t="s">
        <v>84</v>
      </c>
      <c r="H3461" t="s">
        <v>16</v>
      </c>
      <c r="I3461">
        <v>2488.25</v>
      </c>
      <c r="J3461">
        <v>995.3</v>
      </c>
      <c r="K3461">
        <v>1492.95</v>
      </c>
    </row>
    <row r="3462" spans="1:11" x14ac:dyDescent="0.25">
      <c r="A3462" t="s">
        <v>3502</v>
      </c>
      <c r="B3462" s="1">
        <v>46124.864675925928</v>
      </c>
      <c r="C3462" s="2" t="s">
        <v>29</v>
      </c>
      <c r="D3462" t="s">
        <v>33</v>
      </c>
      <c r="E3462">
        <v>97599</v>
      </c>
      <c r="F3462" t="s">
        <v>14</v>
      </c>
      <c r="G3462" t="s">
        <v>51</v>
      </c>
      <c r="H3462" t="s">
        <v>16</v>
      </c>
      <c r="I3462">
        <v>0</v>
      </c>
      <c r="J3462">
        <v>0</v>
      </c>
      <c r="K3462">
        <v>0</v>
      </c>
    </row>
    <row r="3463" spans="1:11" x14ac:dyDescent="0.25">
      <c r="A3463" t="s">
        <v>3503</v>
      </c>
      <c r="B3463" s="1">
        <v>45967.247812499998</v>
      </c>
      <c r="C3463" s="2" t="s">
        <v>22</v>
      </c>
      <c r="D3463" t="s">
        <v>33</v>
      </c>
      <c r="E3463">
        <v>103066</v>
      </c>
      <c r="F3463" t="s">
        <v>50</v>
      </c>
      <c r="G3463" t="s">
        <v>51</v>
      </c>
      <c r="H3463" t="s">
        <v>16</v>
      </c>
      <c r="I3463">
        <v>0</v>
      </c>
      <c r="J3463">
        <v>0</v>
      </c>
      <c r="K3463">
        <v>0</v>
      </c>
    </row>
    <row r="3464" spans="1:11" x14ac:dyDescent="0.25">
      <c r="A3464" t="s">
        <v>3504</v>
      </c>
      <c r="B3464" s="1">
        <v>46034.102037037039</v>
      </c>
      <c r="C3464" s="2" t="s">
        <v>22</v>
      </c>
      <c r="D3464" t="s">
        <v>19</v>
      </c>
      <c r="E3464">
        <v>86049</v>
      </c>
      <c r="F3464" t="s">
        <v>99</v>
      </c>
      <c r="G3464" t="s">
        <v>20</v>
      </c>
      <c r="H3464" t="s">
        <v>16</v>
      </c>
      <c r="I3464">
        <v>5</v>
      </c>
      <c r="J3464">
        <v>0</v>
      </c>
      <c r="K3464">
        <v>5</v>
      </c>
    </row>
    <row r="3465" spans="1:11" x14ac:dyDescent="0.25">
      <c r="A3465" t="s">
        <v>3505</v>
      </c>
      <c r="B3465" s="1">
        <v>46010.848935185182</v>
      </c>
      <c r="C3465" s="2" t="s">
        <v>32</v>
      </c>
      <c r="D3465" t="s">
        <v>23</v>
      </c>
      <c r="E3465">
        <v>437</v>
      </c>
      <c r="F3465" t="s">
        <v>14</v>
      </c>
      <c r="G3465" t="s">
        <v>30</v>
      </c>
      <c r="H3465" t="s">
        <v>16</v>
      </c>
      <c r="I3465">
        <v>0</v>
      </c>
      <c r="J3465">
        <v>0</v>
      </c>
      <c r="K3465">
        <v>0</v>
      </c>
    </row>
    <row r="3466" spans="1:11" x14ac:dyDescent="0.25">
      <c r="A3466" t="s">
        <v>3506</v>
      </c>
      <c r="B3466" s="1">
        <v>45889.821250000001</v>
      </c>
      <c r="C3466" s="2" t="s">
        <v>32</v>
      </c>
      <c r="D3466" t="s">
        <v>13</v>
      </c>
      <c r="E3466">
        <v>76000</v>
      </c>
      <c r="F3466" t="s">
        <v>14</v>
      </c>
      <c r="G3466" t="s">
        <v>30</v>
      </c>
      <c r="H3466" t="s">
        <v>16</v>
      </c>
      <c r="I3466">
        <v>1406</v>
      </c>
      <c r="J3466">
        <v>562.4</v>
      </c>
      <c r="K3466">
        <v>843.6</v>
      </c>
    </row>
    <row r="3467" spans="1:11" x14ac:dyDescent="0.25">
      <c r="A3467" t="s">
        <v>3507</v>
      </c>
      <c r="B3467" s="1">
        <v>45932.911863425928</v>
      </c>
      <c r="C3467" s="2" t="s">
        <v>29</v>
      </c>
      <c r="D3467" t="s">
        <v>23</v>
      </c>
      <c r="E3467">
        <v>4372</v>
      </c>
      <c r="F3467" t="s">
        <v>50</v>
      </c>
      <c r="G3467" t="s">
        <v>30</v>
      </c>
      <c r="H3467" t="s">
        <v>16</v>
      </c>
      <c r="I3467">
        <v>0</v>
      </c>
      <c r="J3467">
        <v>0</v>
      </c>
      <c r="K3467">
        <v>0</v>
      </c>
    </row>
    <row r="3468" spans="1:11" x14ac:dyDescent="0.25">
      <c r="A3468" t="s">
        <v>3508</v>
      </c>
      <c r="B3468" s="1">
        <v>46111.741944444446</v>
      </c>
      <c r="C3468" s="2" t="s">
        <v>22</v>
      </c>
      <c r="D3468" t="s">
        <v>23</v>
      </c>
      <c r="E3468">
        <v>3456</v>
      </c>
      <c r="F3468" t="s">
        <v>50</v>
      </c>
      <c r="G3468" t="s">
        <v>15</v>
      </c>
      <c r="H3468" t="s">
        <v>16</v>
      </c>
      <c r="I3468">
        <v>0</v>
      </c>
      <c r="J3468">
        <v>0</v>
      </c>
      <c r="K3468">
        <v>0</v>
      </c>
    </row>
    <row r="3469" spans="1:11" x14ac:dyDescent="0.25">
      <c r="A3469" t="s">
        <v>3509</v>
      </c>
      <c r="B3469" s="1">
        <v>46049.141770833332</v>
      </c>
      <c r="C3469" s="2" t="s">
        <v>39</v>
      </c>
      <c r="D3469" t="s">
        <v>19</v>
      </c>
      <c r="E3469">
        <v>75719</v>
      </c>
      <c r="F3469" t="s">
        <v>50</v>
      </c>
      <c r="G3469" t="s">
        <v>34</v>
      </c>
      <c r="H3469" t="s">
        <v>16</v>
      </c>
      <c r="I3469">
        <v>5</v>
      </c>
      <c r="J3469">
        <v>0</v>
      </c>
      <c r="K3469">
        <v>5</v>
      </c>
    </row>
    <row r="3470" spans="1:11" x14ac:dyDescent="0.25">
      <c r="A3470" t="s">
        <v>3510</v>
      </c>
      <c r="B3470" s="1">
        <v>45778.414155092592</v>
      </c>
      <c r="C3470" s="2" t="s">
        <v>26</v>
      </c>
      <c r="D3470" t="s">
        <v>13</v>
      </c>
      <c r="E3470">
        <v>175000</v>
      </c>
      <c r="F3470" t="s">
        <v>14</v>
      </c>
      <c r="G3470" t="s">
        <v>84</v>
      </c>
      <c r="H3470" t="s">
        <v>16</v>
      </c>
      <c r="I3470">
        <v>3237.5</v>
      </c>
      <c r="J3470">
        <v>1295</v>
      </c>
      <c r="K3470">
        <v>1942.5</v>
      </c>
    </row>
    <row r="3471" spans="1:11" x14ac:dyDescent="0.25">
      <c r="A3471" t="s">
        <v>3511</v>
      </c>
      <c r="B3471" s="1">
        <v>45868.048472222225</v>
      </c>
      <c r="C3471" s="2" t="s">
        <v>39</v>
      </c>
      <c r="D3471" t="s">
        <v>45</v>
      </c>
      <c r="E3471">
        <v>123776</v>
      </c>
      <c r="F3471" t="s">
        <v>50</v>
      </c>
      <c r="G3471" t="s">
        <v>34</v>
      </c>
      <c r="H3471" t="s">
        <v>178</v>
      </c>
      <c r="I3471">
        <v>1237.76</v>
      </c>
      <c r="J3471">
        <v>0</v>
      </c>
      <c r="K3471">
        <v>1237.76</v>
      </c>
    </row>
    <row r="3472" spans="1:11" x14ac:dyDescent="0.25">
      <c r="A3472" t="s">
        <v>3512</v>
      </c>
      <c r="B3472" s="1">
        <v>45910.689351851855</v>
      </c>
      <c r="C3472" s="2" t="s">
        <v>18</v>
      </c>
      <c r="D3472" t="s">
        <v>33</v>
      </c>
      <c r="E3472">
        <v>44421</v>
      </c>
      <c r="F3472" t="s">
        <v>14</v>
      </c>
      <c r="G3472" t="s">
        <v>27</v>
      </c>
      <c r="H3472" t="s">
        <v>16</v>
      </c>
      <c r="I3472">
        <v>0</v>
      </c>
      <c r="J3472">
        <v>0</v>
      </c>
      <c r="K3472">
        <v>0</v>
      </c>
    </row>
    <row r="3473" spans="1:11" x14ac:dyDescent="0.25">
      <c r="A3473" t="s">
        <v>3513</v>
      </c>
      <c r="B3473" s="1">
        <v>45810.272951388892</v>
      </c>
      <c r="C3473" s="2" t="s">
        <v>29</v>
      </c>
      <c r="D3473" t="s">
        <v>19</v>
      </c>
      <c r="E3473">
        <v>11302</v>
      </c>
      <c r="F3473" t="s">
        <v>14</v>
      </c>
      <c r="G3473" t="s">
        <v>30</v>
      </c>
      <c r="H3473" t="s">
        <v>16</v>
      </c>
      <c r="I3473">
        <v>5</v>
      </c>
      <c r="J3473">
        <v>0</v>
      </c>
      <c r="K3473">
        <v>5</v>
      </c>
    </row>
    <row r="3474" spans="1:11" x14ac:dyDescent="0.25">
      <c r="A3474" t="s">
        <v>3514</v>
      </c>
      <c r="B3474" s="1">
        <v>46130.07912037037</v>
      </c>
      <c r="C3474" s="2" t="s">
        <v>41</v>
      </c>
      <c r="D3474" t="s">
        <v>33</v>
      </c>
      <c r="E3474">
        <v>24528</v>
      </c>
      <c r="F3474" t="s">
        <v>14</v>
      </c>
      <c r="G3474" t="s">
        <v>34</v>
      </c>
      <c r="H3474" t="s">
        <v>16</v>
      </c>
      <c r="I3474">
        <v>0</v>
      </c>
      <c r="J3474">
        <v>0</v>
      </c>
      <c r="K3474">
        <v>0</v>
      </c>
    </row>
    <row r="3475" spans="1:11" x14ac:dyDescent="0.25">
      <c r="A3475" t="s">
        <v>3515</v>
      </c>
      <c r="B3475" s="1">
        <v>45780.039594907408</v>
      </c>
      <c r="C3475" s="2" t="s">
        <v>41</v>
      </c>
      <c r="D3475" t="s">
        <v>33</v>
      </c>
      <c r="E3475">
        <v>52400</v>
      </c>
      <c r="F3475" t="s">
        <v>14</v>
      </c>
      <c r="G3475" t="s">
        <v>27</v>
      </c>
      <c r="H3475" t="s">
        <v>16</v>
      </c>
      <c r="I3475">
        <v>0</v>
      </c>
      <c r="J3475">
        <v>0</v>
      </c>
      <c r="K3475">
        <v>0</v>
      </c>
    </row>
    <row r="3476" spans="1:11" x14ac:dyDescent="0.25">
      <c r="A3476" t="s">
        <v>3516</v>
      </c>
      <c r="B3476" s="1">
        <v>45851.600706018522</v>
      </c>
      <c r="C3476" s="2" t="s">
        <v>39</v>
      </c>
      <c r="D3476" t="s">
        <v>19</v>
      </c>
      <c r="E3476">
        <v>41270</v>
      </c>
      <c r="F3476" t="s">
        <v>14</v>
      </c>
      <c r="G3476" t="s">
        <v>34</v>
      </c>
      <c r="H3476" t="s">
        <v>16</v>
      </c>
      <c r="I3476">
        <v>5</v>
      </c>
      <c r="J3476">
        <v>0</v>
      </c>
      <c r="K3476">
        <v>5</v>
      </c>
    </row>
    <row r="3477" spans="1:11" x14ac:dyDescent="0.25">
      <c r="A3477" t="s">
        <v>3517</v>
      </c>
      <c r="B3477" s="1">
        <v>45960.690486111111</v>
      </c>
      <c r="C3477" s="2" t="s">
        <v>26</v>
      </c>
      <c r="D3477" t="s">
        <v>19</v>
      </c>
      <c r="E3477">
        <v>31816</v>
      </c>
      <c r="F3477" t="s">
        <v>14</v>
      </c>
      <c r="G3477" t="s">
        <v>58</v>
      </c>
      <c r="H3477" t="s">
        <v>16</v>
      </c>
      <c r="I3477">
        <v>5</v>
      </c>
      <c r="J3477">
        <v>0</v>
      </c>
      <c r="K3477">
        <v>5</v>
      </c>
    </row>
    <row r="3478" spans="1:11" x14ac:dyDescent="0.25">
      <c r="A3478" t="s">
        <v>3518</v>
      </c>
      <c r="B3478" s="1">
        <v>46030.699826388889</v>
      </c>
      <c r="C3478" s="2" t="s">
        <v>32</v>
      </c>
      <c r="D3478" t="s">
        <v>45</v>
      </c>
      <c r="E3478">
        <v>125184</v>
      </c>
      <c r="F3478" t="s">
        <v>14</v>
      </c>
      <c r="G3478" t="s">
        <v>20</v>
      </c>
      <c r="H3478" t="s">
        <v>56</v>
      </c>
      <c r="I3478">
        <v>1251.8399999999999</v>
      </c>
      <c r="J3478">
        <v>0</v>
      </c>
      <c r="K3478">
        <v>1251.8399999999999</v>
      </c>
    </row>
    <row r="3479" spans="1:11" x14ac:dyDescent="0.25">
      <c r="A3479" t="s">
        <v>3519</v>
      </c>
      <c r="B3479" s="1">
        <v>46122.922546296293</v>
      </c>
      <c r="C3479" s="2" t="s">
        <v>32</v>
      </c>
      <c r="D3479" t="s">
        <v>33</v>
      </c>
      <c r="E3479">
        <v>319</v>
      </c>
      <c r="F3479" t="s">
        <v>14</v>
      </c>
      <c r="G3479" t="s">
        <v>51</v>
      </c>
      <c r="H3479" t="s">
        <v>16</v>
      </c>
      <c r="I3479">
        <v>0</v>
      </c>
      <c r="J3479">
        <v>0</v>
      </c>
      <c r="K3479">
        <v>0</v>
      </c>
    </row>
    <row r="3480" spans="1:11" x14ac:dyDescent="0.25">
      <c r="A3480" t="s">
        <v>3520</v>
      </c>
      <c r="B3480" s="1">
        <v>45857.206608796296</v>
      </c>
      <c r="C3480" s="2" t="s">
        <v>22</v>
      </c>
      <c r="D3480" t="s">
        <v>13</v>
      </c>
      <c r="E3480">
        <v>119500</v>
      </c>
      <c r="F3480" t="s">
        <v>14</v>
      </c>
      <c r="G3480" t="s">
        <v>58</v>
      </c>
      <c r="H3480" t="s">
        <v>16</v>
      </c>
      <c r="I3480">
        <v>2210.75</v>
      </c>
      <c r="J3480">
        <v>884.3</v>
      </c>
      <c r="K3480">
        <v>1326.45</v>
      </c>
    </row>
    <row r="3481" spans="1:11" x14ac:dyDescent="0.25">
      <c r="A3481" t="s">
        <v>3521</v>
      </c>
      <c r="B3481" s="1">
        <v>45944.729733796295</v>
      </c>
      <c r="C3481" s="2" t="s">
        <v>41</v>
      </c>
      <c r="D3481" t="s">
        <v>33</v>
      </c>
      <c r="E3481">
        <v>81710</v>
      </c>
      <c r="F3481" t="s">
        <v>14</v>
      </c>
      <c r="G3481" t="s">
        <v>51</v>
      </c>
      <c r="H3481" t="s">
        <v>16</v>
      </c>
      <c r="I3481">
        <v>0</v>
      </c>
      <c r="J3481">
        <v>0</v>
      </c>
      <c r="K3481">
        <v>0</v>
      </c>
    </row>
    <row r="3482" spans="1:11" x14ac:dyDescent="0.25">
      <c r="A3482" t="s">
        <v>3522</v>
      </c>
      <c r="B3482" s="1">
        <v>45836.282557870371</v>
      </c>
      <c r="C3482" s="2" t="s">
        <v>22</v>
      </c>
      <c r="D3482" t="s">
        <v>19</v>
      </c>
      <c r="E3482">
        <v>132905</v>
      </c>
      <c r="F3482" t="s">
        <v>14</v>
      </c>
      <c r="G3482" t="s">
        <v>20</v>
      </c>
      <c r="H3482" t="s">
        <v>16</v>
      </c>
      <c r="I3482">
        <v>5</v>
      </c>
      <c r="J3482">
        <v>0</v>
      </c>
      <c r="K3482">
        <v>5</v>
      </c>
    </row>
    <row r="3483" spans="1:11" x14ac:dyDescent="0.25">
      <c r="A3483" t="s">
        <v>3523</v>
      </c>
      <c r="B3483" s="1">
        <v>46116.440740740742</v>
      </c>
      <c r="C3483" s="2" t="s">
        <v>22</v>
      </c>
      <c r="D3483" t="s">
        <v>33</v>
      </c>
      <c r="E3483">
        <v>138229</v>
      </c>
      <c r="F3483" t="s">
        <v>14</v>
      </c>
      <c r="G3483" t="s">
        <v>27</v>
      </c>
      <c r="H3483" t="s">
        <v>16</v>
      </c>
      <c r="I3483">
        <v>0</v>
      </c>
      <c r="J3483">
        <v>0</v>
      </c>
      <c r="K3483">
        <v>0</v>
      </c>
    </row>
    <row r="3484" spans="1:11" x14ac:dyDescent="0.25">
      <c r="A3484" t="s">
        <v>3524</v>
      </c>
      <c r="B3484" s="1">
        <v>45957.311192129629</v>
      </c>
      <c r="C3484" s="2" t="s">
        <v>22</v>
      </c>
      <c r="D3484" t="s">
        <v>19</v>
      </c>
      <c r="E3484">
        <v>18105</v>
      </c>
      <c r="F3484" t="s">
        <v>14</v>
      </c>
      <c r="G3484" t="s">
        <v>58</v>
      </c>
      <c r="H3484" t="s">
        <v>16</v>
      </c>
      <c r="I3484">
        <v>5</v>
      </c>
      <c r="J3484">
        <v>0</v>
      </c>
      <c r="K3484">
        <v>5</v>
      </c>
    </row>
    <row r="3485" spans="1:11" x14ac:dyDescent="0.25">
      <c r="A3485" t="s">
        <v>3525</v>
      </c>
      <c r="B3485" s="1">
        <v>46041.358229166668</v>
      </c>
      <c r="C3485" s="2" t="s">
        <v>29</v>
      </c>
      <c r="D3485" t="s">
        <v>13</v>
      </c>
      <c r="E3485">
        <v>39500</v>
      </c>
      <c r="F3485" t="s">
        <v>14</v>
      </c>
      <c r="G3485" t="s">
        <v>27</v>
      </c>
      <c r="H3485" t="s">
        <v>16</v>
      </c>
      <c r="I3485">
        <v>730.75</v>
      </c>
      <c r="J3485">
        <v>292.3</v>
      </c>
      <c r="K3485">
        <v>438.45</v>
      </c>
    </row>
    <row r="3486" spans="1:11" x14ac:dyDescent="0.25">
      <c r="A3486" t="s">
        <v>3526</v>
      </c>
      <c r="B3486" s="1">
        <v>45952.868252314816</v>
      </c>
      <c r="C3486" s="2" t="s">
        <v>18</v>
      </c>
      <c r="D3486" t="s">
        <v>13</v>
      </c>
      <c r="E3486">
        <v>186000</v>
      </c>
      <c r="F3486" t="s">
        <v>14</v>
      </c>
      <c r="G3486" t="s">
        <v>20</v>
      </c>
      <c r="H3486" t="s">
        <v>16</v>
      </c>
      <c r="I3486">
        <v>3441</v>
      </c>
      <c r="J3486">
        <v>1376.4</v>
      </c>
      <c r="K3486">
        <v>2064.6</v>
      </c>
    </row>
    <row r="3487" spans="1:11" x14ac:dyDescent="0.25">
      <c r="A3487" t="s">
        <v>3527</v>
      </c>
      <c r="B3487" s="1">
        <v>45971.362546296295</v>
      </c>
      <c r="C3487" s="2" t="s">
        <v>41</v>
      </c>
      <c r="D3487" t="s">
        <v>45</v>
      </c>
      <c r="E3487">
        <v>39879</v>
      </c>
      <c r="F3487" t="s">
        <v>14</v>
      </c>
      <c r="G3487" t="s">
        <v>30</v>
      </c>
      <c r="H3487" t="s">
        <v>59</v>
      </c>
      <c r="I3487">
        <v>398.79</v>
      </c>
      <c r="J3487">
        <v>0</v>
      </c>
      <c r="K3487">
        <v>398.79</v>
      </c>
    </row>
    <row r="3488" spans="1:11" x14ac:dyDescent="0.25">
      <c r="A3488" t="s">
        <v>3528</v>
      </c>
      <c r="B3488" s="1">
        <v>45972.954976851855</v>
      </c>
      <c r="C3488" s="2" t="s">
        <v>26</v>
      </c>
      <c r="D3488" t="s">
        <v>13</v>
      </c>
      <c r="E3488">
        <v>237500</v>
      </c>
      <c r="F3488" t="s">
        <v>50</v>
      </c>
      <c r="G3488" t="s">
        <v>34</v>
      </c>
      <c r="H3488" t="s">
        <v>16</v>
      </c>
      <c r="I3488">
        <v>4393.75</v>
      </c>
      <c r="J3488">
        <v>1757.5</v>
      </c>
      <c r="K3488">
        <v>2636.25</v>
      </c>
    </row>
    <row r="3489" spans="1:11" x14ac:dyDescent="0.25">
      <c r="A3489" t="s">
        <v>3529</v>
      </c>
      <c r="B3489" s="1">
        <v>45983.533553240741</v>
      </c>
      <c r="C3489" s="2" t="s">
        <v>41</v>
      </c>
      <c r="D3489" t="s">
        <v>33</v>
      </c>
      <c r="E3489">
        <v>47656</v>
      </c>
      <c r="F3489" t="s">
        <v>14</v>
      </c>
      <c r="G3489" t="s">
        <v>84</v>
      </c>
      <c r="H3489" t="s">
        <v>16</v>
      </c>
      <c r="I3489">
        <v>0</v>
      </c>
      <c r="J3489">
        <v>0</v>
      </c>
      <c r="K3489">
        <v>0</v>
      </c>
    </row>
    <row r="3490" spans="1:11" x14ac:dyDescent="0.25">
      <c r="A3490" t="s">
        <v>3530</v>
      </c>
      <c r="B3490" s="1">
        <v>45867.606990740744</v>
      </c>
      <c r="C3490" s="2" t="s">
        <v>32</v>
      </c>
      <c r="D3490" t="s">
        <v>33</v>
      </c>
      <c r="E3490">
        <v>1196</v>
      </c>
      <c r="F3490" t="s">
        <v>14</v>
      </c>
      <c r="G3490" t="s">
        <v>34</v>
      </c>
      <c r="H3490" t="s">
        <v>16</v>
      </c>
      <c r="I3490">
        <v>0</v>
      </c>
      <c r="J3490">
        <v>0</v>
      </c>
      <c r="K3490">
        <v>0</v>
      </c>
    </row>
    <row r="3491" spans="1:11" x14ac:dyDescent="0.25">
      <c r="A3491" t="s">
        <v>3531</v>
      </c>
      <c r="B3491" s="1">
        <v>45934.337789351855</v>
      </c>
      <c r="C3491" s="2" t="s">
        <v>22</v>
      </c>
      <c r="D3491" t="s">
        <v>45</v>
      </c>
      <c r="E3491">
        <v>57763</v>
      </c>
      <c r="F3491" t="s">
        <v>99</v>
      </c>
      <c r="G3491" t="s">
        <v>27</v>
      </c>
      <c r="H3491" t="s">
        <v>71</v>
      </c>
      <c r="I3491">
        <v>577.63</v>
      </c>
      <c r="J3491">
        <v>0</v>
      </c>
      <c r="K3491">
        <v>577.63</v>
      </c>
    </row>
    <row r="3492" spans="1:11" x14ac:dyDescent="0.25">
      <c r="A3492" t="s">
        <v>3532</v>
      </c>
      <c r="B3492" s="1">
        <v>45942.654872685183</v>
      </c>
      <c r="C3492" s="2" t="s">
        <v>29</v>
      </c>
      <c r="D3492" t="s">
        <v>23</v>
      </c>
      <c r="E3492">
        <v>1024</v>
      </c>
      <c r="F3492" t="s">
        <v>14</v>
      </c>
      <c r="G3492" t="s">
        <v>84</v>
      </c>
      <c r="H3492" t="s">
        <v>16</v>
      </c>
      <c r="I3492">
        <v>0</v>
      </c>
      <c r="J3492">
        <v>0</v>
      </c>
      <c r="K3492">
        <v>0</v>
      </c>
    </row>
    <row r="3493" spans="1:11" x14ac:dyDescent="0.25">
      <c r="A3493" t="s">
        <v>3533</v>
      </c>
      <c r="B3493" s="1">
        <v>45939.416562500002</v>
      </c>
      <c r="C3493" s="2" t="s">
        <v>22</v>
      </c>
      <c r="D3493" t="s">
        <v>45</v>
      </c>
      <c r="E3493">
        <v>113592</v>
      </c>
      <c r="F3493" t="s">
        <v>50</v>
      </c>
      <c r="G3493" t="s">
        <v>34</v>
      </c>
      <c r="H3493" t="s">
        <v>178</v>
      </c>
      <c r="I3493">
        <v>1135.92</v>
      </c>
      <c r="J3493">
        <v>0</v>
      </c>
      <c r="K3493">
        <v>1135.92</v>
      </c>
    </row>
    <row r="3494" spans="1:11" x14ac:dyDescent="0.25">
      <c r="A3494" t="s">
        <v>3534</v>
      </c>
      <c r="B3494" s="1">
        <v>45990.124456018515</v>
      </c>
      <c r="C3494" s="2" t="s">
        <v>12</v>
      </c>
      <c r="D3494" t="s">
        <v>45</v>
      </c>
      <c r="E3494">
        <v>113620</v>
      </c>
      <c r="F3494" t="s">
        <v>50</v>
      </c>
      <c r="G3494" t="s">
        <v>24</v>
      </c>
      <c r="H3494" t="s">
        <v>46</v>
      </c>
      <c r="I3494">
        <v>1136.2</v>
      </c>
      <c r="J3494">
        <v>0</v>
      </c>
      <c r="K3494">
        <v>1136.2</v>
      </c>
    </row>
    <row r="3495" spans="1:11" x14ac:dyDescent="0.25">
      <c r="A3495" t="s">
        <v>3535</v>
      </c>
      <c r="B3495" s="1">
        <v>46072.720590277779</v>
      </c>
      <c r="C3495" s="2" t="s">
        <v>12</v>
      </c>
      <c r="D3495" t="s">
        <v>13</v>
      </c>
      <c r="E3495">
        <v>54500</v>
      </c>
      <c r="F3495" t="s">
        <v>50</v>
      </c>
      <c r="G3495" t="s">
        <v>15</v>
      </c>
      <c r="H3495" t="s">
        <v>16</v>
      </c>
      <c r="I3495">
        <v>1008.25</v>
      </c>
      <c r="J3495">
        <v>403.3</v>
      </c>
      <c r="K3495">
        <v>604.95000000000005</v>
      </c>
    </row>
    <row r="3496" spans="1:11" x14ac:dyDescent="0.25">
      <c r="A3496" t="s">
        <v>3536</v>
      </c>
      <c r="B3496" s="1">
        <v>45978.67628472222</v>
      </c>
      <c r="C3496" s="2" t="s">
        <v>39</v>
      </c>
      <c r="D3496" t="s">
        <v>45</v>
      </c>
      <c r="E3496">
        <v>14143</v>
      </c>
      <c r="F3496" t="s">
        <v>14</v>
      </c>
      <c r="G3496" t="s">
        <v>27</v>
      </c>
      <c r="H3496" t="s">
        <v>59</v>
      </c>
      <c r="I3496">
        <v>141.43</v>
      </c>
      <c r="J3496">
        <v>0</v>
      </c>
      <c r="K3496">
        <v>141.43</v>
      </c>
    </row>
    <row r="3497" spans="1:11" x14ac:dyDescent="0.25">
      <c r="A3497" t="s">
        <v>3537</v>
      </c>
      <c r="B3497" s="1">
        <v>46068.682743055557</v>
      </c>
      <c r="C3497" s="2" t="s">
        <v>29</v>
      </c>
      <c r="D3497" t="s">
        <v>19</v>
      </c>
      <c r="E3497">
        <v>13555</v>
      </c>
      <c r="F3497" t="s">
        <v>14</v>
      </c>
      <c r="G3497" t="s">
        <v>15</v>
      </c>
      <c r="H3497" t="s">
        <v>16</v>
      </c>
      <c r="I3497">
        <v>5</v>
      </c>
      <c r="J3497">
        <v>0</v>
      </c>
      <c r="K3497">
        <v>5</v>
      </c>
    </row>
    <row r="3498" spans="1:11" x14ac:dyDescent="0.25">
      <c r="A3498" t="s">
        <v>3538</v>
      </c>
      <c r="B3498" s="1">
        <v>45999.390682870369</v>
      </c>
      <c r="C3498" s="2" t="s">
        <v>32</v>
      </c>
      <c r="D3498" t="s">
        <v>45</v>
      </c>
      <c r="E3498">
        <v>148991</v>
      </c>
      <c r="F3498" t="s">
        <v>14</v>
      </c>
      <c r="G3498" t="s">
        <v>51</v>
      </c>
      <c r="H3498" t="s">
        <v>59</v>
      </c>
      <c r="I3498">
        <v>1489.91</v>
      </c>
      <c r="J3498">
        <v>0</v>
      </c>
      <c r="K3498">
        <v>1489.91</v>
      </c>
    </row>
    <row r="3499" spans="1:11" x14ac:dyDescent="0.25">
      <c r="A3499" t="s">
        <v>3539</v>
      </c>
      <c r="B3499" s="1">
        <v>45885.518055555556</v>
      </c>
      <c r="C3499" s="2" t="s">
        <v>26</v>
      </c>
      <c r="D3499" t="s">
        <v>33</v>
      </c>
      <c r="E3499">
        <v>116200</v>
      </c>
      <c r="F3499" t="s">
        <v>14</v>
      </c>
      <c r="G3499" t="s">
        <v>20</v>
      </c>
      <c r="H3499" t="s">
        <v>16</v>
      </c>
      <c r="I3499">
        <v>0</v>
      </c>
      <c r="J3499">
        <v>0</v>
      </c>
      <c r="K3499">
        <v>0</v>
      </c>
    </row>
    <row r="3500" spans="1:11" x14ac:dyDescent="0.25">
      <c r="A3500" t="s">
        <v>3540</v>
      </c>
      <c r="B3500" s="1">
        <v>46129.825682870367</v>
      </c>
      <c r="C3500" s="2" t="s">
        <v>12</v>
      </c>
      <c r="D3500" t="s">
        <v>45</v>
      </c>
      <c r="E3500">
        <v>78530</v>
      </c>
      <c r="F3500" t="s">
        <v>50</v>
      </c>
      <c r="G3500" t="s">
        <v>34</v>
      </c>
      <c r="H3500" t="s">
        <v>71</v>
      </c>
      <c r="I3500">
        <v>785.3</v>
      </c>
      <c r="J3500">
        <v>0</v>
      </c>
      <c r="K3500">
        <v>785.3</v>
      </c>
    </row>
    <row r="3501" spans="1:11" x14ac:dyDescent="0.25">
      <c r="A3501" t="s">
        <v>3541</v>
      </c>
      <c r="B3501" s="1">
        <v>45968.292187500003</v>
      </c>
      <c r="C3501" s="2" t="s">
        <v>12</v>
      </c>
      <c r="D3501" t="s">
        <v>19</v>
      </c>
      <c r="E3501">
        <v>47952</v>
      </c>
      <c r="F3501" t="s">
        <v>50</v>
      </c>
      <c r="G3501" t="s">
        <v>15</v>
      </c>
      <c r="H3501" t="s">
        <v>16</v>
      </c>
      <c r="I3501">
        <v>5</v>
      </c>
      <c r="J3501">
        <v>0</v>
      </c>
      <c r="K3501">
        <v>5</v>
      </c>
    </row>
    <row r="3502" spans="1:11" x14ac:dyDescent="0.25">
      <c r="A3502" t="s">
        <v>3542</v>
      </c>
      <c r="B3502" s="1">
        <v>45795.708391203705</v>
      </c>
      <c r="C3502" s="2" t="s">
        <v>32</v>
      </c>
      <c r="D3502" t="s">
        <v>23</v>
      </c>
      <c r="E3502">
        <v>2993</v>
      </c>
      <c r="F3502" t="s">
        <v>99</v>
      </c>
      <c r="G3502" t="s">
        <v>84</v>
      </c>
      <c r="H3502" t="s">
        <v>16</v>
      </c>
      <c r="I3502">
        <v>0</v>
      </c>
      <c r="J3502">
        <v>0</v>
      </c>
      <c r="K3502">
        <v>0</v>
      </c>
    </row>
    <row r="3503" spans="1:11" x14ac:dyDescent="0.25">
      <c r="A3503" t="s">
        <v>3543</v>
      </c>
      <c r="B3503" s="1">
        <v>46005.269421296296</v>
      </c>
      <c r="C3503" s="2" t="s">
        <v>32</v>
      </c>
      <c r="D3503" t="s">
        <v>45</v>
      </c>
      <c r="E3503">
        <v>9195</v>
      </c>
      <c r="F3503" t="s">
        <v>14</v>
      </c>
      <c r="G3503" t="s">
        <v>27</v>
      </c>
      <c r="H3503" t="s">
        <v>59</v>
      </c>
      <c r="I3503">
        <v>91.95</v>
      </c>
      <c r="J3503">
        <v>0</v>
      </c>
      <c r="K3503">
        <v>91.95</v>
      </c>
    </row>
    <row r="3504" spans="1:11" x14ac:dyDescent="0.25">
      <c r="A3504" t="s">
        <v>3544</v>
      </c>
      <c r="B3504" s="1">
        <v>45900.19425925926</v>
      </c>
      <c r="C3504" s="2" t="s">
        <v>22</v>
      </c>
      <c r="D3504" t="s">
        <v>13</v>
      </c>
      <c r="E3504">
        <v>230000</v>
      </c>
      <c r="F3504" t="s">
        <v>50</v>
      </c>
      <c r="G3504" t="s">
        <v>30</v>
      </c>
      <c r="H3504" t="s">
        <v>16</v>
      </c>
      <c r="I3504">
        <v>4255</v>
      </c>
      <c r="J3504">
        <v>1702</v>
      </c>
      <c r="K3504">
        <v>2553</v>
      </c>
    </row>
    <row r="3505" spans="1:11" x14ac:dyDescent="0.25">
      <c r="A3505" t="s">
        <v>3545</v>
      </c>
      <c r="B3505" s="1">
        <v>45957.565983796296</v>
      </c>
      <c r="C3505" s="2" t="s">
        <v>32</v>
      </c>
      <c r="D3505" t="s">
        <v>33</v>
      </c>
      <c r="E3505">
        <v>2406</v>
      </c>
      <c r="F3505" t="s">
        <v>50</v>
      </c>
      <c r="G3505" t="s">
        <v>51</v>
      </c>
      <c r="H3505" t="s">
        <v>16</v>
      </c>
      <c r="I3505">
        <v>0</v>
      </c>
      <c r="J3505">
        <v>0</v>
      </c>
      <c r="K3505">
        <v>0</v>
      </c>
    </row>
    <row r="3506" spans="1:11" x14ac:dyDescent="0.25">
      <c r="A3506" t="s">
        <v>3546</v>
      </c>
      <c r="B3506" s="1">
        <v>46102.138645833336</v>
      </c>
      <c r="C3506" s="2" t="s">
        <v>29</v>
      </c>
      <c r="D3506" t="s">
        <v>13</v>
      </c>
      <c r="E3506">
        <v>220000</v>
      </c>
      <c r="F3506" t="s">
        <v>14</v>
      </c>
      <c r="G3506" t="s">
        <v>20</v>
      </c>
      <c r="H3506" t="s">
        <v>16</v>
      </c>
      <c r="I3506">
        <v>4070</v>
      </c>
      <c r="J3506">
        <v>1628</v>
      </c>
      <c r="K3506">
        <v>2442</v>
      </c>
    </row>
    <row r="3507" spans="1:11" x14ac:dyDescent="0.25">
      <c r="A3507" t="s">
        <v>3547</v>
      </c>
      <c r="B3507" s="1">
        <v>46141.196250000001</v>
      </c>
      <c r="C3507" s="2" t="s">
        <v>12</v>
      </c>
      <c r="D3507" t="s">
        <v>19</v>
      </c>
      <c r="E3507">
        <v>13162</v>
      </c>
      <c r="F3507" t="s">
        <v>14</v>
      </c>
      <c r="G3507" t="s">
        <v>30</v>
      </c>
      <c r="H3507" t="s">
        <v>16</v>
      </c>
      <c r="I3507">
        <v>5</v>
      </c>
      <c r="J3507">
        <v>0</v>
      </c>
      <c r="K3507">
        <v>5</v>
      </c>
    </row>
    <row r="3508" spans="1:11" x14ac:dyDescent="0.25">
      <c r="A3508" t="s">
        <v>3548</v>
      </c>
      <c r="B3508" s="1">
        <v>45856.396840277775</v>
      </c>
      <c r="C3508" s="2" t="s">
        <v>29</v>
      </c>
      <c r="D3508" t="s">
        <v>19</v>
      </c>
      <c r="E3508">
        <v>134804</v>
      </c>
      <c r="F3508" t="s">
        <v>14</v>
      </c>
      <c r="G3508" t="s">
        <v>51</v>
      </c>
      <c r="H3508" t="s">
        <v>16</v>
      </c>
      <c r="I3508">
        <v>5</v>
      </c>
      <c r="J3508">
        <v>0</v>
      </c>
      <c r="K3508">
        <v>5</v>
      </c>
    </row>
    <row r="3509" spans="1:11" x14ac:dyDescent="0.25">
      <c r="A3509" t="s">
        <v>3549</v>
      </c>
      <c r="B3509" s="1">
        <v>46068.393229166664</v>
      </c>
      <c r="C3509" s="2" t="s">
        <v>32</v>
      </c>
      <c r="D3509" t="s">
        <v>19</v>
      </c>
      <c r="E3509">
        <v>14741</v>
      </c>
      <c r="F3509" t="s">
        <v>14</v>
      </c>
      <c r="G3509" t="s">
        <v>27</v>
      </c>
      <c r="H3509" t="s">
        <v>16</v>
      </c>
      <c r="I3509">
        <v>5</v>
      </c>
      <c r="J3509">
        <v>0</v>
      </c>
      <c r="K3509">
        <v>5</v>
      </c>
    </row>
    <row r="3510" spans="1:11" x14ac:dyDescent="0.25">
      <c r="A3510" t="s">
        <v>3550</v>
      </c>
      <c r="B3510" s="1">
        <v>45896.683217592596</v>
      </c>
      <c r="C3510" s="2" t="s">
        <v>29</v>
      </c>
      <c r="D3510" t="s">
        <v>45</v>
      </c>
      <c r="E3510">
        <v>60903</v>
      </c>
      <c r="F3510" t="s">
        <v>50</v>
      </c>
      <c r="G3510" t="s">
        <v>15</v>
      </c>
      <c r="H3510" t="s">
        <v>71</v>
      </c>
      <c r="I3510">
        <v>609.03</v>
      </c>
      <c r="J3510">
        <v>0</v>
      </c>
      <c r="K3510">
        <v>609.03</v>
      </c>
    </row>
    <row r="3511" spans="1:11" x14ac:dyDescent="0.25">
      <c r="A3511" t="s">
        <v>3551</v>
      </c>
      <c r="B3511" s="1">
        <v>45822.969131944446</v>
      </c>
      <c r="C3511" s="2" t="s">
        <v>12</v>
      </c>
      <c r="D3511" t="s">
        <v>13</v>
      </c>
      <c r="E3511">
        <v>162500</v>
      </c>
      <c r="F3511" t="s">
        <v>14</v>
      </c>
      <c r="G3511" t="s">
        <v>27</v>
      </c>
      <c r="H3511" t="s">
        <v>16</v>
      </c>
      <c r="I3511">
        <v>3006.25</v>
      </c>
      <c r="J3511">
        <v>1202.5</v>
      </c>
      <c r="K3511">
        <v>1803.75</v>
      </c>
    </row>
    <row r="3512" spans="1:11" x14ac:dyDescent="0.25">
      <c r="A3512" t="s">
        <v>3552</v>
      </c>
      <c r="B3512" s="1">
        <v>45833.267187500001</v>
      </c>
      <c r="C3512" s="2" t="s">
        <v>22</v>
      </c>
      <c r="D3512" t="s">
        <v>23</v>
      </c>
      <c r="E3512">
        <v>3015</v>
      </c>
      <c r="F3512" t="s">
        <v>14</v>
      </c>
      <c r="G3512" t="s">
        <v>34</v>
      </c>
      <c r="H3512" t="s">
        <v>16</v>
      </c>
      <c r="I3512">
        <v>0</v>
      </c>
      <c r="J3512">
        <v>0</v>
      </c>
      <c r="K3512">
        <v>0</v>
      </c>
    </row>
    <row r="3513" spans="1:11" x14ac:dyDescent="0.25">
      <c r="A3513" t="s">
        <v>3553</v>
      </c>
      <c r="B3513" s="1">
        <v>45830.9684837963</v>
      </c>
      <c r="C3513" s="2" t="s">
        <v>29</v>
      </c>
      <c r="D3513" t="s">
        <v>45</v>
      </c>
      <c r="E3513">
        <v>105746</v>
      </c>
      <c r="F3513" t="s">
        <v>14</v>
      </c>
      <c r="G3513" t="s">
        <v>51</v>
      </c>
      <c r="H3513" t="s">
        <v>56</v>
      </c>
      <c r="I3513">
        <v>1057.46</v>
      </c>
      <c r="J3513">
        <v>0</v>
      </c>
      <c r="K3513">
        <v>1057.46</v>
      </c>
    </row>
    <row r="3514" spans="1:11" x14ac:dyDescent="0.25">
      <c r="A3514" t="s">
        <v>3554</v>
      </c>
      <c r="B3514" s="1">
        <v>46044.957094907404</v>
      </c>
      <c r="C3514" s="2" t="s">
        <v>32</v>
      </c>
      <c r="D3514" t="s">
        <v>13</v>
      </c>
      <c r="E3514">
        <v>129500</v>
      </c>
      <c r="F3514" t="s">
        <v>14</v>
      </c>
      <c r="G3514" t="s">
        <v>34</v>
      </c>
      <c r="H3514" t="s">
        <v>16</v>
      </c>
      <c r="I3514">
        <v>2395.75</v>
      </c>
      <c r="J3514">
        <v>958.3</v>
      </c>
      <c r="K3514">
        <v>1437.45</v>
      </c>
    </row>
    <row r="3515" spans="1:11" x14ac:dyDescent="0.25">
      <c r="A3515" t="s">
        <v>3555</v>
      </c>
      <c r="B3515" s="1">
        <v>45799.30232638889</v>
      </c>
      <c r="C3515" s="2" t="s">
        <v>18</v>
      </c>
      <c r="D3515" t="s">
        <v>13</v>
      </c>
      <c r="E3515">
        <v>206500</v>
      </c>
      <c r="F3515" t="s">
        <v>14</v>
      </c>
      <c r="G3515" t="s">
        <v>51</v>
      </c>
      <c r="H3515" t="s">
        <v>16</v>
      </c>
      <c r="I3515">
        <v>3820.25</v>
      </c>
      <c r="J3515">
        <v>1528.1</v>
      </c>
      <c r="K3515">
        <v>2292.15</v>
      </c>
    </row>
    <row r="3516" spans="1:11" x14ac:dyDescent="0.25">
      <c r="A3516" t="s">
        <v>3556</v>
      </c>
      <c r="B3516" s="1">
        <v>45819.032858796294</v>
      </c>
      <c r="C3516" s="2" t="s">
        <v>18</v>
      </c>
      <c r="D3516" t="s">
        <v>13</v>
      </c>
      <c r="E3516">
        <v>107500</v>
      </c>
      <c r="F3516" t="s">
        <v>14</v>
      </c>
      <c r="G3516" t="s">
        <v>34</v>
      </c>
      <c r="H3516" t="s">
        <v>16</v>
      </c>
      <c r="I3516">
        <v>1988.75</v>
      </c>
      <c r="J3516">
        <v>795.5</v>
      </c>
      <c r="K3516">
        <v>1193.25</v>
      </c>
    </row>
    <row r="3517" spans="1:11" x14ac:dyDescent="0.25">
      <c r="A3517" t="s">
        <v>3557</v>
      </c>
      <c r="B3517" s="1">
        <v>45906.623831018522</v>
      </c>
      <c r="C3517" s="2" t="s">
        <v>32</v>
      </c>
      <c r="D3517" t="s">
        <v>33</v>
      </c>
      <c r="E3517">
        <v>50489</v>
      </c>
      <c r="F3517" t="s">
        <v>14</v>
      </c>
      <c r="G3517" t="s">
        <v>84</v>
      </c>
      <c r="H3517" t="s">
        <v>16</v>
      </c>
      <c r="I3517">
        <v>0</v>
      </c>
      <c r="J3517">
        <v>0</v>
      </c>
      <c r="K3517">
        <v>0</v>
      </c>
    </row>
    <row r="3518" spans="1:11" x14ac:dyDescent="0.25">
      <c r="A3518" t="s">
        <v>3558</v>
      </c>
      <c r="B3518" s="1">
        <v>45934.540289351855</v>
      </c>
      <c r="C3518" s="2" t="s">
        <v>22</v>
      </c>
      <c r="D3518" t="s">
        <v>19</v>
      </c>
      <c r="E3518">
        <v>112859</v>
      </c>
      <c r="F3518" t="s">
        <v>14</v>
      </c>
      <c r="G3518" t="s">
        <v>58</v>
      </c>
      <c r="H3518" t="s">
        <v>16</v>
      </c>
      <c r="I3518">
        <v>5</v>
      </c>
      <c r="J3518">
        <v>0</v>
      </c>
      <c r="K3518">
        <v>5</v>
      </c>
    </row>
    <row r="3519" spans="1:11" x14ac:dyDescent="0.25">
      <c r="A3519" t="s">
        <v>3559</v>
      </c>
      <c r="B3519" s="1">
        <v>45967.916562500002</v>
      </c>
      <c r="C3519" s="2" t="s">
        <v>12</v>
      </c>
      <c r="D3519" t="s">
        <v>33</v>
      </c>
      <c r="E3519">
        <v>108910</v>
      </c>
      <c r="F3519" t="s">
        <v>14</v>
      </c>
      <c r="G3519" t="s">
        <v>34</v>
      </c>
      <c r="H3519" t="s">
        <v>16</v>
      </c>
      <c r="I3519">
        <v>0</v>
      </c>
      <c r="J3519">
        <v>0</v>
      </c>
      <c r="K3519">
        <v>0</v>
      </c>
    </row>
    <row r="3520" spans="1:11" x14ac:dyDescent="0.25">
      <c r="A3520" t="s">
        <v>3560</v>
      </c>
      <c r="B3520" s="1">
        <v>46111.493541666663</v>
      </c>
      <c r="C3520" s="2" t="s">
        <v>32</v>
      </c>
      <c r="D3520" t="s">
        <v>23</v>
      </c>
      <c r="E3520">
        <v>134</v>
      </c>
      <c r="F3520" t="s">
        <v>14</v>
      </c>
      <c r="G3520" t="s">
        <v>24</v>
      </c>
      <c r="H3520" t="s">
        <v>16</v>
      </c>
      <c r="I3520">
        <v>0</v>
      </c>
      <c r="J3520">
        <v>0</v>
      </c>
      <c r="K3520">
        <v>0</v>
      </c>
    </row>
    <row r="3521" spans="1:11" x14ac:dyDescent="0.25">
      <c r="A3521" t="s">
        <v>3561</v>
      </c>
      <c r="B3521" s="1">
        <v>45917.781817129631</v>
      </c>
      <c r="C3521" s="2" t="s">
        <v>18</v>
      </c>
      <c r="D3521" t="s">
        <v>33</v>
      </c>
      <c r="E3521">
        <v>85592</v>
      </c>
      <c r="F3521" t="s">
        <v>14</v>
      </c>
      <c r="G3521" t="s">
        <v>51</v>
      </c>
      <c r="H3521" t="s">
        <v>16</v>
      </c>
      <c r="I3521">
        <v>0</v>
      </c>
      <c r="J3521">
        <v>0</v>
      </c>
      <c r="K3521">
        <v>0</v>
      </c>
    </row>
    <row r="3522" spans="1:11" x14ac:dyDescent="0.25">
      <c r="A3522" t="s">
        <v>3562</v>
      </c>
      <c r="B3522" s="1">
        <v>45959.251226851855</v>
      </c>
      <c r="C3522" s="2" t="s">
        <v>22</v>
      </c>
      <c r="D3522" t="s">
        <v>23</v>
      </c>
      <c r="E3522">
        <v>4472</v>
      </c>
      <c r="F3522" t="s">
        <v>50</v>
      </c>
      <c r="G3522" t="s">
        <v>15</v>
      </c>
      <c r="H3522" t="s">
        <v>16</v>
      </c>
      <c r="I3522">
        <v>0</v>
      </c>
      <c r="J3522">
        <v>0</v>
      </c>
      <c r="K3522">
        <v>0</v>
      </c>
    </row>
    <row r="3523" spans="1:11" x14ac:dyDescent="0.25">
      <c r="A3523" t="s">
        <v>3563</v>
      </c>
      <c r="B3523" s="1">
        <v>46055.509548611109</v>
      </c>
      <c r="C3523" s="2" t="s">
        <v>29</v>
      </c>
      <c r="D3523" t="s">
        <v>23</v>
      </c>
      <c r="E3523">
        <v>2400</v>
      </c>
      <c r="F3523" t="s">
        <v>14</v>
      </c>
      <c r="G3523" t="s">
        <v>15</v>
      </c>
      <c r="H3523" t="s">
        <v>16</v>
      </c>
      <c r="I3523">
        <v>0</v>
      </c>
      <c r="J3523">
        <v>0</v>
      </c>
      <c r="K3523">
        <v>0</v>
      </c>
    </row>
    <row r="3524" spans="1:11" x14ac:dyDescent="0.25">
      <c r="A3524" t="s">
        <v>3564</v>
      </c>
      <c r="B3524" s="1">
        <v>45989.854895833334</v>
      </c>
      <c r="C3524" s="2" t="s">
        <v>12</v>
      </c>
      <c r="D3524" t="s">
        <v>45</v>
      </c>
      <c r="E3524">
        <v>2424</v>
      </c>
      <c r="F3524" t="s">
        <v>50</v>
      </c>
      <c r="G3524" t="s">
        <v>34</v>
      </c>
      <c r="H3524" t="s">
        <v>178</v>
      </c>
      <c r="I3524">
        <v>24.24</v>
      </c>
      <c r="J3524">
        <v>0</v>
      </c>
      <c r="K3524">
        <v>24.24</v>
      </c>
    </row>
    <row r="3525" spans="1:11" x14ac:dyDescent="0.25">
      <c r="A3525" t="s">
        <v>3565</v>
      </c>
      <c r="B3525" s="1">
        <v>46091.420567129629</v>
      </c>
      <c r="C3525" s="2" t="s">
        <v>18</v>
      </c>
      <c r="D3525" t="s">
        <v>19</v>
      </c>
      <c r="E3525">
        <v>5088</v>
      </c>
      <c r="F3525" t="s">
        <v>14</v>
      </c>
      <c r="G3525" t="s">
        <v>34</v>
      </c>
      <c r="H3525" t="s">
        <v>16</v>
      </c>
      <c r="I3525">
        <v>5</v>
      </c>
      <c r="J3525">
        <v>0</v>
      </c>
      <c r="K3525">
        <v>5</v>
      </c>
    </row>
    <row r="3526" spans="1:11" x14ac:dyDescent="0.25">
      <c r="A3526" t="s">
        <v>3566</v>
      </c>
      <c r="B3526" s="1">
        <v>46001.26222222222</v>
      </c>
      <c r="C3526" s="2" t="s">
        <v>32</v>
      </c>
      <c r="D3526" t="s">
        <v>45</v>
      </c>
      <c r="E3526">
        <v>21294</v>
      </c>
      <c r="F3526" t="s">
        <v>14</v>
      </c>
      <c r="G3526" t="s">
        <v>15</v>
      </c>
      <c r="H3526" t="s">
        <v>56</v>
      </c>
      <c r="I3526">
        <v>212.94</v>
      </c>
      <c r="J3526">
        <v>0</v>
      </c>
      <c r="K3526">
        <v>212.94</v>
      </c>
    </row>
    <row r="3527" spans="1:11" x14ac:dyDescent="0.25">
      <c r="A3527" t="s">
        <v>3567</v>
      </c>
      <c r="B3527" s="1">
        <v>46127.967835648145</v>
      </c>
      <c r="C3527" s="2" t="s">
        <v>18</v>
      </c>
      <c r="D3527" t="s">
        <v>19</v>
      </c>
      <c r="E3527">
        <v>67590</v>
      </c>
      <c r="F3527" t="s">
        <v>14</v>
      </c>
      <c r="G3527" t="s">
        <v>20</v>
      </c>
      <c r="H3527" t="s">
        <v>16</v>
      </c>
      <c r="I3527">
        <v>5</v>
      </c>
      <c r="J3527">
        <v>0</v>
      </c>
      <c r="K3527">
        <v>5</v>
      </c>
    </row>
    <row r="3528" spans="1:11" x14ac:dyDescent="0.25">
      <c r="A3528" t="s">
        <v>3568</v>
      </c>
      <c r="B3528" s="1">
        <v>45890.449502314812</v>
      </c>
      <c r="C3528" s="2" t="s">
        <v>26</v>
      </c>
      <c r="D3528" t="s">
        <v>13</v>
      </c>
      <c r="E3528">
        <v>132000</v>
      </c>
      <c r="F3528" t="s">
        <v>14</v>
      </c>
      <c r="G3528" t="s">
        <v>84</v>
      </c>
      <c r="H3528" t="s">
        <v>16</v>
      </c>
      <c r="I3528">
        <v>2442</v>
      </c>
      <c r="J3528">
        <v>976.8</v>
      </c>
      <c r="K3528">
        <v>1465.2</v>
      </c>
    </row>
    <row r="3529" spans="1:11" x14ac:dyDescent="0.25">
      <c r="A3529" t="s">
        <v>3569</v>
      </c>
      <c r="B3529" s="1">
        <v>45970.184432870374</v>
      </c>
      <c r="C3529" s="2" t="s">
        <v>18</v>
      </c>
      <c r="D3529" t="s">
        <v>23</v>
      </c>
      <c r="E3529">
        <v>4700</v>
      </c>
      <c r="F3529" t="s">
        <v>14</v>
      </c>
      <c r="G3529" t="s">
        <v>15</v>
      </c>
      <c r="H3529" t="s">
        <v>16</v>
      </c>
      <c r="I3529">
        <v>0</v>
      </c>
      <c r="J3529">
        <v>0</v>
      </c>
      <c r="K3529">
        <v>0</v>
      </c>
    </row>
    <row r="3530" spans="1:11" x14ac:dyDescent="0.25">
      <c r="A3530" t="s">
        <v>3570</v>
      </c>
      <c r="B3530" s="1">
        <v>46073.566319444442</v>
      </c>
      <c r="C3530" s="2" t="s">
        <v>41</v>
      </c>
      <c r="D3530" t="s">
        <v>13</v>
      </c>
      <c r="E3530">
        <v>1500</v>
      </c>
      <c r="F3530" t="s">
        <v>14</v>
      </c>
      <c r="G3530" t="s">
        <v>27</v>
      </c>
      <c r="H3530" t="s">
        <v>16</v>
      </c>
      <c r="I3530">
        <v>27.75</v>
      </c>
      <c r="J3530">
        <v>11.1</v>
      </c>
      <c r="K3530">
        <v>16.649999999999999</v>
      </c>
    </row>
    <row r="3531" spans="1:11" x14ac:dyDescent="0.25">
      <c r="A3531" t="s">
        <v>3571</v>
      </c>
      <c r="B3531" s="1">
        <v>45999.781284722223</v>
      </c>
      <c r="C3531" s="2" t="s">
        <v>26</v>
      </c>
      <c r="D3531" t="s">
        <v>13</v>
      </c>
      <c r="E3531">
        <v>175000</v>
      </c>
      <c r="F3531" t="s">
        <v>14</v>
      </c>
      <c r="G3531" t="s">
        <v>34</v>
      </c>
      <c r="H3531" t="s">
        <v>16</v>
      </c>
      <c r="I3531">
        <v>3237.5</v>
      </c>
      <c r="J3531">
        <v>1295</v>
      </c>
      <c r="K3531">
        <v>1942.5</v>
      </c>
    </row>
    <row r="3532" spans="1:11" x14ac:dyDescent="0.25">
      <c r="A3532" t="s">
        <v>3572</v>
      </c>
      <c r="B3532" s="1">
        <v>45926.864490740743</v>
      </c>
      <c r="C3532" s="2" t="s">
        <v>22</v>
      </c>
      <c r="D3532" t="s">
        <v>33</v>
      </c>
      <c r="E3532">
        <v>113365</v>
      </c>
      <c r="F3532" t="s">
        <v>14</v>
      </c>
      <c r="G3532" t="s">
        <v>30</v>
      </c>
      <c r="H3532" t="s">
        <v>16</v>
      </c>
      <c r="I3532">
        <v>0</v>
      </c>
      <c r="J3532">
        <v>0</v>
      </c>
      <c r="K3532">
        <v>0</v>
      </c>
    </row>
    <row r="3533" spans="1:11" x14ac:dyDescent="0.25">
      <c r="A3533" t="s">
        <v>3573</v>
      </c>
      <c r="B3533" s="1">
        <v>45869.565300925926</v>
      </c>
      <c r="C3533" s="2" t="s">
        <v>41</v>
      </c>
      <c r="D3533" t="s">
        <v>13</v>
      </c>
      <c r="E3533">
        <v>5000</v>
      </c>
      <c r="F3533" t="s">
        <v>14</v>
      </c>
      <c r="G3533" t="s">
        <v>30</v>
      </c>
      <c r="H3533" t="s">
        <v>16</v>
      </c>
      <c r="I3533">
        <v>92.5</v>
      </c>
      <c r="J3533">
        <v>37</v>
      </c>
      <c r="K3533">
        <v>55.5</v>
      </c>
    </row>
    <row r="3534" spans="1:11" x14ac:dyDescent="0.25">
      <c r="A3534" t="s">
        <v>3574</v>
      </c>
      <c r="B3534" s="1">
        <v>46074.655057870368</v>
      </c>
      <c r="C3534" s="2" t="s">
        <v>41</v>
      </c>
      <c r="D3534" t="s">
        <v>23</v>
      </c>
      <c r="E3534">
        <v>2973</v>
      </c>
      <c r="F3534" t="s">
        <v>14</v>
      </c>
      <c r="G3534" t="s">
        <v>20</v>
      </c>
      <c r="H3534" t="s">
        <v>16</v>
      </c>
      <c r="I3534">
        <v>0</v>
      </c>
      <c r="J3534">
        <v>0</v>
      </c>
      <c r="K3534">
        <v>0</v>
      </c>
    </row>
    <row r="3535" spans="1:11" x14ac:dyDescent="0.25">
      <c r="A3535" t="s">
        <v>3575</v>
      </c>
      <c r="B3535" s="1">
        <v>45926.706886574073</v>
      </c>
      <c r="C3535" s="2" t="s">
        <v>29</v>
      </c>
      <c r="D3535" t="s">
        <v>33</v>
      </c>
      <c r="E3535">
        <v>58079</v>
      </c>
      <c r="F3535" t="s">
        <v>14</v>
      </c>
      <c r="G3535" t="s">
        <v>15</v>
      </c>
      <c r="H3535" t="s">
        <v>16</v>
      </c>
      <c r="I3535">
        <v>0</v>
      </c>
      <c r="J3535">
        <v>0</v>
      </c>
      <c r="K3535">
        <v>0</v>
      </c>
    </row>
    <row r="3536" spans="1:11" x14ac:dyDescent="0.25">
      <c r="A3536" t="s">
        <v>3576</v>
      </c>
      <c r="B3536" s="1">
        <v>45812.011608796296</v>
      </c>
      <c r="C3536" s="2" t="s">
        <v>32</v>
      </c>
      <c r="D3536" t="s">
        <v>45</v>
      </c>
      <c r="E3536">
        <v>53801</v>
      </c>
      <c r="F3536" t="s">
        <v>14</v>
      </c>
      <c r="G3536" t="s">
        <v>24</v>
      </c>
      <c r="H3536" t="s">
        <v>56</v>
      </c>
      <c r="I3536">
        <v>538.01</v>
      </c>
      <c r="J3536">
        <v>0</v>
      </c>
      <c r="K3536">
        <v>538.01</v>
      </c>
    </row>
    <row r="3537" spans="1:11" x14ac:dyDescent="0.25">
      <c r="A3537" t="s">
        <v>3577</v>
      </c>
      <c r="B3537" s="1">
        <v>46128.663541666669</v>
      </c>
      <c r="C3537" s="2" t="s">
        <v>29</v>
      </c>
      <c r="D3537" t="s">
        <v>23</v>
      </c>
      <c r="E3537">
        <v>4335</v>
      </c>
      <c r="F3537" t="s">
        <v>14</v>
      </c>
      <c r="G3537" t="s">
        <v>27</v>
      </c>
      <c r="H3537" t="s">
        <v>16</v>
      </c>
      <c r="I3537">
        <v>0</v>
      </c>
      <c r="J3537">
        <v>0</v>
      </c>
      <c r="K3537">
        <v>0</v>
      </c>
    </row>
    <row r="3538" spans="1:11" x14ac:dyDescent="0.25">
      <c r="A3538" t="s">
        <v>3578</v>
      </c>
      <c r="B3538" s="1">
        <v>45903.712951388887</v>
      </c>
      <c r="C3538" s="2" t="s">
        <v>39</v>
      </c>
      <c r="D3538" t="s">
        <v>19</v>
      </c>
      <c r="E3538">
        <v>130660</v>
      </c>
      <c r="F3538" t="s">
        <v>50</v>
      </c>
      <c r="G3538" t="s">
        <v>30</v>
      </c>
      <c r="H3538" t="s">
        <v>16</v>
      </c>
      <c r="I3538">
        <v>5</v>
      </c>
      <c r="J3538">
        <v>0</v>
      </c>
      <c r="K3538">
        <v>5</v>
      </c>
    </row>
    <row r="3539" spans="1:11" x14ac:dyDescent="0.25">
      <c r="A3539" t="s">
        <v>3579</v>
      </c>
      <c r="B3539" s="1">
        <v>45902.357499999998</v>
      </c>
      <c r="C3539" s="2" t="s">
        <v>41</v>
      </c>
      <c r="D3539" t="s">
        <v>33</v>
      </c>
      <c r="E3539">
        <v>114025</v>
      </c>
      <c r="F3539" t="s">
        <v>14</v>
      </c>
      <c r="G3539" t="s">
        <v>27</v>
      </c>
      <c r="H3539" t="s">
        <v>16</v>
      </c>
      <c r="I3539">
        <v>0</v>
      </c>
      <c r="J3539">
        <v>0</v>
      </c>
      <c r="K3539">
        <v>0</v>
      </c>
    </row>
    <row r="3540" spans="1:11" x14ac:dyDescent="0.25">
      <c r="A3540" t="s">
        <v>3580</v>
      </c>
      <c r="B3540" s="1">
        <v>45793.497395833336</v>
      </c>
      <c r="C3540" s="2" t="s">
        <v>18</v>
      </c>
      <c r="D3540" t="s">
        <v>23</v>
      </c>
      <c r="E3540">
        <v>2509</v>
      </c>
      <c r="F3540" t="s">
        <v>99</v>
      </c>
      <c r="G3540" t="s">
        <v>20</v>
      </c>
      <c r="H3540" t="s">
        <v>16</v>
      </c>
      <c r="I3540">
        <v>0</v>
      </c>
      <c r="J3540">
        <v>0</v>
      </c>
      <c r="K3540">
        <v>0</v>
      </c>
    </row>
    <row r="3541" spans="1:11" x14ac:dyDescent="0.25">
      <c r="A3541" t="s">
        <v>3581</v>
      </c>
      <c r="B3541" s="1">
        <v>45844.965879629628</v>
      </c>
      <c r="C3541" s="2" t="s">
        <v>32</v>
      </c>
      <c r="D3541" t="s">
        <v>33</v>
      </c>
      <c r="E3541">
        <v>126295</v>
      </c>
      <c r="F3541" t="s">
        <v>14</v>
      </c>
      <c r="G3541" t="s">
        <v>84</v>
      </c>
      <c r="H3541" t="s">
        <v>16</v>
      </c>
      <c r="I3541">
        <v>0</v>
      </c>
      <c r="J3541">
        <v>0</v>
      </c>
      <c r="K3541">
        <v>0</v>
      </c>
    </row>
    <row r="3542" spans="1:11" x14ac:dyDescent="0.25">
      <c r="A3542" t="s">
        <v>3582</v>
      </c>
      <c r="B3542" s="1">
        <v>46101.595682870371</v>
      </c>
      <c r="C3542" s="2" t="s">
        <v>18</v>
      </c>
      <c r="D3542" t="s">
        <v>13</v>
      </c>
      <c r="E3542">
        <v>145000</v>
      </c>
      <c r="F3542" t="s">
        <v>50</v>
      </c>
      <c r="G3542" t="s">
        <v>15</v>
      </c>
      <c r="H3542" t="s">
        <v>16</v>
      </c>
      <c r="I3542">
        <v>2682.5</v>
      </c>
      <c r="J3542">
        <v>1073</v>
      </c>
      <c r="K3542">
        <v>1609.5</v>
      </c>
    </row>
    <row r="3543" spans="1:11" x14ac:dyDescent="0.25">
      <c r="A3543" t="s">
        <v>3583</v>
      </c>
      <c r="B3543" s="1">
        <v>46121.657581018517</v>
      </c>
      <c r="C3543" s="2" t="s">
        <v>39</v>
      </c>
      <c r="D3543" t="s">
        <v>33</v>
      </c>
      <c r="E3543">
        <v>92160</v>
      </c>
      <c r="F3543" t="s">
        <v>14</v>
      </c>
      <c r="G3543" t="s">
        <v>58</v>
      </c>
      <c r="H3543" t="s">
        <v>16</v>
      </c>
      <c r="I3543">
        <v>0</v>
      </c>
      <c r="J3543">
        <v>0</v>
      </c>
      <c r="K3543">
        <v>0</v>
      </c>
    </row>
    <row r="3544" spans="1:11" x14ac:dyDescent="0.25">
      <c r="A3544" t="s">
        <v>3584</v>
      </c>
      <c r="B3544" s="1">
        <v>46105.014861111114</v>
      </c>
      <c r="C3544" s="2" t="s">
        <v>32</v>
      </c>
      <c r="D3544" t="s">
        <v>23</v>
      </c>
      <c r="E3544">
        <v>4478</v>
      </c>
      <c r="F3544" t="s">
        <v>50</v>
      </c>
      <c r="G3544" t="s">
        <v>34</v>
      </c>
      <c r="H3544" t="s">
        <v>16</v>
      </c>
      <c r="I3544">
        <v>0</v>
      </c>
      <c r="J3544">
        <v>0</v>
      </c>
      <c r="K3544">
        <v>0</v>
      </c>
    </row>
    <row r="3545" spans="1:11" x14ac:dyDescent="0.25">
      <c r="A3545" t="s">
        <v>3585</v>
      </c>
      <c r="B3545" s="1">
        <v>45952.631215277775</v>
      </c>
      <c r="C3545" s="2" t="s">
        <v>26</v>
      </c>
      <c r="D3545" t="s">
        <v>19</v>
      </c>
      <c r="E3545">
        <v>117120</v>
      </c>
      <c r="F3545" t="s">
        <v>14</v>
      </c>
      <c r="G3545" t="s">
        <v>51</v>
      </c>
      <c r="H3545" t="s">
        <v>16</v>
      </c>
      <c r="I3545">
        <v>5</v>
      </c>
      <c r="J3545">
        <v>0</v>
      </c>
      <c r="K3545">
        <v>5</v>
      </c>
    </row>
    <row r="3546" spans="1:11" x14ac:dyDescent="0.25">
      <c r="A3546" t="s">
        <v>3586</v>
      </c>
      <c r="B3546" s="1">
        <v>46022.910601851851</v>
      </c>
      <c r="C3546" s="2" t="s">
        <v>12</v>
      </c>
      <c r="D3546" t="s">
        <v>23</v>
      </c>
      <c r="E3546">
        <v>2483</v>
      </c>
      <c r="F3546" t="s">
        <v>14</v>
      </c>
      <c r="G3546" t="s">
        <v>34</v>
      </c>
      <c r="H3546" t="s">
        <v>16</v>
      </c>
      <c r="I3546">
        <v>0</v>
      </c>
      <c r="J3546">
        <v>0</v>
      </c>
      <c r="K3546">
        <v>0</v>
      </c>
    </row>
    <row r="3547" spans="1:11" x14ac:dyDescent="0.25">
      <c r="A3547" t="s">
        <v>3587</v>
      </c>
      <c r="B3547" s="1">
        <v>46099.420231481483</v>
      </c>
      <c r="C3547" s="2" t="s">
        <v>26</v>
      </c>
      <c r="D3547" t="s">
        <v>19</v>
      </c>
      <c r="E3547">
        <v>34166</v>
      </c>
      <c r="F3547" t="s">
        <v>14</v>
      </c>
      <c r="G3547" t="s">
        <v>34</v>
      </c>
      <c r="H3547" t="s">
        <v>16</v>
      </c>
      <c r="I3547">
        <v>5</v>
      </c>
      <c r="J3547">
        <v>0</v>
      </c>
      <c r="K3547">
        <v>5</v>
      </c>
    </row>
    <row r="3548" spans="1:11" x14ac:dyDescent="0.25">
      <c r="A3548" t="s">
        <v>3588</v>
      </c>
      <c r="B3548" s="1">
        <v>46120.199629629627</v>
      </c>
      <c r="C3548" s="2" t="s">
        <v>32</v>
      </c>
      <c r="D3548" t="s">
        <v>23</v>
      </c>
      <c r="E3548">
        <v>3387</v>
      </c>
      <c r="F3548" t="s">
        <v>14</v>
      </c>
      <c r="G3548" t="s">
        <v>34</v>
      </c>
      <c r="H3548" t="s">
        <v>16</v>
      </c>
      <c r="I3548">
        <v>0</v>
      </c>
      <c r="J3548">
        <v>0</v>
      </c>
      <c r="K3548">
        <v>0</v>
      </c>
    </row>
    <row r="3549" spans="1:11" x14ac:dyDescent="0.25">
      <c r="A3549" t="s">
        <v>3589</v>
      </c>
      <c r="B3549" s="1">
        <v>46024.669189814813</v>
      </c>
      <c r="C3549" s="2" t="s">
        <v>29</v>
      </c>
      <c r="D3549" t="s">
        <v>13</v>
      </c>
      <c r="E3549">
        <v>219500</v>
      </c>
      <c r="F3549" t="s">
        <v>14</v>
      </c>
      <c r="G3549" t="s">
        <v>34</v>
      </c>
      <c r="H3549" t="s">
        <v>16</v>
      </c>
      <c r="I3549">
        <v>4060.75</v>
      </c>
      <c r="J3549">
        <v>1624.3</v>
      </c>
      <c r="K3549">
        <v>2436.4499999999998</v>
      </c>
    </row>
    <row r="3550" spans="1:11" x14ac:dyDescent="0.25">
      <c r="A3550" t="s">
        <v>3590</v>
      </c>
      <c r="B3550" s="1">
        <v>45799.743946759256</v>
      </c>
      <c r="C3550" s="2" t="s">
        <v>32</v>
      </c>
      <c r="D3550" t="s">
        <v>45</v>
      </c>
      <c r="E3550">
        <v>144308</v>
      </c>
      <c r="F3550" t="s">
        <v>14</v>
      </c>
      <c r="G3550" t="s">
        <v>30</v>
      </c>
      <c r="H3550" t="s">
        <v>71</v>
      </c>
      <c r="I3550">
        <v>1443.08</v>
      </c>
      <c r="J3550">
        <v>0</v>
      </c>
      <c r="K3550">
        <v>1443.08</v>
      </c>
    </row>
    <row r="3551" spans="1:11" x14ac:dyDescent="0.25">
      <c r="A3551" t="s">
        <v>3591</v>
      </c>
      <c r="B3551" s="1">
        <v>46091.943912037037</v>
      </c>
      <c r="C3551" s="2" t="s">
        <v>32</v>
      </c>
      <c r="D3551" t="s">
        <v>45</v>
      </c>
      <c r="E3551">
        <v>53990</v>
      </c>
      <c r="F3551" t="s">
        <v>99</v>
      </c>
      <c r="G3551" t="s">
        <v>58</v>
      </c>
      <c r="H3551" t="s">
        <v>46</v>
      </c>
      <c r="I3551">
        <v>539.9</v>
      </c>
      <c r="J3551">
        <v>0</v>
      </c>
      <c r="K3551">
        <v>539.9</v>
      </c>
    </row>
    <row r="3552" spans="1:11" x14ac:dyDescent="0.25">
      <c r="A3552" t="s">
        <v>3592</v>
      </c>
      <c r="B3552" s="1">
        <v>46017.991388888891</v>
      </c>
      <c r="C3552" s="2" t="s">
        <v>22</v>
      </c>
      <c r="D3552" t="s">
        <v>19</v>
      </c>
      <c r="E3552">
        <v>40318</v>
      </c>
      <c r="F3552" t="s">
        <v>14</v>
      </c>
      <c r="G3552" t="s">
        <v>34</v>
      </c>
      <c r="H3552" t="s">
        <v>16</v>
      </c>
      <c r="I3552">
        <v>5</v>
      </c>
      <c r="J3552">
        <v>0</v>
      </c>
      <c r="K3552">
        <v>5</v>
      </c>
    </row>
    <row r="3553" spans="1:11" x14ac:dyDescent="0.25">
      <c r="A3553" t="s">
        <v>3593</v>
      </c>
      <c r="B3553" s="1">
        <v>45781.916828703703</v>
      </c>
      <c r="C3553" s="2" t="s">
        <v>41</v>
      </c>
      <c r="D3553" t="s">
        <v>33</v>
      </c>
      <c r="E3553">
        <v>4743</v>
      </c>
      <c r="F3553" t="s">
        <v>14</v>
      </c>
      <c r="G3553" t="s">
        <v>34</v>
      </c>
      <c r="H3553" t="s">
        <v>16</v>
      </c>
      <c r="I3553">
        <v>0</v>
      </c>
      <c r="J3553">
        <v>0</v>
      </c>
      <c r="K3553">
        <v>0</v>
      </c>
    </row>
    <row r="3554" spans="1:11" x14ac:dyDescent="0.25">
      <c r="A3554" t="s">
        <v>3594</v>
      </c>
      <c r="B3554" s="1">
        <v>45829.388425925928</v>
      </c>
      <c r="C3554" s="2" t="s">
        <v>26</v>
      </c>
      <c r="D3554" t="s">
        <v>33</v>
      </c>
      <c r="E3554">
        <v>92660</v>
      </c>
      <c r="F3554" t="s">
        <v>14</v>
      </c>
      <c r="G3554" t="s">
        <v>27</v>
      </c>
      <c r="H3554" t="s">
        <v>16</v>
      </c>
      <c r="I3554">
        <v>0</v>
      </c>
      <c r="J3554">
        <v>0</v>
      </c>
      <c r="K3554">
        <v>0</v>
      </c>
    </row>
    <row r="3555" spans="1:11" x14ac:dyDescent="0.25">
      <c r="A3555" t="s">
        <v>3595</v>
      </c>
      <c r="B3555" s="1">
        <v>45868.676469907405</v>
      </c>
      <c r="C3555" s="2" t="s">
        <v>39</v>
      </c>
      <c r="D3555" t="s">
        <v>23</v>
      </c>
      <c r="E3555">
        <v>1351</v>
      </c>
      <c r="F3555" t="s">
        <v>14</v>
      </c>
      <c r="G3555" t="s">
        <v>27</v>
      </c>
      <c r="H3555" t="s">
        <v>16</v>
      </c>
      <c r="I3555">
        <v>0</v>
      </c>
      <c r="J3555">
        <v>0</v>
      </c>
      <c r="K3555">
        <v>0</v>
      </c>
    </row>
    <row r="3556" spans="1:11" x14ac:dyDescent="0.25">
      <c r="A3556" t="s">
        <v>3596</v>
      </c>
      <c r="B3556" s="1">
        <v>45867.460543981484</v>
      </c>
      <c r="C3556" s="2" t="s">
        <v>22</v>
      </c>
      <c r="D3556" t="s">
        <v>33</v>
      </c>
      <c r="E3556">
        <v>128281</v>
      </c>
      <c r="F3556" t="s">
        <v>99</v>
      </c>
      <c r="G3556" t="s">
        <v>34</v>
      </c>
      <c r="H3556" t="s">
        <v>16</v>
      </c>
      <c r="I3556">
        <v>0</v>
      </c>
      <c r="J3556">
        <v>0</v>
      </c>
      <c r="K3556">
        <v>0</v>
      </c>
    </row>
    <row r="3557" spans="1:11" x14ac:dyDescent="0.25">
      <c r="A3557" t="s">
        <v>3597</v>
      </c>
      <c r="B3557" s="1">
        <v>45913.500324074077</v>
      </c>
      <c r="C3557" s="2" t="s">
        <v>12</v>
      </c>
      <c r="D3557" t="s">
        <v>19</v>
      </c>
      <c r="E3557">
        <v>16518</v>
      </c>
      <c r="F3557" t="s">
        <v>50</v>
      </c>
      <c r="G3557" t="s">
        <v>20</v>
      </c>
      <c r="H3557" t="s">
        <v>16</v>
      </c>
      <c r="I3557">
        <v>5</v>
      </c>
      <c r="J3557">
        <v>0</v>
      </c>
      <c r="K3557">
        <v>5</v>
      </c>
    </row>
    <row r="3558" spans="1:11" x14ac:dyDescent="0.25">
      <c r="A3558" t="s">
        <v>3598</v>
      </c>
      <c r="B3558" s="1">
        <v>45785.082824074074</v>
      </c>
      <c r="C3558" s="2" t="s">
        <v>39</v>
      </c>
      <c r="D3558" t="s">
        <v>33</v>
      </c>
      <c r="E3558">
        <v>61301</v>
      </c>
      <c r="F3558" t="s">
        <v>14</v>
      </c>
      <c r="G3558" t="s">
        <v>30</v>
      </c>
      <c r="H3558" t="s">
        <v>16</v>
      </c>
      <c r="I3558">
        <v>0</v>
      </c>
      <c r="J3558">
        <v>0</v>
      </c>
      <c r="K3558">
        <v>0</v>
      </c>
    </row>
    <row r="3559" spans="1:11" x14ac:dyDescent="0.25">
      <c r="A3559" t="s">
        <v>3599</v>
      </c>
      <c r="B3559" s="1">
        <v>45910.991608796299</v>
      </c>
      <c r="C3559" s="2" t="s">
        <v>32</v>
      </c>
      <c r="D3559" t="s">
        <v>23</v>
      </c>
      <c r="E3559">
        <v>4922</v>
      </c>
      <c r="F3559" t="s">
        <v>14</v>
      </c>
      <c r="G3559" t="s">
        <v>20</v>
      </c>
      <c r="H3559" t="s">
        <v>16</v>
      </c>
      <c r="I3559">
        <v>0</v>
      </c>
      <c r="J3559">
        <v>0</v>
      </c>
      <c r="K3559">
        <v>0</v>
      </c>
    </row>
    <row r="3560" spans="1:11" x14ac:dyDescent="0.25">
      <c r="A3560" t="s">
        <v>3600</v>
      </c>
      <c r="B3560" s="1">
        <v>45867.8437037037</v>
      </c>
      <c r="C3560" s="2" t="s">
        <v>22</v>
      </c>
      <c r="D3560" t="s">
        <v>45</v>
      </c>
      <c r="E3560">
        <v>145893</v>
      </c>
      <c r="F3560" t="s">
        <v>99</v>
      </c>
      <c r="G3560" t="s">
        <v>30</v>
      </c>
      <c r="H3560" t="s">
        <v>178</v>
      </c>
      <c r="I3560">
        <v>1458.93</v>
      </c>
      <c r="J3560">
        <v>0</v>
      </c>
      <c r="K3560">
        <v>1458.93</v>
      </c>
    </row>
    <row r="3561" spans="1:11" x14ac:dyDescent="0.25">
      <c r="A3561" t="s">
        <v>3601</v>
      </c>
      <c r="B3561" s="1">
        <v>45910.252766203703</v>
      </c>
      <c r="C3561" s="2" t="s">
        <v>29</v>
      </c>
      <c r="D3561" t="s">
        <v>23</v>
      </c>
      <c r="E3561">
        <v>2500</v>
      </c>
      <c r="F3561" t="s">
        <v>14</v>
      </c>
      <c r="G3561" t="s">
        <v>34</v>
      </c>
      <c r="H3561" t="s">
        <v>16</v>
      </c>
      <c r="I3561">
        <v>0</v>
      </c>
      <c r="J3561">
        <v>0</v>
      </c>
      <c r="K3561">
        <v>0</v>
      </c>
    </row>
    <row r="3562" spans="1:11" x14ac:dyDescent="0.25">
      <c r="A3562" t="s">
        <v>3602</v>
      </c>
      <c r="B3562" s="1">
        <v>46076.496631944443</v>
      </c>
      <c r="C3562" s="2" t="s">
        <v>32</v>
      </c>
      <c r="D3562" t="s">
        <v>33</v>
      </c>
      <c r="E3562">
        <v>132619</v>
      </c>
      <c r="F3562" t="s">
        <v>14</v>
      </c>
      <c r="G3562" t="s">
        <v>34</v>
      </c>
      <c r="H3562" t="s">
        <v>16</v>
      </c>
      <c r="I3562">
        <v>0</v>
      </c>
      <c r="J3562">
        <v>0</v>
      </c>
      <c r="K3562">
        <v>0</v>
      </c>
    </row>
    <row r="3563" spans="1:11" x14ac:dyDescent="0.25">
      <c r="A3563" t="s">
        <v>3603</v>
      </c>
      <c r="B3563" s="1">
        <v>46046.784282407411</v>
      </c>
      <c r="C3563" s="2" t="s">
        <v>29</v>
      </c>
      <c r="D3563" t="s">
        <v>19</v>
      </c>
      <c r="E3563">
        <v>145791</v>
      </c>
      <c r="F3563" t="s">
        <v>14</v>
      </c>
      <c r="G3563" t="s">
        <v>20</v>
      </c>
      <c r="H3563" t="s">
        <v>16</v>
      </c>
      <c r="I3563">
        <v>5</v>
      </c>
      <c r="J3563">
        <v>0</v>
      </c>
      <c r="K3563">
        <v>5</v>
      </c>
    </row>
    <row r="3564" spans="1:11" x14ac:dyDescent="0.25">
      <c r="A3564" t="s">
        <v>3604</v>
      </c>
      <c r="B3564" s="1">
        <v>45851.423182870371</v>
      </c>
      <c r="C3564" s="2" t="s">
        <v>32</v>
      </c>
      <c r="D3564" t="s">
        <v>45</v>
      </c>
      <c r="E3564">
        <v>55412</v>
      </c>
      <c r="F3564" t="s">
        <v>14</v>
      </c>
      <c r="G3564" t="s">
        <v>27</v>
      </c>
      <c r="H3564" t="s">
        <v>59</v>
      </c>
      <c r="I3564">
        <v>554.12</v>
      </c>
      <c r="J3564">
        <v>0</v>
      </c>
      <c r="K3564">
        <v>554.12</v>
      </c>
    </row>
    <row r="3565" spans="1:11" x14ac:dyDescent="0.25">
      <c r="A3565" t="s">
        <v>3605</v>
      </c>
      <c r="B3565" s="1">
        <v>45993.034895833334</v>
      </c>
      <c r="C3565" s="2" t="s">
        <v>22</v>
      </c>
      <c r="D3565" t="s">
        <v>33</v>
      </c>
      <c r="E3565">
        <v>19779</v>
      </c>
      <c r="F3565" t="s">
        <v>14</v>
      </c>
      <c r="G3565" t="s">
        <v>24</v>
      </c>
      <c r="H3565" t="s">
        <v>16</v>
      </c>
      <c r="I3565">
        <v>0</v>
      </c>
      <c r="J3565">
        <v>0</v>
      </c>
      <c r="K3565">
        <v>0</v>
      </c>
    </row>
    <row r="3566" spans="1:11" x14ac:dyDescent="0.25">
      <c r="A3566" t="s">
        <v>3606</v>
      </c>
      <c r="B3566" s="1">
        <v>45946.166655092595</v>
      </c>
      <c r="C3566" s="2" t="s">
        <v>22</v>
      </c>
      <c r="D3566" t="s">
        <v>45</v>
      </c>
      <c r="E3566">
        <v>137312</v>
      </c>
      <c r="F3566" t="s">
        <v>14</v>
      </c>
      <c r="G3566" t="s">
        <v>51</v>
      </c>
      <c r="H3566" t="s">
        <v>46</v>
      </c>
      <c r="I3566">
        <v>1373.12</v>
      </c>
      <c r="J3566">
        <v>0</v>
      </c>
      <c r="K3566">
        <v>1373.12</v>
      </c>
    </row>
    <row r="3567" spans="1:11" x14ac:dyDescent="0.25">
      <c r="A3567" t="s">
        <v>3607</v>
      </c>
      <c r="B3567" s="1">
        <v>46001.834687499999</v>
      </c>
      <c r="C3567" s="2" t="s">
        <v>22</v>
      </c>
      <c r="D3567" t="s">
        <v>45</v>
      </c>
      <c r="E3567">
        <v>115832</v>
      </c>
      <c r="F3567" t="s">
        <v>14</v>
      </c>
      <c r="G3567" t="s">
        <v>24</v>
      </c>
      <c r="H3567" t="s">
        <v>59</v>
      </c>
      <c r="I3567">
        <v>1158.32</v>
      </c>
      <c r="J3567">
        <v>0</v>
      </c>
      <c r="K3567">
        <v>1158.32</v>
      </c>
    </row>
    <row r="3568" spans="1:11" x14ac:dyDescent="0.25">
      <c r="A3568" t="s">
        <v>3608</v>
      </c>
      <c r="B3568" s="1">
        <v>45895.963831018518</v>
      </c>
      <c r="C3568" s="2" t="s">
        <v>39</v>
      </c>
      <c r="D3568" t="s">
        <v>45</v>
      </c>
      <c r="E3568">
        <v>144863</v>
      </c>
      <c r="F3568" t="s">
        <v>50</v>
      </c>
      <c r="G3568" t="s">
        <v>20</v>
      </c>
      <c r="H3568" t="s">
        <v>56</v>
      </c>
      <c r="I3568">
        <v>1448.63</v>
      </c>
      <c r="J3568">
        <v>0</v>
      </c>
      <c r="K3568">
        <v>1448.63</v>
      </c>
    </row>
    <row r="3569" spans="1:11" x14ac:dyDescent="0.25">
      <c r="A3569" t="s">
        <v>3609</v>
      </c>
      <c r="B3569" s="1">
        <v>45971.925208333334</v>
      </c>
      <c r="C3569" s="2" t="s">
        <v>18</v>
      </c>
      <c r="D3569" t="s">
        <v>45</v>
      </c>
      <c r="E3569">
        <v>10106</v>
      </c>
      <c r="F3569" t="s">
        <v>99</v>
      </c>
      <c r="G3569" t="s">
        <v>58</v>
      </c>
      <c r="H3569" t="s">
        <v>71</v>
      </c>
      <c r="I3569">
        <v>101.06</v>
      </c>
      <c r="J3569">
        <v>0</v>
      </c>
      <c r="K3569">
        <v>101.06</v>
      </c>
    </row>
    <row r="3570" spans="1:11" x14ac:dyDescent="0.25">
      <c r="A3570" t="s">
        <v>3610</v>
      </c>
      <c r="B3570" s="1">
        <v>45921.821168981478</v>
      </c>
      <c r="C3570" s="2" t="s">
        <v>26</v>
      </c>
      <c r="D3570" t="s">
        <v>19</v>
      </c>
      <c r="E3570">
        <v>7839</v>
      </c>
      <c r="F3570" t="s">
        <v>14</v>
      </c>
      <c r="G3570" t="s">
        <v>27</v>
      </c>
      <c r="H3570" t="s">
        <v>16</v>
      </c>
      <c r="I3570">
        <v>5</v>
      </c>
      <c r="J3570">
        <v>0</v>
      </c>
      <c r="K3570">
        <v>5</v>
      </c>
    </row>
    <row r="3571" spans="1:11" x14ac:dyDescent="0.25">
      <c r="A3571" t="s">
        <v>3611</v>
      </c>
      <c r="B3571" s="1">
        <v>46025.881643518522</v>
      </c>
      <c r="C3571" s="2" t="s">
        <v>29</v>
      </c>
      <c r="D3571" t="s">
        <v>33</v>
      </c>
      <c r="E3571">
        <v>4656</v>
      </c>
      <c r="F3571" t="s">
        <v>14</v>
      </c>
      <c r="G3571" t="s">
        <v>84</v>
      </c>
      <c r="H3571" t="s">
        <v>16</v>
      </c>
      <c r="I3571">
        <v>0</v>
      </c>
      <c r="J3571">
        <v>0</v>
      </c>
      <c r="K3571">
        <v>0</v>
      </c>
    </row>
    <row r="3572" spans="1:11" x14ac:dyDescent="0.25">
      <c r="A3572" t="s">
        <v>3612</v>
      </c>
      <c r="B3572" s="1">
        <v>46003.658518518518</v>
      </c>
      <c r="C3572" s="2" t="s">
        <v>29</v>
      </c>
      <c r="D3572" t="s">
        <v>19</v>
      </c>
      <c r="E3572">
        <v>99401</v>
      </c>
      <c r="F3572" t="s">
        <v>14</v>
      </c>
      <c r="G3572" t="s">
        <v>24</v>
      </c>
      <c r="H3572" t="s">
        <v>16</v>
      </c>
      <c r="I3572">
        <v>5</v>
      </c>
      <c r="J3572">
        <v>0</v>
      </c>
      <c r="K3572">
        <v>5</v>
      </c>
    </row>
    <row r="3573" spans="1:11" x14ac:dyDescent="0.25">
      <c r="A3573" t="s">
        <v>3613</v>
      </c>
      <c r="B3573" s="1">
        <v>46084.314918981479</v>
      </c>
      <c r="C3573" s="2" t="s">
        <v>39</v>
      </c>
      <c r="D3573" t="s">
        <v>45</v>
      </c>
      <c r="E3573">
        <v>112192</v>
      </c>
      <c r="F3573" t="s">
        <v>14</v>
      </c>
      <c r="G3573" t="s">
        <v>30</v>
      </c>
      <c r="H3573" t="s">
        <v>178</v>
      </c>
      <c r="I3573">
        <v>1121.92</v>
      </c>
      <c r="J3573">
        <v>0</v>
      </c>
      <c r="K3573">
        <v>1121.92</v>
      </c>
    </row>
    <row r="3574" spans="1:11" x14ac:dyDescent="0.25">
      <c r="A3574" t="s">
        <v>3614</v>
      </c>
      <c r="B3574" s="1">
        <v>45798.295266203706</v>
      </c>
      <c r="C3574" s="2" t="s">
        <v>18</v>
      </c>
      <c r="D3574" t="s">
        <v>33</v>
      </c>
      <c r="E3574">
        <v>74984</v>
      </c>
      <c r="F3574" t="s">
        <v>14</v>
      </c>
      <c r="G3574" t="s">
        <v>30</v>
      </c>
      <c r="H3574" t="s">
        <v>16</v>
      </c>
      <c r="I3574">
        <v>0</v>
      </c>
      <c r="J3574">
        <v>0</v>
      </c>
      <c r="K3574">
        <v>0</v>
      </c>
    </row>
    <row r="3575" spans="1:11" x14ac:dyDescent="0.25">
      <c r="A3575" t="s">
        <v>3615</v>
      </c>
      <c r="B3575" s="1">
        <v>45986.461342592593</v>
      </c>
      <c r="C3575" s="2" t="s">
        <v>29</v>
      </c>
      <c r="D3575" t="s">
        <v>13</v>
      </c>
      <c r="E3575">
        <v>21000</v>
      </c>
      <c r="F3575" t="s">
        <v>14</v>
      </c>
      <c r="G3575" t="s">
        <v>84</v>
      </c>
      <c r="H3575" t="s">
        <v>16</v>
      </c>
      <c r="I3575">
        <v>388.5</v>
      </c>
      <c r="J3575">
        <v>155.4</v>
      </c>
      <c r="K3575">
        <v>233.1</v>
      </c>
    </row>
    <row r="3576" spans="1:11" x14ac:dyDescent="0.25">
      <c r="A3576" t="s">
        <v>3616</v>
      </c>
      <c r="B3576" s="1">
        <v>45930.586770833332</v>
      </c>
      <c r="C3576" s="2" t="s">
        <v>12</v>
      </c>
      <c r="D3576" t="s">
        <v>45</v>
      </c>
      <c r="E3576">
        <v>3270</v>
      </c>
      <c r="F3576" t="s">
        <v>14</v>
      </c>
      <c r="G3576" t="s">
        <v>15</v>
      </c>
      <c r="H3576" t="s">
        <v>56</v>
      </c>
      <c r="I3576">
        <v>32.700000000000003</v>
      </c>
      <c r="J3576">
        <v>0</v>
      </c>
      <c r="K3576">
        <v>32.700000000000003</v>
      </c>
    </row>
    <row r="3577" spans="1:11" x14ac:dyDescent="0.25">
      <c r="A3577" t="s">
        <v>3617</v>
      </c>
      <c r="B3577" s="1">
        <v>45885.633981481478</v>
      </c>
      <c r="C3577" s="2" t="s">
        <v>26</v>
      </c>
      <c r="D3577" t="s">
        <v>23</v>
      </c>
      <c r="E3577">
        <v>3268</v>
      </c>
      <c r="F3577" t="s">
        <v>14</v>
      </c>
      <c r="G3577" t="s">
        <v>34</v>
      </c>
      <c r="H3577" t="s">
        <v>16</v>
      </c>
      <c r="I3577">
        <v>0</v>
      </c>
      <c r="J3577">
        <v>0</v>
      </c>
      <c r="K3577">
        <v>0</v>
      </c>
    </row>
    <row r="3578" spans="1:11" x14ac:dyDescent="0.25">
      <c r="A3578" t="s">
        <v>3618</v>
      </c>
      <c r="B3578" s="1">
        <v>45821.585243055553</v>
      </c>
      <c r="C3578" s="2" t="s">
        <v>12</v>
      </c>
      <c r="D3578" t="s">
        <v>33</v>
      </c>
      <c r="E3578">
        <v>112063</v>
      </c>
      <c r="F3578" t="s">
        <v>50</v>
      </c>
      <c r="G3578" t="s">
        <v>24</v>
      </c>
      <c r="H3578" t="s">
        <v>16</v>
      </c>
      <c r="I3578">
        <v>0</v>
      </c>
      <c r="J3578">
        <v>0</v>
      </c>
      <c r="K3578">
        <v>0</v>
      </c>
    </row>
    <row r="3579" spans="1:11" x14ac:dyDescent="0.25">
      <c r="A3579" t="s">
        <v>3619</v>
      </c>
      <c r="B3579" s="1">
        <v>46122.354444444441</v>
      </c>
      <c r="C3579" s="2" t="s">
        <v>22</v>
      </c>
      <c r="D3579" t="s">
        <v>33</v>
      </c>
      <c r="E3579">
        <v>43019</v>
      </c>
      <c r="F3579" t="s">
        <v>99</v>
      </c>
      <c r="G3579" t="s">
        <v>84</v>
      </c>
      <c r="H3579" t="s">
        <v>16</v>
      </c>
      <c r="I3579">
        <v>0</v>
      </c>
      <c r="J3579">
        <v>0</v>
      </c>
      <c r="K3579">
        <v>0</v>
      </c>
    </row>
    <row r="3580" spans="1:11" x14ac:dyDescent="0.25">
      <c r="A3580" t="s">
        <v>3620</v>
      </c>
      <c r="B3580" s="1">
        <v>45903.768645833334</v>
      </c>
      <c r="C3580" s="2" t="s">
        <v>18</v>
      </c>
      <c r="D3580" t="s">
        <v>19</v>
      </c>
      <c r="E3580">
        <v>13619</v>
      </c>
      <c r="F3580" t="s">
        <v>14</v>
      </c>
      <c r="G3580" t="s">
        <v>27</v>
      </c>
      <c r="H3580" t="s">
        <v>16</v>
      </c>
      <c r="I3580">
        <v>5</v>
      </c>
      <c r="J3580">
        <v>0</v>
      </c>
      <c r="K3580">
        <v>5</v>
      </c>
    </row>
    <row r="3581" spans="1:11" x14ac:dyDescent="0.25">
      <c r="A3581" t="s">
        <v>3621</v>
      </c>
      <c r="B3581" s="1">
        <v>45982.576041666667</v>
      </c>
      <c r="C3581" s="2" t="s">
        <v>22</v>
      </c>
      <c r="D3581" t="s">
        <v>33</v>
      </c>
      <c r="E3581">
        <v>55843</v>
      </c>
      <c r="F3581" t="s">
        <v>99</v>
      </c>
      <c r="G3581" t="s">
        <v>24</v>
      </c>
      <c r="H3581" t="s">
        <v>16</v>
      </c>
      <c r="I3581">
        <v>0</v>
      </c>
      <c r="J3581">
        <v>0</v>
      </c>
      <c r="K3581">
        <v>0</v>
      </c>
    </row>
    <row r="3582" spans="1:11" x14ac:dyDescent="0.25">
      <c r="A3582" t="s">
        <v>3622</v>
      </c>
      <c r="B3582" s="1">
        <v>46050.991365740738</v>
      </c>
      <c r="C3582" s="2" t="s">
        <v>26</v>
      </c>
      <c r="D3582" t="s">
        <v>33</v>
      </c>
      <c r="E3582">
        <v>98693</v>
      </c>
      <c r="F3582" t="s">
        <v>14</v>
      </c>
      <c r="G3582" t="s">
        <v>27</v>
      </c>
      <c r="H3582" t="s">
        <v>16</v>
      </c>
      <c r="I3582">
        <v>0</v>
      </c>
      <c r="J3582">
        <v>0</v>
      </c>
      <c r="K3582">
        <v>0</v>
      </c>
    </row>
    <row r="3583" spans="1:11" x14ac:dyDescent="0.25">
      <c r="A3583" t="s">
        <v>3623</v>
      </c>
      <c r="B3583" s="1">
        <v>45996.118680555555</v>
      </c>
      <c r="C3583" s="2" t="s">
        <v>12</v>
      </c>
      <c r="D3583" t="s">
        <v>19</v>
      </c>
      <c r="E3583">
        <v>1182</v>
      </c>
      <c r="F3583" t="s">
        <v>14</v>
      </c>
      <c r="G3583" t="s">
        <v>34</v>
      </c>
      <c r="H3583" t="s">
        <v>16</v>
      </c>
      <c r="I3583">
        <v>5</v>
      </c>
      <c r="J3583">
        <v>0</v>
      </c>
      <c r="K3583">
        <v>5</v>
      </c>
    </row>
    <row r="3584" spans="1:11" x14ac:dyDescent="0.25">
      <c r="A3584" t="s">
        <v>3624</v>
      </c>
      <c r="B3584" s="1">
        <v>45814.127800925926</v>
      </c>
      <c r="C3584" s="2" t="s">
        <v>22</v>
      </c>
      <c r="D3584" t="s">
        <v>19</v>
      </c>
      <c r="E3584">
        <v>106257</v>
      </c>
      <c r="F3584" t="s">
        <v>14</v>
      </c>
      <c r="G3584" t="s">
        <v>24</v>
      </c>
      <c r="H3584" t="s">
        <v>16</v>
      </c>
      <c r="I3584">
        <v>5</v>
      </c>
      <c r="J3584">
        <v>0</v>
      </c>
      <c r="K3584">
        <v>5</v>
      </c>
    </row>
    <row r="3585" spans="1:11" x14ac:dyDescent="0.25">
      <c r="A3585" t="s">
        <v>3625</v>
      </c>
      <c r="B3585" s="1">
        <v>45883.743206018517</v>
      </c>
      <c r="C3585" s="2" t="s">
        <v>32</v>
      </c>
      <c r="D3585" t="s">
        <v>33</v>
      </c>
      <c r="E3585">
        <v>122974</v>
      </c>
      <c r="F3585" t="s">
        <v>50</v>
      </c>
      <c r="G3585" t="s">
        <v>58</v>
      </c>
      <c r="H3585" t="s">
        <v>16</v>
      </c>
      <c r="I3585">
        <v>0</v>
      </c>
      <c r="J3585">
        <v>0</v>
      </c>
      <c r="K3585">
        <v>0</v>
      </c>
    </row>
    <row r="3586" spans="1:11" x14ac:dyDescent="0.25">
      <c r="A3586" t="s">
        <v>3626</v>
      </c>
      <c r="B3586" s="1">
        <v>45905.767511574071</v>
      </c>
      <c r="C3586" s="2" t="s">
        <v>41</v>
      </c>
      <c r="D3586" t="s">
        <v>33</v>
      </c>
      <c r="E3586">
        <v>3252</v>
      </c>
      <c r="F3586" t="s">
        <v>50</v>
      </c>
      <c r="G3586" t="s">
        <v>24</v>
      </c>
      <c r="H3586" t="s">
        <v>16</v>
      </c>
      <c r="I3586">
        <v>0</v>
      </c>
      <c r="J3586">
        <v>0</v>
      </c>
      <c r="K3586">
        <v>0</v>
      </c>
    </row>
    <row r="3587" spans="1:11" x14ac:dyDescent="0.25">
      <c r="A3587" t="s">
        <v>3627</v>
      </c>
      <c r="B3587" s="1">
        <v>45896.223541666666</v>
      </c>
      <c r="C3587" s="2" t="s">
        <v>41</v>
      </c>
      <c r="D3587" t="s">
        <v>33</v>
      </c>
      <c r="E3587">
        <v>38111</v>
      </c>
      <c r="F3587" t="s">
        <v>14</v>
      </c>
      <c r="G3587" t="s">
        <v>51</v>
      </c>
      <c r="H3587" t="s">
        <v>16</v>
      </c>
      <c r="I3587">
        <v>0</v>
      </c>
      <c r="J3587">
        <v>0</v>
      </c>
      <c r="K3587">
        <v>0</v>
      </c>
    </row>
    <row r="3588" spans="1:11" x14ac:dyDescent="0.25">
      <c r="A3588" t="s">
        <v>3628</v>
      </c>
      <c r="B3588" s="1">
        <v>46104.032673611109</v>
      </c>
      <c r="C3588" s="2" t="s">
        <v>22</v>
      </c>
      <c r="D3588" t="s">
        <v>45</v>
      </c>
      <c r="E3588">
        <v>27602</v>
      </c>
      <c r="F3588" t="s">
        <v>50</v>
      </c>
      <c r="G3588" t="s">
        <v>15</v>
      </c>
      <c r="H3588" t="s">
        <v>56</v>
      </c>
      <c r="I3588">
        <v>276.02</v>
      </c>
      <c r="J3588">
        <v>0</v>
      </c>
      <c r="K3588">
        <v>276.02</v>
      </c>
    </row>
    <row r="3589" spans="1:11" x14ac:dyDescent="0.25">
      <c r="A3589" t="s">
        <v>3629</v>
      </c>
      <c r="B3589" s="1">
        <v>46112.003101851849</v>
      </c>
      <c r="C3589" s="2" t="s">
        <v>32</v>
      </c>
      <c r="D3589" t="s">
        <v>45</v>
      </c>
      <c r="E3589">
        <v>134633</v>
      </c>
      <c r="F3589" t="s">
        <v>14</v>
      </c>
      <c r="G3589" t="s">
        <v>34</v>
      </c>
      <c r="H3589" t="s">
        <v>56</v>
      </c>
      <c r="I3589">
        <v>1346.33</v>
      </c>
      <c r="J3589">
        <v>0</v>
      </c>
      <c r="K3589">
        <v>1346.33</v>
      </c>
    </row>
    <row r="3590" spans="1:11" x14ac:dyDescent="0.25">
      <c r="A3590" t="s">
        <v>3630</v>
      </c>
      <c r="B3590" s="1">
        <v>45806.127916666665</v>
      </c>
      <c r="C3590" s="2" t="s">
        <v>32</v>
      </c>
      <c r="D3590" t="s">
        <v>45</v>
      </c>
      <c r="E3590">
        <v>147546</v>
      </c>
      <c r="F3590" t="s">
        <v>14</v>
      </c>
      <c r="G3590" t="s">
        <v>34</v>
      </c>
      <c r="H3590" t="s">
        <v>46</v>
      </c>
      <c r="I3590">
        <v>1475.46</v>
      </c>
      <c r="J3590">
        <v>0</v>
      </c>
      <c r="K3590">
        <v>1475.46</v>
      </c>
    </row>
    <row r="3591" spans="1:11" x14ac:dyDescent="0.25">
      <c r="A3591" t="s">
        <v>3631</v>
      </c>
      <c r="B3591" s="1">
        <v>45922.291076388887</v>
      </c>
      <c r="C3591" s="2" t="s">
        <v>18</v>
      </c>
      <c r="D3591" t="s">
        <v>19</v>
      </c>
      <c r="E3591">
        <v>114395</v>
      </c>
      <c r="F3591" t="s">
        <v>50</v>
      </c>
      <c r="G3591" t="s">
        <v>30</v>
      </c>
      <c r="H3591" t="s">
        <v>16</v>
      </c>
      <c r="I3591">
        <v>5</v>
      </c>
      <c r="J3591">
        <v>0</v>
      </c>
      <c r="K3591">
        <v>5</v>
      </c>
    </row>
    <row r="3592" spans="1:11" x14ac:dyDescent="0.25">
      <c r="A3592" t="s">
        <v>3632</v>
      </c>
      <c r="B3592" s="1">
        <v>46040.30128472222</v>
      </c>
      <c r="C3592" s="2" t="s">
        <v>29</v>
      </c>
      <c r="D3592" t="s">
        <v>45</v>
      </c>
      <c r="E3592">
        <v>96563</v>
      </c>
      <c r="F3592" t="s">
        <v>14</v>
      </c>
      <c r="G3592" t="s">
        <v>20</v>
      </c>
      <c r="H3592" t="s">
        <v>59</v>
      </c>
      <c r="I3592">
        <v>965.63</v>
      </c>
      <c r="J3592">
        <v>0</v>
      </c>
      <c r="K3592">
        <v>965.63</v>
      </c>
    </row>
    <row r="3593" spans="1:11" x14ac:dyDescent="0.25">
      <c r="A3593" t="s">
        <v>3633</v>
      </c>
      <c r="B3593" s="1">
        <v>45784.760300925926</v>
      </c>
      <c r="C3593" s="2" t="s">
        <v>32</v>
      </c>
      <c r="D3593" t="s">
        <v>23</v>
      </c>
      <c r="E3593">
        <v>48</v>
      </c>
      <c r="F3593" t="s">
        <v>14</v>
      </c>
      <c r="G3593" t="s">
        <v>84</v>
      </c>
      <c r="H3593" t="s">
        <v>16</v>
      </c>
      <c r="I3593">
        <v>0</v>
      </c>
      <c r="J3593">
        <v>0</v>
      </c>
      <c r="K3593">
        <v>0</v>
      </c>
    </row>
    <row r="3594" spans="1:11" x14ac:dyDescent="0.25">
      <c r="A3594" t="s">
        <v>3634</v>
      </c>
      <c r="B3594" s="1">
        <v>46078.167025462964</v>
      </c>
      <c r="C3594" s="2" t="s">
        <v>39</v>
      </c>
      <c r="D3594" t="s">
        <v>19</v>
      </c>
      <c r="E3594">
        <v>71054</v>
      </c>
      <c r="F3594" t="s">
        <v>14</v>
      </c>
      <c r="G3594" t="s">
        <v>20</v>
      </c>
      <c r="H3594" t="s">
        <v>16</v>
      </c>
      <c r="I3594">
        <v>5</v>
      </c>
      <c r="J3594">
        <v>0</v>
      </c>
      <c r="K3594">
        <v>5</v>
      </c>
    </row>
    <row r="3595" spans="1:11" x14ac:dyDescent="0.25">
      <c r="A3595" t="s">
        <v>3635</v>
      </c>
      <c r="B3595" s="1">
        <v>45840.550370370373</v>
      </c>
      <c r="C3595" s="2" t="s">
        <v>32</v>
      </c>
      <c r="D3595" t="s">
        <v>19</v>
      </c>
      <c r="E3595">
        <v>64998</v>
      </c>
      <c r="F3595" t="s">
        <v>14</v>
      </c>
      <c r="G3595" t="s">
        <v>30</v>
      </c>
      <c r="H3595" t="s">
        <v>16</v>
      </c>
      <c r="I3595">
        <v>5</v>
      </c>
      <c r="J3595">
        <v>0</v>
      </c>
      <c r="K3595">
        <v>5</v>
      </c>
    </row>
    <row r="3596" spans="1:11" x14ac:dyDescent="0.25">
      <c r="A3596" t="s">
        <v>3636</v>
      </c>
      <c r="B3596" s="1">
        <v>45903.92459490741</v>
      </c>
      <c r="C3596" s="2" t="s">
        <v>32</v>
      </c>
      <c r="D3596" t="s">
        <v>19</v>
      </c>
      <c r="E3596">
        <v>434</v>
      </c>
      <c r="F3596" t="s">
        <v>14</v>
      </c>
      <c r="G3596" t="s">
        <v>15</v>
      </c>
      <c r="H3596" t="s">
        <v>16</v>
      </c>
      <c r="I3596">
        <v>5</v>
      </c>
      <c r="J3596">
        <v>0</v>
      </c>
      <c r="K3596">
        <v>5</v>
      </c>
    </row>
    <row r="3597" spans="1:11" x14ac:dyDescent="0.25">
      <c r="A3597" t="s">
        <v>3637</v>
      </c>
      <c r="B3597" s="1">
        <v>45853.177002314813</v>
      </c>
      <c r="C3597" s="2" t="s">
        <v>39</v>
      </c>
      <c r="D3597" t="s">
        <v>23</v>
      </c>
      <c r="E3597">
        <v>3806</v>
      </c>
      <c r="F3597" t="s">
        <v>14</v>
      </c>
      <c r="G3597" t="s">
        <v>84</v>
      </c>
      <c r="H3597" t="s">
        <v>16</v>
      </c>
      <c r="I3597">
        <v>0</v>
      </c>
      <c r="J3597">
        <v>0</v>
      </c>
      <c r="K3597">
        <v>0</v>
      </c>
    </row>
    <row r="3598" spans="1:11" x14ac:dyDescent="0.25">
      <c r="A3598" t="s">
        <v>3638</v>
      </c>
      <c r="B3598" s="1">
        <v>46023.846168981479</v>
      </c>
      <c r="C3598" s="2" t="s">
        <v>18</v>
      </c>
      <c r="D3598" t="s">
        <v>13</v>
      </c>
      <c r="E3598">
        <v>121500</v>
      </c>
      <c r="F3598" t="s">
        <v>50</v>
      </c>
      <c r="G3598" t="s">
        <v>84</v>
      </c>
      <c r="H3598" t="s">
        <v>16</v>
      </c>
      <c r="I3598">
        <v>2247.75</v>
      </c>
      <c r="J3598">
        <v>899.1</v>
      </c>
      <c r="K3598">
        <v>1348.65</v>
      </c>
    </row>
    <row r="3599" spans="1:11" x14ac:dyDescent="0.25">
      <c r="A3599" t="s">
        <v>3639</v>
      </c>
      <c r="B3599" s="1">
        <v>45901.260046296295</v>
      </c>
      <c r="C3599" s="2" t="s">
        <v>26</v>
      </c>
      <c r="D3599" t="s">
        <v>19</v>
      </c>
      <c r="E3599">
        <v>37988</v>
      </c>
      <c r="F3599" t="s">
        <v>14</v>
      </c>
      <c r="G3599" t="s">
        <v>84</v>
      </c>
      <c r="H3599" t="s">
        <v>16</v>
      </c>
      <c r="I3599">
        <v>5</v>
      </c>
      <c r="J3599">
        <v>0</v>
      </c>
      <c r="K3599">
        <v>5</v>
      </c>
    </row>
    <row r="3600" spans="1:11" x14ac:dyDescent="0.25">
      <c r="A3600" t="s">
        <v>3640</v>
      </c>
      <c r="B3600" s="1">
        <v>45960.591793981483</v>
      </c>
      <c r="C3600" s="2" t="s">
        <v>26</v>
      </c>
      <c r="D3600" t="s">
        <v>19</v>
      </c>
      <c r="E3600">
        <v>87149</v>
      </c>
      <c r="F3600" t="s">
        <v>14</v>
      </c>
      <c r="G3600" t="s">
        <v>24</v>
      </c>
      <c r="H3600" t="s">
        <v>16</v>
      </c>
      <c r="I3600">
        <v>5</v>
      </c>
      <c r="J3600">
        <v>0</v>
      </c>
      <c r="K3600">
        <v>5</v>
      </c>
    </row>
    <row r="3601" spans="1:11" x14ac:dyDescent="0.25">
      <c r="A3601" t="s">
        <v>3641</v>
      </c>
      <c r="B3601" s="1">
        <v>46074.325798611113</v>
      </c>
      <c r="C3601" s="2" t="s">
        <v>32</v>
      </c>
      <c r="D3601" t="s">
        <v>23</v>
      </c>
      <c r="E3601">
        <v>4082</v>
      </c>
      <c r="F3601" t="s">
        <v>14</v>
      </c>
      <c r="G3601" t="s">
        <v>27</v>
      </c>
      <c r="H3601" t="s">
        <v>16</v>
      </c>
      <c r="I3601">
        <v>0</v>
      </c>
      <c r="J3601">
        <v>0</v>
      </c>
      <c r="K3601">
        <v>0</v>
      </c>
    </row>
    <row r="3602" spans="1:11" x14ac:dyDescent="0.25">
      <c r="A3602" t="s">
        <v>3642</v>
      </c>
      <c r="B3602" s="1">
        <v>45821.502303240741</v>
      </c>
      <c r="C3602" s="2" t="s">
        <v>39</v>
      </c>
      <c r="D3602" t="s">
        <v>45</v>
      </c>
      <c r="E3602">
        <v>66459</v>
      </c>
      <c r="F3602" t="s">
        <v>14</v>
      </c>
      <c r="G3602" t="s">
        <v>27</v>
      </c>
      <c r="H3602" t="s">
        <v>59</v>
      </c>
      <c r="I3602">
        <v>664.59</v>
      </c>
      <c r="J3602">
        <v>0</v>
      </c>
      <c r="K3602">
        <v>664.59</v>
      </c>
    </row>
    <row r="3603" spans="1:11" x14ac:dyDescent="0.25">
      <c r="A3603" t="s">
        <v>3643</v>
      </c>
      <c r="B3603" s="1">
        <v>45852.017916666664</v>
      </c>
      <c r="C3603" s="2" t="s">
        <v>26</v>
      </c>
      <c r="D3603" t="s">
        <v>23</v>
      </c>
      <c r="E3603">
        <v>351</v>
      </c>
      <c r="F3603" t="s">
        <v>50</v>
      </c>
      <c r="G3603" t="s">
        <v>34</v>
      </c>
      <c r="H3603" t="s">
        <v>16</v>
      </c>
      <c r="I3603">
        <v>0</v>
      </c>
      <c r="J3603">
        <v>0</v>
      </c>
      <c r="K3603">
        <v>0</v>
      </c>
    </row>
    <row r="3604" spans="1:11" x14ac:dyDescent="0.25">
      <c r="A3604" t="s">
        <v>3644</v>
      </c>
      <c r="B3604" s="1">
        <v>46091.646747685183</v>
      </c>
      <c r="C3604" s="2" t="s">
        <v>39</v>
      </c>
      <c r="D3604" t="s">
        <v>19</v>
      </c>
      <c r="E3604">
        <v>25915</v>
      </c>
      <c r="F3604" t="s">
        <v>14</v>
      </c>
      <c r="G3604" t="s">
        <v>30</v>
      </c>
      <c r="H3604" t="s">
        <v>16</v>
      </c>
      <c r="I3604">
        <v>5</v>
      </c>
      <c r="J3604">
        <v>0</v>
      </c>
      <c r="K3604">
        <v>5</v>
      </c>
    </row>
    <row r="3605" spans="1:11" x14ac:dyDescent="0.25">
      <c r="A3605" t="s">
        <v>3645</v>
      </c>
      <c r="B3605" s="1">
        <v>45953.351944444446</v>
      </c>
      <c r="C3605" s="2" t="s">
        <v>12</v>
      </c>
      <c r="D3605" t="s">
        <v>23</v>
      </c>
      <c r="E3605">
        <v>3687</v>
      </c>
      <c r="F3605" t="s">
        <v>14</v>
      </c>
      <c r="G3605" t="s">
        <v>34</v>
      </c>
      <c r="H3605" t="s">
        <v>16</v>
      </c>
      <c r="I3605">
        <v>0</v>
      </c>
      <c r="J3605">
        <v>0</v>
      </c>
      <c r="K3605">
        <v>0</v>
      </c>
    </row>
    <row r="3606" spans="1:11" x14ac:dyDescent="0.25">
      <c r="A3606" t="s">
        <v>3646</v>
      </c>
      <c r="B3606" s="1">
        <v>46131.068541666667</v>
      </c>
      <c r="C3606" s="2" t="s">
        <v>18</v>
      </c>
      <c r="D3606" t="s">
        <v>19</v>
      </c>
      <c r="E3606">
        <v>69543</v>
      </c>
      <c r="F3606" t="s">
        <v>14</v>
      </c>
      <c r="G3606" t="s">
        <v>15</v>
      </c>
      <c r="H3606" t="s">
        <v>16</v>
      </c>
      <c r="I3606">
        <v>5</v>
      </c>
      <c r="J3606">
        <v>0</v>
      </c>
      <c r="K3606">
        <v>5</v>
      </c>
    </row>
    <row r="3607" spans="1:11" x14ac:dyDescent="0.25">
      <c r="A3607" t="s">
        <v>3647</v>
      </c>
      <c r="B3607" s="1">
        <v>46048.980185185188</v>
      </c>
      <c r="C3607" s="2" t="s">
        <v>39</v>
      </c>
      <c r="D3607" t="s">
        <v>23</v>
      </c>
      <c r="E3607">
        <v>4877</v>
      </c>
      <c r="F3607" t="s">
        <v>14</v>
      </c>
      <c r="G3607" t="s">
        <v>27</v>
      </c>
      <c r="H3607" t="s">
        <v>16</v>
      </c>
      <c r="I3607">
        <v>0</v>
      </c>
      <c r="J3607">
        <v>0</v>
      </c>
      <c r="K3607">
        <v>0</v>
      </c>
    </row>
    <row r="3608" spans="1:11" x14ac:dyDescent="0.25">
      <c r="A3608" t="s">
        <v>3648</v>
      </c>
      <c r="B3608" s="1">
        <v>45946.924641203703</v>
      </c>
      <c r="C3608" s="2" t="s">
        <v>18</v>
      </c>
      <c r="D3608" t="s">
        <v>19</v>
      </c>
      <c r="E3608">
        <v>36932</v>
      </c>
      <c r="F3608" t="s">
        <v>14</v>
      </c>
      <c r="G3608" t="s">
        <v>51</v>
      </c>
      <c r="H3608" t="s">
        <v>16</v>
      </c>
      <c r="I3608">
        <v>5</v>
      </c>
      <c r="J3608">
        <v>0</v>
      </c>
      <c r="K3608">
        <v>5</v>
      </c>
    </row>
    <row r="3609" spans="1:11" x14ac:dyDescent="0.25">
      <c r="A3609" t="s">
        <v>3649</v>
      </c>
      <c r="B3609" s="1">
        <v>46019.062037037038</v>
      </c>
      <c r="C3609" s="2" t="s">
        <v>29</v>
      </c>
      <c r="D3609" t="s">
        <v>33</v>
      </c>
      <c r="E3609">
        <v>148300</v>
      </c>
      <c r="F3609" t="s">
        <v>14</v>
      </c>
      <c r="G3609" t="s">
        <v>34</v>
      </c>
      <c r="H3609" t="s">
        <v>16</v>
      </c>
      <c r="I3609">
        <v>0</v>
      </c>
      <c r="J3609">
        <v>0</v>
      </c>
      <c r="K3609">
        <v>0</v>
      </c>
    </row>
    <row r="3610" spans="1:11" x14ac:dyDescent="0.25">
      <c r="A3610" t="s">
        <v>3650</v>
      </c>
      <c r="B3610" s="1">
        <v>46008.101851851854</v>
      </c>
      <c r="C3610" s="2" t="s">
        <v>32</v>
      </c>
      <c r="D3610" t="s">
        <v>13</v>
      </c>
      <c r="E3610">
        <v>140500</v>
      </c>
      <c r="F3610" t="s">
        <v>50</v>
      </c>
      <c r="G3610" t="s">
        <v>34</v>
      </c>
      <c r="H3610" t="s">
        <v>16</v>
      </c>
      <c r="I3610">
        <v>2599.25</v>
      </c>
      <c r="J3610">
        <v>1039.7</v>
      </c>
      <c r="K3610">
        <v>1559.55</v>
      </c>
    </row>
    <row r="3611" spans="1:11" x14ac:dyDescent="0.25">
      <c r="A3611" t="s">
        <v>3651</v>
      </c>
      <c r="B3611" s="1">
        <v>46021.286354166667</v>
      </c>
      <c r="C3611" s="2" t="s">
        <v>39</v>
      </c>
      <c r="D3611" t="s">
        <v>13</v>
      </c>
      <c r="E3611">
        <v>78000</v>
      </c>
      <c r="F3611" t="s">
        <v>14</v>
      </c>
      <c r="G3611" t="s">
        <v>27</v>
      </c>
      <c r="H3611" t="s">
        <v>16</v>
      </c>
      <c r="I3611">
        <v>1443</v>
      </c>
      <c r="J3611">
        <v>577.20000000000005</v>
      </c>
      <c r="K3611">
        <v>865.8</v>
      </c>
    </row>
    <row r="3612" spans="1:11" x14ac:dyDescent="0.25">
      <c r="A3612" t="s">
        <v>3652</v>
      </c>
      <c r="B3612" s="1">
        <v>46110.408356481479</v>
      </c>
      <c r="C3612" s="2" t="s">
        <v>39</v>
      </c>
      <c r="D3612" t="s">
        <v>45</v>
      </c>
      <c r="E3612">
        <v>22946</v>
      </c>
      <c r="F3612" t="s">
        <v>14</v>
      </c>
      <c r="G3612" t="s">
        <v>84</v>
      </c>
      <c r="H3612" t="s">
        <v>71</v>
      </c>
      <c r="I3612">
        <v>229.46</v>
      </c>
      <c r="J3612">
        <v>0</v>
      </c>
      <c r="K3612">
        <v>229.46</v>
      </c>
    </row>
    <row r="3613" spans="1:11" x14ac:dyDescent="0.25">
      <c r="A3613" t="s">
        <v>3653</v>
      </c>
      <c r="B3613" s="1">
        <v>45898.529502314814</v>
      </c>
      <c r="C3613" s="2" t="s">
        <v>32</v>
      </c>
      <c r="D3613" t="s">
        <v>13</v>
      </c>
      <c r="E3613">
        <v>162000</v>
      </c>
      <c r="F3613" t="s">
        <v>14</v>
      </c>
      <c r="G3613" t="s">
        <v>27</v>
      </c>
      <c r="H3613" t="s">
        <v>16</v>
      </c>
      <c r="I3613">
        <v>2997</v>
      </c>
      <c r="J3613">
        <v>1198.8</v>
      </c>
      <c r="K3613">
        <v>1798.2</v>
      </c>
    </row>
    <row r="3614" spans="1:11" x14ac:dyDescent="0.25">
      <c r="A3614" t="s">
        <v>3654</v>
      </c>
      <c r="B3614" s="1">
        <v>45996.12568287037</v>
      </c>
      <c r="C3614" s="2" t="s">
        <v>32</v>
      </c>
      <c r="D3614" t="s">
        <v>13</v>
      </c>
      <c r="E3614">
        <v>25500</v>
      </c>
      <c r="F3614" t="s">
        <v>14</v>
      </c>
      <c r="G3614" t="s">
        <v>84</v>
      </c>
      <c r="H3614" t="s">
        <v>16</v>
      </c>
      <c r="I3614">
        <v>471.75</v>
      </c>
      <c r="J3614">
        <v>188.7</v>
      </c>
      <c r="K3614">
        <v>283.05</v>
      </c>
    </row>
    <row r="3615" spans="1:11" x14ac:dyDescent="0.25">
      <c r="A3615" t="s">
        <v>3655</v>
      </c>
      <c r="B3615" s="1">
        <v>45892.570775462962</v>
      </c>
      <c r="C3615" s="2" t="s">
        <v>29</v>
      </c>
      <c r="D3615" t="s">
        <v>19</v>
      </c>
      <c r="E3615">
        <v>94058</v>
      </c>
      <c r="F3615" t="s">
        <v>50</v>
      </c>
      <c r="G3615" t="s">
        <v>15</v>
      </c>
      <c r="H3615" t="s">
        <v>16</v>
      </c>
      <c r="I3615">
        <v>5</v>
      </c>
      <c r="J3615">
        <v>0</v>
      </c>
      <c r="K3615">
        <v>5</v>
      </c>
    </row>
    <row r="3616" spans="1:11" x14ac:dyDescent="0.25">
      <c r="A3616" t="s">
        <v>3656</v>
      </c>
      <c r="B3616" s="1">
        <v>45900.281724537039</v>
      </c>
      <c r="C3616" s="2" t="s">
        <v>29</v>
      </c>
      <c r="D3616" t="s">
        <v>19</v>
      </c>
      <c r="E3616">
        <v>20619</v>
      </c>
      <c r="F3616" t="s">
        <v>14</v>
      </c>
      <c r="G3616" t="s">
        <v>51</v>
      </c>
      <c r="H3616" t="s">
        <v>16</v>
      </c>
      <c r="I3616">
        <v>5</v>
      </c>
      <c r="J3616">
        <v>0</v>
      </c>
      <c r="K3616">
        <v>5</v>
      </c>
    </row>
    <row r="3617" spans="1:11" x14ac:dyDescent="0.25">
      <c r="A3617" t="s">
        <v>3657</v>
      </c>
      <c r="B3617" s="1">
        <v>46079.540358796294</v>
      </c>
      <c r="C3617" s="2" t="s">
        <v>39</v>
      </c>
      <c r="D3617" t="s">
        <v>45</v>
      </c>
      <c r="E3617">
        <v>138985</v>
      </c>
      <c r="F3617" t="s">
        <v>14</v>
      </c>
      <c r="G3617" t="s">
        <v>20</v>
      </c>
      <c r="H3617" t="s">
        <v>71</v>
      </c>
      <c r="I3617">
        <v>1389.85</v>
      </c>
      <c r="J3617">
        <v>0</v>
      </c>
      <c r="K3617">
        <v>1389.85</v>
      </c>
    </row>
    <row r="3618" spans="1:11" x14ac:dyDescent="0.25">
      <c r="A3618" t="s">
        <v>3658</v>
      </c>
      <c r="B3618" s="1">
        <v>46001.278761574074</v>
      </c>
      <c r="C3618" s="2" t="s">
        <v>39</v>
      </c>
      <c r="D3618" t="s">
        <v>19</v>
      </c>
      <c r="E3618">
        <v>114738</v>
      </c>
      <c r="F3618" t="s">
        <v>14</v>
      </c>
      <c r="G3618" t="s">
        <v>15</v>
      </c>
      <c r="H3618" t="s">
        <v>16</v>
      </c>
      <c r="I3618">
        <v>5</v>
      </c>
      <c r="J3618">
        <v>0</v>
      </c>
      <c r="K3618">
        <v>5</v>
      </c>
    </row>
    <row r="3619" spans="1:11" x14ac:dyDescent="0.25">
      <c r="A3619" t="s">
        <v>3659</v>
      </c>
      <c r="B3619" s="1">
        <v>46075.741435185184</v>
      </c>
      <c r="C3619" s="2" t="s">
        <v>22</v>
      </c>
      <c r="D3619" t="s">
        <v>45</v>
      </c>
      <c r="E3619">
        <v>140277</v>
      </c>
      <c r="F3619" t="s">
        <v>50</v>
      </c>
      <c r="G3619" t="s">
        <v>20</v>
      </c>
      <c r="H3619" t="s">
        <v>56</v>
      </c>
      <c r="I3619">
        <v>1402.77</v>
      </c>
      <c r="J3619">
        <v>0</v>
      </c>
      <c r="K3619">
        <v>1402.77</v>
      </c>
    </row>
    <row r="3620" spans="1:11" x14ac:dyDescent="0.25">
      <c r="A3620" t="s">
        <v>3660</v>
      </c>
      <c r="B3620" s="1">
        <v>45952.056851851848</v>
      </c>
      <c r="C3620" s="2" t="s">
        <v>32</v>
      </c>
      <c r="D3620" t="s">
        <v>45</v>
      </c>
      <c r="E3620">
        <v>32695</v>
      </c>
      <c r="F3620" t="s">
        <v>14</v>
      </c>
      <c r="G3620" t="s">
        <v>15</v>
      </c>
      <c r="H3620" t="s">
        <v>56</v>
      </c>
      <c r="I3620">
        <v>326.95</v>
      </c>
      <c r="J3620">
        <v>0</v>
      </c>
      <c r="K3620">
        <v>326.95</v>
      </c>
    </row>
    <row r="3621" spans="1:11" x14ac:dyDescent="0.25">
      <c r="A3621" t="s">
        <v>3661</v>
      </c>
      <c r="B3621" s="1">
        <v>45951.527430555558</v>
      </c>
      <c r="C3621" s="2" t="s">
        <v>18</v>
      </c>
      <c r="D3621" t="s">
        <v>19</v>
      </c>
      <c r="E3621">
        <v>54117</v>
      </c>
      <c r="F3621" t="s">
        <v>14</v>
      </c>
      <c r="G3621" t="s">
        <v>34</v>
      </c>
      <c r="H3621" t="s">
        <v>16</v>
      </c>
      <c r="I3621">
        <v>5</v>
      </c>
      <c r="J3621">
        <v>0</v>
      </c>
      <c r="K3621">
        <v>5</v>
      </c>
    </row>
    <row r="3622" spans="1:11" x14ac:dyDescent="0.25">
      <c r="A3622" t="s">
        <v>3662</v>
      </c>
      <c r="B3622" s="1">
        <v>46022.780300925922</v>
      </c>
      <c r="C3622" s="2" t="s">
        <v>39</v>
      </c>
      <c r="D3622" t="s">
        <v>13</v>
      </c>
      <c r="E3622">
        <v>168500</v>
      </c>
      <c r="F3622" t="s">
        <v>14</v>
      </c>
      <c r="G3622" t="s">
        <v>84</v>
      </c>
      <c r="H3622" t="s">
        <v>16</v>
      </c>
      <c r="I3622">
        <v>3117.25</v>
      </c>
      <c r="J3622">
        <v>1246.9000000000001</v>
      </c>
      <c r="K3622">
        <v>1870.35</v>
      </c>
    </row>
    <row r="3623" spans="1:11" x14ac:dyDescent="0.25">
      <c r="A3623" t="s">
        <v>3663</v>
      </c>
      <c r="B3623" s="1">
        <v>45788.499930555554</v>
      </c>
      <c r="C3623" s="2" t="s">
        <v>12</v>
      </c>
      <c r="D3623" t="s">
        <v>45</v>
      </c>
      <c r="E3623">
        <v>4551</v>
      </c>
      <c r="F3623" t="s">
        <v>14</v>
      </c>
      <c r="G3623" t="s">
        <v>34</v>
      </c>
      <c r="H3623" t="s">
        <v>59</v>
      </c>
      <c r="I3623">
        <v>45.51</v>
      </c>
      <c r="J3623">
        <v>0</v>
      </c>
      <c r="K3623">
        <v>45.51</v>
      </c>
    </row>
    <row r="3624" spans="1:11" x14ac:dyDescent="0.25">
      <c r="A3624" t="s">
        <v>3664</v>
      </c>
      <c r="B3624" s="1">
        <v>45930.646539351852</v>
      </c>
      <c r="C3624" s="2" t="s">
        <v>22</v>
      </c>
      <c r="D3624" t="s">
        <v>19</v>
      </c>
      <c r="E3624">
        <v>53752</v>
      </c>
      <c r="F3624" t="s">
        <v>14</v>
      </c>
      <c r="G3624" t="s">
        <v>15</v>
      </c>
      <c r="H3624" t="s">
        <v>16</v>
      </c>
      <c r="I3624">
        <v>5</v>
      </c>
      <c r="J3624">
        <v>0</v>
      </c>
      <c r="K3624">
        <v>5</v>
      </c>
    </row>
    <row r="3625" spans="1:11" x14ac:dyDescent="0.25">
      <c r="A3625" t="s">
        <v>3665</v>
      </c>
      <c r="B3625" s="1">
        <v>46035.692476851851</v>
      </c>
      <c r="C3625" s="2" t="s">
        <v>29</v>
      </c>
      <c r="D3625" t="s">
        <v>33</v>
      </c>
      <c r="E3625">
        <v>79875</v>
      </c>
      <c r="F3625" t="s">
        <v>14</v>
      </c>
      <c r="G3625" t="s">
        <v>30</v>
      </c>
      <c r="H3625" t="s">
        <v>16</v>
      </c>
      <c r="I3625">
        <v>0</v>
      </c>
      <c r="J3625">
        <v>0</v>
      </c>
      <c r="K3625">
        <v>0</v>
      </c>
    </row>
    <row r="3626" spans="1:11" x14ac:dyDescent="0.25">
      <c r="A3626" t="s">
        <v>3666</v>
      </c>
      <c r="B3626" s="1">
        <v>46007.690127314818</v>
      </c>
      <c r="C3626" s="2" t="s">
        <v>29</v>
      </c>
      <c r="D3626" t="s">
        <v>45</v>
      </c>
      <c r="E3626">
        <v>37166</v>
      </c>
      <c r="F3626" t="s">
        <v>14</v>
      </c>
      <c r="G3626" t="s">
        <v>27</v>
      </c>
      <c r="H3626" t="s">
        <v>178</v>
      </c>
      <c r="I3626">
        <v>371.66</v>
      </c>
      <c r="J3626">
        <v>0</v>
      </c>
      <c r="K3626">
        <v>371.66</v>
      </c>
    </row>
    <row r="3627" spans="1:11" x14ac:dyDescent="0.25">
      <c r="A3627" t="s">
        <v>3667</v>
      </c>
      <c r="B3627" s="1">
        <v>45806.777881944443</v>
      </c>
      <c r="C3627" s="2" t="s">
        <v>32</v>
      </c>
      <c r="D3627" t="s">
        <v>19</v>
      </c>
      <c r="E3627">
        <v>82194</v>
      </c>
      <c r="F3627" t="s">
        <v>14</v>
      </c>
      <c r="G3627" t="s">
        <v>34</v>
      </c>
      <c r="H3627" t="s">
        <v>16</v>
      </c>
      <c r="I3627">
        <v>5</v>
      </c>
      <c r="J3627">
        <v>0</v>
      </c>
      <c r="K3627">
        <v>5</v>
      </c>
    </row>
    <row r="3628" spans="1:11" x14ac:dyDescent="0.25">
      <c r="A3628" t="s">
        <v>3668</v>
      </c>
      <c r="B3628" s="1">
        <v>46048.811620370368</v>
      </c>
      <c r="C3628" s="2" t="s">
        <v>39</v>
      </c>
      <c r="D3628" t="s">
        <v>19</v>
      </c>
      <c r="E3628">
        <v>35367</v>
      </c>
      <c r="F3628" t="s">
        <v>14</v>
      </c>
      <c r="G3628" t="s">
        <v>15</v>
      </c>
      <c r="H3628" t="s">
        <v>16</v>
      </c>
      <c r="I3628">
        <v>5</v>
      </c>
      <c r="J3628">
        <v>0</v>
      </c>
      <c r="K3628">
        <v>5</v>
      </c>
    </row>
    <row r="3629" spans="1:11" x14ac:dyDescent="0.25">
      <c r="A3629" t="s">
        <v>3669</v>
      </c>
      <c r="B3629" s="1">
        <v>45835.500868055555</v>
      </c>
      <c r="C3629" s="2" t="s">
        <v>26</v>
      </c>
      <c r="D3629" t="s">
        <v>19</v>
      </c>
      <c r="E3629">
        <v>93383</v>
      </c>
      <c r="F3629" t="s">
        <v>14</v>
      </c>
      <c r="G3629" t="s">
        <v>24</v>
      </c>
      <c r="H3629" t="s">
        <v>16</v>
      </c>
      <c r="I3629">
        <v>5</v>
      </c>
      <c r="J3629">
        <v>0</v>
      </c>
      <c r="K3629">
        <v>5</v>
      </c>
    </row>
    <row r="3630" spans="1:11" x14ac:dyDescent="0.25">
      <c r="A3630" t="s">
        <v>3670</v>
      </c>
      <c r="B3630" s="1">
        <v>45886.06622685185</v>
      </c>
      <c r="C3630" s="2" t="s">
        <v>29</v>
      </c>
      <c r="D3630" t="s">
        <v>23</v>
      </c>
      <c r="E3630">
        <v>3706</v>
      </c>
      <c r="F3630" t="s">
        <v>14</v>
      </c>
      <c r="G3630" t="s">
        <v>51</v>
      </c>
      <c r="H3630" t="s">
        <v>16</v>
      </c>
      <c r="I3630">
        <v>0</v>
      </c>
      <c r="J3630">
        <v>0</v>
      </c>
      <c r="K3630">
        <v>0</v>
      </c>
    </row>
    <row r="3631" spans="1:11" x14ac:dyDescent="0.25">
      <c r="A3631" t="s">
        <v>3671</v>
      </c>
      <c r="B3631" s="1">
        <v>46084.205682870372</v>
      </c>
      <c r="C3631" s="2" t="s">
        <v>26</v>
      </c>
      <c r="D3631" t="s">
        <v>19</v>
      </c>
      <c r="E3631">
        <v>127083</v>
      </c>
      <c r="F3631" t="s">
        <v>14</v>
      </c>
      <c r="G3631" t="s">
        <v>34</v>
      </c>
      <c r="H3631" t="s">
        <v>16</v>
      </c>
      <c r="I3631">
        <v>5</v>
      </c>
      <c r="J3631">
        <v>0</v>
      </c>
      <c r="K3631">
        <v>5</v>
      </c>
    </row>
    <row r="3632" spans="1:11" x14ac:dyDescent="0.25">
      <c r="A3632" t="s">
        <v>3672</v>
      </c>
      <c r="B3632" s="1">
        <v>45888.265856481485</v>
      </c>
      <c r="C3632" s="2" t="s">
        <v>41</v>
      </c>
      <c r="D3632" t="s">
        <v>33</v>
      </c>
      <c r="E3632">
        <v>42673</v>
      </c>
      <c r="F3632" t="s">
        <v>14</v>
      </c>
      <c r="G3632" t="s">
        <v>20</v>
      </c>
      <c r="H3632" t="s">
        <v>16</v>
      </c>
      <c r="I3632">
        <v>0</v>
      </c>
      <c r="J3632">
        <v>0</v>
      </c>
      <c r="K3632">
        <v>0</v>
      </c>
    </row>
    <row r="3633" spans="1:11" x14ac:dyDescent="0.25">
      <c r="A3633" t="s">
        <v>3673</v>
      </c>
      <c r="B3633" s="1">
        <v>46017.877835648149</v>
      </c>
      <c r="C3633" s="2" t="s">
        <v>39</v>
      </c>
      <c r="D3633" t="s">
        <v>45</v>
      </c>
      <c r="E3633">
        <v>68233</v>
      </c>
      <c r="F3633" t="s">
        <v>14</v>
      </c>
      <c r="G3633" t="s">
        <v>15</v>
      </c>
      <c r="H3633" t="s">
        <v>46</v>
      </c>
      <c r="I3633">
        <v>682.33</v>
      </c>
      <c r="J3633">
        <v>0</v>
      </c>
      <c r="K3633">
        <v>682.33</v>
      </c>
    </row>
    <row r="3634" spans="1:11" x14ac:dyDescent="0.25">
      <c r="A3634" t="s">
        <v>3674</v>
      </c>
      <c r="B3634" s="1">
        <v>45898.763645833336</v>
      </c>
      <c r="C3634" s="2" t="s">
        <v>32</v>
      </c>
      <c r="D3634" t="s">
        <v>33</v>
      </c>
      <c r="E3634">
        <v>10337</v>
      </c>
      <c r="F3634" t="s">
        <v>14</v>
      </c>
      <c r="G3634" t="s">
        <v>27</v>
      </c>
      <c r="H3634" t="s">
        <v>16</v>
      </c>
      <c r="I3634">
        <v>0</v>
      </c>
      <c r="J3634">
        <v>0</v>
      </c>
      <c r="K3634">
        <v>0</v>
      </c>
    </row>
    <row r="3635" spans="1:11" x14ac:dyDescent="0.25">
      <c r="A3635" t="s">
        <v>3675</v>
      </c>
      <c r="B3635" s="1">
        <v>45957.503692129627</v>
      </c>
      <c r="C3635" s="2" t="s">
        <v>29</v>
      </c>
      <c r="D3635" t="s">
        <v>13</v>
      </c>
      <c r="E3635">
        <v>236000</v>
      </c>
      <c r="F3635" t="s">
        <v>14</v>
      </c>
      <c r="G3635" t="s">
        <v>27</v>
      </c>
      <c r="H3635" t="s">
        <v>16</v>
      </c>
      <c r="I3635">
        <v>4366</v>
      </c>
      <c r="J3635">
        <v>1746.4</v>
      </c>
      <c r="K3635">
        <v>2619.6</v>
      </c>
    </row>
    <row r="3636" spans="1:11" x14ac:dyDescent="0.25">
      <c r="A3636" t="s">
        <v>3676</v>
      </c>
      <c r="B3636" s="1">
        <v>46109.914155092592</v>
      </c>
      <c r="C3636" s="2" t="s">
        <v>26</v>
      </c>
      <c r="D3636" t="s">
        <v>19</v>
      </c>
      <c r="E3636">
        <v>124648</v>
      </c>
      <c r="F3636" t="s">
        <v>14</v>
      </c>
      <c r="G3636" t="s">
        <v>34</v>
      </c>
      <c r="H3636" t="s">
        <v>16</v>
      </c>
      <c r="I3636">
        <v>5</v>
      </c>
      <c r="J3636">
        <v>0</v>
      </c>
      <c r="K3636">
        <v>5</v>
      </c>
    </row>
    <row r="3637" spans="1:11" x14ac:dyDescent="0.25">
      <c r="A3637" t="s">
        <v>3677</v>
      </c>
      <c r="B3637" s="1">
        <v>45943.594722222224</v>
      </c>
      <c r="C3637" s="2" t="s">
        <v>12</v>
      </c>
      <c r="D3637" t="s">
        <v>23</v>
      </c>
      <c r="E3637">
        <v>3101</v>
      </c>
      <c r="F3637" t="s">
        <v>14</v>
      </c>
      <c r="G3637" t="s">
        <v>58</v>
      </c>
      <c r="H3637" t="s">
        <v>16</v>
      </c>
      <c r="I3637">
        <v>0</v>
      </c>
      <c r="J3637">
        <v>0</v>
      </c>
      <c r="K3637">
        <v>0</v>
      </c>
    </row>
    <row r="3638" spans="1:11" x14ac:dyDescent="0.25">
      <c r="A3638" t="s">
        <v>3678</v>
      </c>
      <c r="B3638" s="1">
        <v>45899.61822916667</v>
      </c>
      <c r="C3638" s="2" t="s">
        <v>22</v>
      </c>
      <c r="D3638" t="s">
        <v>19</v>
      </c>
      <c r="E3638">
        <v>17210</v>
      </c>
      <c r="F3638" t="s">
        <v>14</v>
      </c>
      <c r="G3638" t="s">
        <v>20</v>
      </c>
      <c r="H3638" t="s">
        <v>16</v>
      </c>
      <c r="I3638">
        <v>5</v>
      </c>
      <c r="J3638">
        <v>0</v>
      </c>
      <c r="K3638">
        <v>5</v>
      </c>
    </row>
    <row r="3639" spans="1:11" x14ac:dyDescent="0.25">
      <c r="A3639" t="s">
        <v>3679</v>
      </c>
      <c r="B3639" s="1">
        <v>46140.220486111109</v>
      </c>
      <c r="C3639" s="2" t="s">
        <v>32</v>
      </c>
      <c r="D3639" t="s">
        <v>23</v>
      </c>
      <c r="E3639">
        <v>1503</v>
      </c>
      <c r="F3639" t="s">
        <v>14</v>
      </c>
      <c r="G3639" t="s">
        <v>15</v>
      </c>
      <c r="H3639" t="s">
        <v>16</v>
      </c>
      <c r="I3639">
        <v>0</v>
      </c>
      <c r="J3639">
        <v>0</v>
      </c>
      <c r="K3639">
        <v>0</v>
      </c>
    </row>
    <row r="3640" spans="1:11" x14ac:dyDescent="0.25">
      <c r="A3640" t="s">
        <v>3680</v>
      </c>
      <c r="B3640" s="1">
        <v>46091.063344907408</v>
      </c>
      <c r="C3640" s="2" t="s">
        <v>39</v>
      </c>
      <c r="D3640" t="s">
        <v>13</v>
      </c>
      <c r="E3640">
        <v>46500</v>
      </c>
      <c r="F3640" t="s">
        <v>14</v>
      </c>
      <c r="G3640" t="s">
        <v>34</v>
      </c>
      <c r="H3640" t="s">
        <v>16</v>
      </c>
      <c r="I3640">
        <v>860.25</v>
      </c>
      <c r="J3640">
        <v>344.1</v>
      </c>
      <c r="K3640">
        <v>516.15</v>
      </c>
    </row>
    <row r="3641" spans="1:11" x14ac:dyDescent="0.25">
      <c r="A3641" t="s">
        <v>3681</v>
      </c>
      <c r="B3641" s="1">
        <v>45884.59684027778</v>
      </c>
      <c r="C3641" s="2" t="s">
        <v>22</v>
      </c>
      <c r="D3641" t="s">
        <v>23</v>
      </c>
      <c r="E3641">
        <v>3848</v>
      </c>
      <c r="F3641" t="s">
        <v>99</v>
      </c>
      <c r="G3641" t="s">
        <v>51</v>
      </c>
      <c r="H3641" t="s">
        <v>16</v>
      </c>
      <c r="I3641">
        <v>0</v>
      </c>
      <c r="J3641">
        <v>0</v>
      </c>
      <c r="K3641">
        <v>0</v>
      </c>
    </row>
    <row r="3642" spans="1:11" x14ac:dyDescent="0.25">
      <c r="A3642" t="s">
        <v>3682</v>
      </c>
      <c r="B3642" s="1">
        <v>45998.696747685186</v>
      </c>
      <c r="C3642" s="2" t="s">
        <v>41</v>
      </c>
      <c r="D3642" t="s">
        <v>33</v>
      </c>
      <c r="E3642">
        <v>38647</v>
      </c>
      <c r="F3642" t="s">
        <v>14</v>
      </c>
      <c r="G3642" t="s">
        <v>20</v>
      </c>
      <c r="H3642" t="s">
        <v>16</v>
      </c>
      <c r="I3642">
        <v>0</v>
      </c>
      <c r="J3642">
        <v>0</v>
      </c>
      <c r="K3642">
        <v>0</v>
      </c>
    </row>
    <row r="3643" spans="1:11" x14ac:dyDescent="0.25">
      <c r="A3643" t="s">
        <v>3683</v>
      </c>
      <c r="B3643" s="1">
        <v>45970.040914351855</v>
      </c>
      <c r="C3643" s="2" t="s">
        <v>12</v>
      </c>
      <c r="D3643" t="s">
        <v>45</v>
      </c>
      <c r="E3643">
        <v>79818</v>
      </c>
      <c r="F3643" t="s">
        <v>14</v>
      </c>
      <c r="G3643" t="s">
        <v>84</v>
      </c>
      <c r="H3643" t="s">
        <v>46</v>
      </c>
      <c r="I3643">
        <v>798.18</v>
      </c>
      <c r="J3643">
        <v>0</v>
      </c>
      <c r="K3643">
        <v>798.18</v>
      </c>
    </row>
    <row r="3644" spans="1:11" x14ac:dyDescent="0.25">
      <c r="A3644" t="s">
        <v>3684</v>
      </c>
      <c r="B3644" s="1">
        <v>45933.291666666664</v>
      </c>
      <c r="C3644" s="2" t="s">
        <v>32</v>
      </c>
      <c r="D3644" t="s">
        <v>33</v>
      </c>
      <c r="E3644">
        <v>120462</v>
      </c>
      <c r="F3644" t="s">
        <v>14</v>
      </c>
      <c r="G3644" t="s">
        <v>30</v>
      </c>
      <c r="H3644" t="s">
        <v>16</v>
      </c>
      <c r="I3644">
        <v>0</v>
      </c>
      <c r="J3644">
        <v>0</v>
      </c>
      <c r="K3644">
        <v>0</v>
      </c>
    </row>
    <row r="3645" spans="1:11" x14ac:dyDescent="0.25">
      <c r="A3645" t="s">
        <v>3685</v>
      </c>
      <c r="B3645" s="1">
        <v>46138.14775462963</v>
      </c>
      <c r="C3645" s="2" t="s">
        <v>41</v>
      </c>
      <c r="D3645" t="s">
        <v>23</v>
      </c>
      <c r="E3645">
        <v>1354</v>
      </c>
      <c r="F3645" t="s">
        <v>14</v>
      </c>
      <c r="G3645" t="s">
        <v>34</v>
      </c>
      <c r="H3645" t="s">
        <v>16</v>
      </c>
      <c r="I3645">
        <v>0</v>
      </c>
      <c r="J3645">
        <v>0</v>
      </c>
      <c r="K3645">
        <v>0</v>
      </c>
    </row>
    <row r="3646" spans="1:11" x14ac:dyDescent="0.25">
      <c r="A3646" t="s">
        <v>3686</v>
      </c>
      <c r="B3646" s="1">
        <v>46060.560347222221</v>
      </c>
      <c r="C3646" s="2" t="s">
        <v>29</v>
      </c>
      <c r="D3646" t="s">
        <v>23</v>
      </c>
      <c r="E3646">
        <v>2028</v>
      </c>
      <c r="F3646" t="s">
        <v>14</v>
      </c>
      <c r="G3646" t="s">
        <v>27</v>
      </c>
      <c r="H3646" t="s">
        <v>16</v>
      </c>
      <c r="I3646">
        <v>0</v>
      </c>
      <c r="J3646">
        <v>0</v>
      </c>
      <c r="K3646">
        <v>0</v>
      </c>
    </row>
    <row r="3647" spans="1:11" x14ac:dyDescent="0.25">
      <c r="A3647" t="s">
        <v>3687</v>
      </c>
      <c r="B3647" s="1">
        <v>45976.854895833334</v>
      </c>
      <c r="C3647" s="2" t="s">
        <v>22</v>
      </c>
      <c r="D3647" t="s">
        <v>19</v>
      </c>
      <c r="E3647">
        <v>17230</v>
      </c>
      <c r="F3647" t="s">
        <v>14</v>
      </c>
      <c r="G3647" t="s">
        <v>34</v>
      </c>
      <c r="H3647" t="s">
        <v>16</v>
      </c>
      <c r="I3647">
        <v>5</v>
      </c>
      <c r="J3647">
        <v>0</v>
      </c>
      <c r="K3647">
        <v>5</v>
      </c>
    </row>
    <row r="3648" spans="1:11" x14ac:dyDescent="0.25">
      <c r="A3648" t="s">
        <v>3688</v>
      </c>
      <c r="B3648" s="1">
        <v>46015.241689814815</v>
      </c>
      <c r="C3648" s="2" t="s">
        <v>39</v>
      </c>
      <c r="D3648" t="s">
        <v>33</v>
      </c>
      <c r="E3648">
        <v>108358</v>
      </c>
      <c r="F3648" t="s">
        <v>14</v>
      </c>
      <c r="G3648" t="s">
        <v>84</v>
      </c>
      <c r="H3648" t="s">
        <v>16</v>
      </c>
      <c r="I3648">
        <v>0</v>
      </c>
      <c r="J3648">
        <v>0</v>
      </c>
      <c r="K3648">
        <v>0</v>
      </c>
    </row>
    <row r="3649" spans="1:11" x14ac:dyDescent="0.25">
      <c r="A3649" t="s">
        <v>3689</v>
      </c>
      <c r="B3649" s="1">
        <v>46061.823310185187</v>
      </c>
      <c r="C3649" s="2" t="s">
        <v>26</v>
      </c>
      <c r="D3649" t="s">
        <v>23</v>
      </c>
      <c r="E3649">
        <v>3399</v>
      </c>
      <c r="F3649" t="s">
        <v>50</v>
      </c>
      <c r="G3649" t="s">
        <v>20</v>
      </c>
      <c r="H3649" t="s">
        <v>16</v>
      </c>
      <c r="I3649">
        <v>0</v>
      </c>
      <c r="J3649">
        <v>0</v>
      </c>
      <c r="K3649">
        <v>0</v>
      </c>
    </row>
    <row r="3650" spans="1:11" x14ac:dyDescent="0.25">
      <c r="A3650" t="s">
        <v>3690</v>
      </c>
      <c r="B3650" s="1">
        <v>45940.957280092596</v>
      </c>
      <c r="C3650" s="2" t="s">
        <v>41</v>
      </c>
      <c r="D3650" t="s">
        <v>45</v>
      </c>
      <c r="E3650">
        <v>84620</v>
      </c>
      <c r="F3650" t="s">
        <v>50</v>
      </c>
      <c r="G3650" t="s">
        <v>51</v>
      </c>
      <c r="H3650" t="s">
        <v>59</v>
      </c>
      <c r="I3650">
        <v>846.2</v>
      </c>
      <c r="J3650">
        <v>0</v>
      </c>
      <c r="K3650">
        <v>846.2</v>
      </c>
    </row>
    <row r="3651" spans="1:11" x14ac:dyDescent="0.25">
      <c r="A3651" t="s">
        <v>3691</v>
      </c>
      <c r="B3651" s="1">
        <v>45935.615081018521</v>
      </c>
      <c r="C3651" s="2" t="s">
        <v>41</v>
      </c>
      <c r="D3651" t="s">
        <v>23</v>
      </c>
      <c r="E3651">
        <v>3851</v>
      </c>
      <c r="F3651" t="s">
        <v>14</v>
      </c>
      <c r="G3651" t="s">
        <v>58</v>
      </c>
      <c r="H3651" t="s">
        <v>16</v>
      </c>
      <c r="I3651">
        <v>0</v>
      </c>
      <c r="J3651">
        <v>0</v>
      </c>
      <c r="K3651">
        <v>0</v>
      </c>
    </row>
    <row r="3652" spans="1:11" x14ac:dyDescent="0.25">
      <c r="A3652" t="s">
        <v>3692</v>
      </c>
      <c r="B3652" s="1">
        <v>45829.537604166668</v>
      </c>
      <c r="C3652" s="2" t="s">
        <v>29</v>
      </c>
      <c r="D3652" t="s">
        <v>13</v>
      </c>
      <c r="E3652">
        <v>58500</v>
      </c>
      <c r="F3652" t="s">
        <v>50</v>
      </c>
      <c r="G3652" t="s">
        <v>58</v>
      </c>
      <c r="H3652" t="s">
        <v>16</v>
      </c>
      <c r="I3652">
        <v>1082.25</v>
      </c>
      <c r="J3652">
        <v>432.9</v>
      </c>
      <c r="K3652">
        <v>649.35</v>
      </c>
    </row>
    <row r="3653" spans="1:11" x14ac:dyDescent="0.25">
      <c r="A3653" t="s">
        <v>3693</v>
      </c>
      <c r="B3653" s="1">
        <v>46054.655578703707</v>
      </c>
      <c r="C3653" s="2" t="s">
        <v>32</v>
      </c>
      <c r="D3653" t="s">
        <v>13</v>
      </c>
      <c r="E3653">
        <v>74000</v>
      </c>
      <c r="F3653" t="s">
        <v>14</v>
      </c>
      <c r="G3653" t="s">
        <v>27</v>
      </c>
      <c r="H3653" t="s">
        <v>16</v>
      </c>
      <c r="I3653">
        <v>1369</v>
      </c>
      <c r="J3653">
        <v>547.6</v>
      </c>
      <c r="K3653">
        <v>821.4</v>
      </c>
    </row>
    <row r="3654" spans="1:11" x14ac:dyDescent="0.25">
      <c r="A3654" t="s">
        <v>3694</v>
      </c>
      <c r="B3654" s="1">
        <v>46142.708321759259</v>
      </c>
      <c r="C3654" s="2" t="s">
        <v>22</v>
      </c>
      <c r="D3654" t="s">
        <v>13</v>
      </c>
      <c r="E3654">
        <v>233000</v>
      </c>
      <c r="F3654" t="s">
        <v>14</v>
      </c>
      <c r="G3654" t="s">
        <v>34</v>
      </c>
      <c r="H3654" t="s">
        <v>16</v>
      </c>
      <c r="I3654">
        <v>4310.5</v>
      </c>
      <c r="J3654">
        <v>1724.2</v>
      </c>
      <c r="K3654">
        <v>2586.3000000000002</v>
      </c>
    </row>
    <row r="3655" spans="1:11" x14ac:dyDescent="0.25">
      <c r="A3655" t="s">
        <v>3695</v>
      </c>
      <c r="B3655" s="1">
        <v>45873.964479166665</v>
      </c>
      <c r="C3655" s="2" t="s">
        <v>41</v>
      </c>
      <c r="D3655" t="s">
        <v>19</v>
      </c>
      <c r="E3655">
        <v>69134</v>
      </c>
      <c r="F3655" t="s">
        <v>14</v>
      </c>
      <c r="G3655" t="s">
        <v>30</v>
      </c>
      <c r="H3655" t="s">
        <v>16</v>
      </c>
      <c r="I3655">
        <v>5</v>
      </c>
      <c r="J3655">
        <v>0</v>
      </c>
      <c r="K3655">
        <v>5</v>
      </c>
    </row>
    <row r="3656" spans="1:11" x14ac:dyDescent="0.25">
      <c r="A3656" t="s">
        <v>3696</v>
      </c>
      <c r="B3656" s="1">
        <v>45796.453946759262</v>
      </c>
      <c r="C3656" s="2" t="s">
        <v>18</v>
      </c>
      <c r="D3656" t="s">
        <v>13</v>
      </c>
      <c r="E3656">
        <v>2500</v>
      </c>
      <c r="F3656" t="s">
        <v>14</v>
      </c>
      <c r="G3656" t="s">
        <v>51</v>
      </c>
      <c r="H3656" t="s">
        <v>16</v>
      </c>
      <c r="I3656">
        <v>46.25</v>
      </c>
      <c r="J3656">
        <v>18.5</v>
      </c>
      <c r="K3656">
        <v>27.75</v>
      </c>
    </row>
    <row r="3657" spans="1:11" x14ac:dyDescent="0.25">
      <c r="A3657" t="s">
        <v>3697</v>
      </c>
      <c r="B3657" s="1">
        <v>45900.83221064815</v>
      </c>
      <c r="C3657" s="2" t="s">
        <v>39</v>
      </c>
      <c r="D3657" t="s">
        <v>19</v>
      </c>
      <c r="E3657">
        <v>134025</v>
      </c>
      <c r="F3657" t="s">
        <v>14</v>
      </c>
      <c r="G3657" t="s">
        <v>24</v>
      </c>
      <c r="H3657" t="s">
        <v>16</v>
      </c>
      <c r="I3657">
        <v>5</v>
      </c>
      <c r="J3657">
        <v>0</v>
      </c>
      <c r="K3657">
        <v>5</v>
      </c>
    </row>
    <row r="3658" spans="1:11" x14ac:dyDescent="0.25">
      <c r="A3658" t="s">
        <v>3698</v>
      </c>
      <c r="B3658" s="1">
        <v>45872.998379629629</v>
      </c>
      <c r="C3658" s="2" t="s">
        <v>12</v>
      </c>
      <c r="D3658" t="s">
        <v>45</v>
      </c>
      <c r="E3658">
        <v>130700</v>
      </c>
      <c r="F3658" t="s">
        <v>14</v>
      </c>
      <c r="G3658" t="s">
        <v>34</v>
      </c>
      <c r="H3658" t="s">
        <v>56</v>
      </c>
      <c r="I3658">
        <v>1307</v>
      </c>
      <c r="J3658">
        <v>0</v>
      </c>
      <c r="K3658">
        <v>1307</v>
      </c>
    </row>
    <row r="3659" spans="1:11" x14ac:dyDescent="0.25">
      <c r="A3659" t="s">
        <v>3699</v>
      </c>
      <c r="B3659" s="1">
        <v>45873.101863425924</v>
      </c>
      <c r="C3659" s="2" t="s">
        <v>41</v>
      </c>
      <c r="D3659" t="s">
        <v>23</v>
      </c>
      <c r="E3659">
        <v>2120</v>
      </c>
      <c r="F3659" t="s">
        <v>50</v>
      </c>
      <c r="G3659" t="s">
        <v>84</v>
      </c>
      <c r="H3659" t="s">
        <v>16</v>
      </c>
      <c r="I3659">
        <v>0</v>
      </c>
      <c r="J3659">
        <v>0</v>
      </c>
      <c r="K3659">
        <v>0</v>
      </c>
    </row>
    <row r="3660" spans="1:11" x14ac:dyDescent="0.25">
      <c r="A3660" t="s">
        <v>3700</v>
      </c>
      <c r="B3660" s="1">
        <v>45939.293113425927</v>
      </c>
      <c r="C3660" s="2" t="s">
        <v>39</v>
      </c>
      <c r="D3660" t="s">
        <v>23</v>
      </c>
      <c r="E3660">
        <v>4051</v>
      </c>
      <c r="F3660" t="s">
        <v>50</v>
      </c>
      <c r="G3660" t="s">
        <v>20</v>
      </c>
      <c r="H3660" t="s">
        <v>16</v>
      </c>
      <c r="I3660">
        <v>0</v>
      </c>
      <c r="J3660">
        <v>0</v>
      </c>
      <c r="K3660">
        <v>0</v>
      </c>
    </row>
    <row r="3661" spans="1:11" x14ac:dyDescent="0.25">
      <c r="A3661" t="s">
        <v>3701</v>
      </c>
      <c r="B3661" s="1">
        <v>46071.493807870371</v>
      </c>
      <c r="C3661" s="2" t="s">
        <v>39</v>
      </c>
      <c r="D3661" t="s">
        <v>33</v>
      </c>
      <c r="E3661">
        <v>26462</v>
      </c>
      <c r="F3661" t="s">
        <v>14</v>
      </c>
      <c r="G3661" t="s">
        <v>24</v>
      </c>
      <c r="H3661" t="s">
        <v>16</v>
      </c>
      <c r="I3661">
        <v>0</v>
      </c>
      <c r="J3661">
        <v>0</v>
      </c>
      <c r="K3661">
        <v>0</v>
      </c>
    </row>
    <row r="3662" spans="1:11" x14ac:dyDescent="0.25">
      <c r="A3662" t="s">
        <v>3702</v>
      </c>
      <c r="B3662" s="1">
        <v>45972.486979166664</v>
      </c>
      <c r="C3662" s="2" t="s">
        <v>29</v>
      </c>
      <c r="D3662" t="s">
        <v>19</v>
      </c>
      <c r="E3662">
        <v>79512</v>
      </c>
      <c r="F3662" t="s">
        <v>14</v>
      </c>
      <c r="G3662" t="s">
        <v>15</v>
      </c>
      <c r="H3662" t="s">
        <v>16</v>
      </c>
      <c r="I3662">
        <v>5</v>
      </c>
      <c r="J3662">
        <v>0</v>
      </c>
      <c r="K3662">
        <v>5</v>
      </c>
    </row>
    <row r="3663" spans="1:11" x14ac:dyDescent="0.25">
      <c r="A3663" t="s">
        <v>3703</v>
      </c>
      <c r="B3663" s="1">
        <v>46023.359548611108</v>
      </c>
      <c r="C3663" s="2" t="s">
        <v>22</v>
      </c>
      <c r="D3663" t="s">
        <v>19</v>
      </c>
      <c r="E3663">
        <v>76868</v>
      </c>
      <c r="F3663" t="s">
        <v>50</v>
      </c>
      <c r="G3663" t="s">
        <v>84</v>
      </c>
      <c r="H3663" t="s">
        <v>16</v>
      </c>
      <c r="I3663">
        <v>5</v>
      </c>
      <c r="J3663">
        <v>0</v>
      </c>
      <c r="K3663">
        <v>5</v>
      </c>
    </row>
    <row r="3664" spans="1:11" x14ac:dyDescent="0.25">
      <c r="A3664" t="s">
        <v>3704</v>
      </c>
      <c r="B3664" s="1">
        <v>46010.44159722222</v>
      </c>
      <c r="C3664" s="2" t="s">
        <v>22</v>
      </c>
      <c r="D3664" t="s">
        <v>13</v>
      </c>
      <c r="E3664">
        <v>152000</v>
      </c>
      <c r="F3664" t="s">
        <v>14</v>
      </c>
      <c r="G3664" t="s">
        <v>15</v>
      </c>
      <c r="H3664" t="s">
        <v>16</v>
      </c>
      <c r="I3664">
        <v>2812</v>
      </c>
      <c r="J3664">
        <v>1124.8</v>
      </c>
      <c r="K3664">
        <v>1687.2</v>
      </c>
    </row>
    <row r="3665" spans="1:11" x14ac:dyDescent="0.25">
      <c r="A3665" t="s">
        <v>3705</v>
      </c>
      <c r="B3665" s="1">
        <v>46086.964108796295</v>
      </c>
      <c r="C3665" s="2" t="s">
        <v>26</v>
      </c>
      <c r="D3665" t="s">
        <v>33</v>
      </c>
      <c r="E3665">
        <v>84246</v>
      </c>
      <c r="F3665" t="s">
        <v>14</v>
      </c>
      <c r="G3665" t="s">
        <v>20</v>
      </c>
      <c r="H3665" t="s">
        <v>16</v>
      </c>
      <c r="I3665">
        <v>0</v>
      </c>
      <c r="J3665">
        <v>0</v>
      </c>
      <c r="K3665">
        <v>0</v>
      </c>
    </row>
    <row r="3666" spans="1:11" x14ac:dyDescent="0.25">
      <c r="A3666" t="s">
        <v>3706</v>
      </c>
      <c r="B3666" s="1">
        <v>45919.982997685183</v>
      </c>
      <c r="C3666" s="2" t="s">
        <v>18</v>
      </c>
      <c r="D3666" t="s">
        <v>13</v>
      </c>
      <c r="E3666">
        <v>222000</v>
      </c>
      <c r="F3666" t="s">
        <v>14</v>
      </c>
      <c r="G3666" t="s">
        <v>51</v>
      </c>
      <c r="H3666" t="s">
        <v>16</v>
      </c>
      <c r="I3666">
        <v>4107</v>
      </c>
      <c r="J3666">
        <v>1642.8</v>
      </c>
      <c r="K3666">
        <v>2464.1999999999998</v>
      </c>
    </row>
    <row r="3667" spans="1:11" x14ac:dyDescent="0.25">
      <c r="A3667" t="s">
        <v>3707</v>
      </c>
      <c r="B3667" s="1">
        <v>45824.583379629628</v>
      </c>
      <c r="C3667" s="2" t="s">
        <v>22</v>
      </c>
      <c r="D3667" t="s">
        <v>13</v>
      </c>
      <c r="E3667">
        <v>73000</v>
      </c>
      <c r="F3667" t="s">
        <v>99</v>
      </c>
      <c r="G3667" t="s">
        <v>34</v>
      </c>
      <c r="H3667" t="s">
        <v>16</v>
      </c>
      <c r="I3667">
        <v>1350.5</v>
      </c>
      <c r="J3667">
        <v>540.20000000000005</v>
      </c>
      <c r="K3667">
        <v>810.3</v>
      </c>
    </row>
    <row r="3668" spans="1:11" x14ac:dyDescent="0.25">
      <c r="A3668" t="s">
        <v>3708</v>
      </c>
      <c r="B3668" s="1">
        <v>45940.534120370372</v>
      </c>
      <c r="C3668" s="2" t="s">
        <v>41</v>
      </c>
      <c r="D3668" t="s">
        <v>33</v>
      </c>
      <c r="E3668">
        <v>149025</v>
      </c>
      <c r="F3668" t="s">
        <v>14</v>
      </c>
      <c r="G3668" t="s">
        <v>51</v>
      </c>
      <c r="H3668" t="s">
        <v>16</v>
      </c>
      <c r="I3668">
        <v>0</v>
      </c>
      <c r="J3668">
        <v>0</v>
      </c>
      <c r="K3668">
        <v>0</v>
      </c>
    </row>
    <row r="3669" spans="1:11" x14ac:dyDescent="0.25">
      <c r="A3669" t="s">
        <v>3709</v>
      </c>
      <c r="B3669" s="1">
        <v>45863.536909722221</v>
      </c>
      <c r="C3669" s="2" t="s">
        <v>29</v>
      </c>
      <c r="D3669" t="s">
        <v>23</v>
      </c>
      <c r="E3669">
        <v>1814</v>
      </c>
      <c r="F3669" t="s">
        <v>14</v>
      </c>
      <c r="G3669" t="s">
        <v>30</v>
      </c>
      <c r="H3669" t="s">
        <v>16</v>
      </c>
      <c r="I3669">
        <v>0</v>
      </c>
      <c r="J3669">
        <v>0</v>
      </c>
      <c r="K3669">
        <v>0</v>
      </c>
    </row>
    <row r="3670" spans="1:11" x14ac:dyDescent="0.25">
      <c r="A3670" t="s">
        <v>3710</v>
      </c>
      <c r="B3670" s="1">
        <v>46007.933449074073</v>
      </c>
      <c r="C3670" s="2" t="s">
        <v>39</v>
      </c>
      <c r="D3670" t="s">
        <v>13</v>
      </c>
      <c r="E3670">
        <v>137000</v>
      </c>
      <c r="F3670" t="s">
        <v>14</v>
      </c>
      <c r="G3670" t="s">
        <v>34</v>
      </c>
      <c r="H3670" t="s">
        <v>16</v>
      </c>
      <c r="I3670">
        <v>2534.5</v>
      </c>
      <c r="J3670">
        <v>1013.8</v>
      </c>
      <c r="K3670">
        <v>1520.7</v>
      </c>
    </row>
    <row r="3671" spans="1:11" x14ac:dyDescent="0.25">
      <c r="A3671" t="s">
        <v>3711</v>
      </c>
      <c r="B3671" s="1">
        <v>45855.182187500002</v>
      </c>
      <c r="C3671" s="2" t="s">
        <v>12</v>
      </c>
      <c r="D3671" t="s">
        <v>23</v>
      </c>
      <c r="E3671">
        <v>832</v>
      </c>
      <c r="F3671" t="s">
        <v>14</v>
      </c>
      <c r="G3671" t="s">
        <v>15</v>
      </c>
      <c r="H3671" t="s">
        <v>16</v>
      </c>
      <c r="I3671">
        <v>0</v>
      </c>
      <c r="J3671">
        <v>0</v>
      </c>
      <c r="K3671">
        <v>0</v>
      </c>
    </row>
    <row r="3672" spans="1:11" x14ac:dyDescent="0.25">
      <c r="A3672" t="s">
        <v>3712</v>
      </c>
      <c r="B3672" s="1">
        <v>46076.614884259259</v>
      </c>
      <c r="C3672" s="2" t="s">
        <v>12</v>
      </c>
      <c r="D3672" t="s">
        <v>45</v>
      </c>
      <c r="E3672">
        <v>101020</v>
      </c>
      <c r="F3672" t="s">
        <v>14</v>
      </c>
      <c r="G3672" t="s">
        <v>58</v>
      </c>
      <c r="H3672" t="s">
        <v>71</v>
      </c>
      <c r="I3672">
        <v>1010.2</v>
      </c>
      <c r="J3672">
        <v>0</v>
      </c>
      <c r="K3672">
        <v>1010.2</v>
      </c>
    </row>
    <row r="3673" spans="1:11" x14ac:dyDescent="0.25">
      <c r="A3673" t="s">
        <v>3713</v>
      </c>
      <c r="B3673" s="1">
        <v>45808.134791666664</v>
      </c>
      <c r="C3673" s="2" t="s">
        <v>18</v>
      </c>
      <c r="D3673" t="s">
        <v>13</v>
      </c>
      <c r="E3673">
        <v>209500</v>
      </c>
      <c r="F3673" t="s">
        <v>50</v>
      </c>
      <c r="G3673" t="s">
        <v>34</v>
      </c>
      <c r="H3673" t="s">
        <v>16</v>
      </c>
      <c r="I3673">
        <v>3875.75</v>
      </c>
      <c r="J3673">
        <v>1550.3</v>
      </c>
      <c r="K3673">
        <v>2325.4499999999998</v>
      </c>
    </row>
    <row r="3674" spans="1:11" x14ac:dyDescent="0.25">
      <c r="A3674" t="s">
        <v>3714</v>
      </c>
      <c r="B3674" s="1">
        <v>45869.582071759258</v>
      </c>
      <c r="C3674" s="2" t="s">
        <v>29</v>
      </c>
      <c r="D3674" t="s">
        <v>45</v>
      </c>
      <c r="E3674">
        <v>22466</v>
      </c>
      <c r="F3674" t="s">
        <v>50</v>
      </c>
      <c r="G3674" t="s">
        <v>27</v>
      </c>
      <c r="H3674" t="s">
        <v>59</v>
      </c>
      <c r="I3674">
        <v>224.66</v>
      </c>
      <c r="J3674">
        <v>0</v>
      </c>
      <c r="K3674">
        <v>224.66</v>
      </c>
    </row>
    <row r="3675" spans="1:11" x14ac:dyDescent="0.25">
      <c r="A3675" t="s">
        <v>3715</v>
      </c>
      <c r="B3675" s="1">
        <v>45828.908634259256</v>
      </c>
      <c r="C3675" s="2" t="s">
        <v>39</v>
      </c>
      <c r="D3675" t="s">
        <v>19</v>
      </c>
      <c r="E3675">
        <v>70664</v>
      </c>
      <c r="F3675" t="s">
        <v>14</v>
      </c>
      <c r="G3675" t="s">
        <v>30</v>
      </c>
      <c r="H3675" t="s">
        <v>16</v>
      </c>
      <c r="I3675">
        <v>5</v>
      </c>
      <c r="J3675">
        <v>0</v>
      </c>
      <c r="K3675">
        <v>5</v>
      </c>
    </row>
    <row r="3676" spans="1:11" x14ac:dyDescent="0.25">
      <c r="A3676" t="s">
        <v>3716</v>
      </c>
      <c r="B3676" s="1">
        <v>46140.767835648148</v>
      </c>
      <c r="C3676" s="2" t="s">
        <v>32</v>
      </c>
      <c r="D3676" t="s">
        <v>13</v>
      </c>
      <c r="E3676">
        <v>146000</v>
      </c>
      <c r="F3676" t="s">
        <v>14</v>
      </c>
      <c r="G3676" t="s">
        <v>27</v>
      </c>
      <c r="H3676" t="s">
        <v>16</v>
      </c>
      <c r="I3676">
        <v>2701</v>
      </c>
      <c r="J3676">
        <v>1080.4000000000001</v>
      </c>
      <c r="K3676">
        <v>1620.6</v>
      </c>
    </row>
    <row r="3677" spans="1:11" x14ac:dyDescent="0.25">
      <c r="A3677" t="s">
        <v>3717</v>
      </c>
      <c r="B3677" s="1">
        <v>45897.811701388891</v>
      </c>
      <c r="C3677" s="2" t="s">
        <v>26</v>
      </c>
      <c r="D3677" t="s">
        <v>13</v>
      </c>
      <c r="E3677">
        <v>136000</v>
      </c>
      <c r="F3677" t="s">
        <v>14</v>
      </c>
      <c r="G3677" t="s">
        <v>34</v>
      </c>
      <c r="H3677" t="s">
        <v>16</v>
      </c>
      <c r="I3677">
        <v>2516</v>
      </c>
      <c r="J3677">
        <v>1006.4</v>
      </c>
      <c r="K3677">
        <v>1509.6</v>
      </c>
    </row>
    <row r="3678" spans="1:11" x14ac:dyDescent="0.25">
      <c r="A3678" t="s">
        <v>3718</v>
      </c>
      <c r="B3678" s="1">
        <v>45790.883287037039</v>
      </c>
      <c r="C3678" s="2" t="s">
        <v>26</v>
      </c>
      <c r="D3678" t="s">
        <v>45</v>
      </c>
      <c r="E3678">
        <v>93571</v>
      </c>
      <c r="F3678" t="s">
        <v>50</v>
      </c>
      <c r="G3678" t="s">
        <v>15</v>
      </c>
      <c r="H3678" t="s">
        <v>178</v>
      </c>
      <c r="I3678">
        <v>935.71</v>
      </c>
      <c r="J3678">
        <v>0</v>
      </c>
      <c r="K3678">
        <v>935.71</v>
      </c>
    </row>
    <row r="3679" spans="1:11" x14ac:dyDescent="0.25">
      <c r="A3679" t="s">
        <v>3719</v>
      </c>
      <c r="B3679" s="1">
        <v>45910.868587962963</v>
      </c>
      <c r="C3679" s="2" t="s">
        <v>32</v>
      </c>
      <c r="D3679" t="s">
        <v>33</v>
      </c>
      <c r="E3679">
        <v>123730</v>
      </c>
      <c r="F3679" t="s">
        <v>14</v>
      </c>
      <c r="G3679" t="s">
        <v>30</v>
      </c>
      <c r="H3679" t="s">
        <v>16</v>
      </c>
      <c r="I3679">
        <v>0</v>
      </c>
      <c r="J3679">
        <v>0</v>
      </c>
      <c r="K3679">
        <v>0</v>
      </c>
    </row>
    <row r="3680" spans="1:11" x14ac:dyDescent="0.25">
      <c r="A3680" t="s">
        <v>3720</v>
      </c>
      <c r="B3680" s="1">
        <v>45791.747986111113</v>
      </c>
      <c r="C3680" s="2" t="s">
        <v>41</v>
      </c>
      <c r="D3680" t="s">
        <v>23</v>
      </c>
      <c r="E3680">
        <v>4597</v>
      </c>
      <c r="F3680" t="s">
        <v>14</v>
      </c>
      <c r="G3680" t="s">
        <v>30</v>
      </c>
      <c r="H3680" t="s">
        <v>16</v>
      </c>
      <c r="I3680">
        <v>0</v>
      </c>
      <c r="J3680">
        <v>0</v>
      </c>
      <c r="K3680">
        <v>0</v>
      </c>
    </row>
    <row r="3681" spans="1:11" x14ac:dyDescent="0.25">
      <c r="A3681" t="s">
        <v>3721</v>
      </c>
      <c r="B3681" s="1">
        <v>46054.634363425925</v>
      </c>
      <c r="C3681" s="2" t="s">
        <v>12</v>
      </c>
      <c r="D3681" t="s">
        <v>45</v>
      </c>
      <c r="E3681">
        <v>128415</v>
      </c>
      <c r="F3681" t="s">
        <v>14</v>
      </c>
      <c r="G3681" t="s">
        <v>24</v>
      </c>
      <c r="H3681" t="s">
        <v>59</v>
      </c>
      <c r="I3681">
        <v>1284.1500000000001</v>
      </c>
      <c r="J3681">
        <v>0</v>
      </c>
      <c r="K3681">
        <v>1284.1500000000001</v>
      </c>
    </row>
    <row r="3682" spans="1:11" x14ac:dyDescent="0.25">
      <c r="A3682" t="s">
        <v>3722</v>
      </c>
      <c r="B3682" s="1">
        <v>46048.554131944446</v>
      </c>
      <c r="C3682" s="2" t="s">
        <v>39</v>
      </c>
      <c r="D3682" t="s">
        <v>23</v>
      </c>
      <c r="E3682">
        <v>1958</v>
      </c>
      <c r="F3682" t="s">
        <v>14</v>
      </c>
      <c r="G3682" t="s">
        <v>34</v>
      </c>
      <c r="H3682" t="s">
        <v>16</v>
      </c>
      <c r="I3682">
        <v>0</v>
      </c>
      <c r="J3682">
        <v>0</v>
      </c>
      <c r="K3682">
        <v>0</v>
      </c>
    </row>
    <row r="3683" spans="1:11" x14ac:dyDescent="0.25">
      <c r="A3683" t="s">
        <v>3723</v>
      </c>
      <c r="B3683" s="1">
        <v>45802.199780092589</v>
      </c>
      <c r="C3683" s="2" t="s">
        <v>18</v>
      </c>
      <c r="D3683" t="s">
        <v>19</v>
      </c>
      <c r="E3683">
        <v>31440</v>
      </c>
      <c r="F3683" t="s">
        <v>14</v>
      </c>
      <c r="G3683" t="s">
        <v>27</v>
      </c>
      <c r="H3683" t="s">
        <v>16</v>
      </c>
      <c r="I3683">
        <v>5</v>
      </c>
      <c r="J3683">
        <v>0</v>
      </c>
      <c r="K3683">
        <v>5</v>
      </c>
    </row>
    <row r="3684" spans="1:11" x14ac:dyDescent="0.25">
      <c r="A3684" t="s">
        <v>3724</v>
      </c>
      <c r="B3684" s="1">
        <v>45942.098553240743</v>
      </c>
      <c r="C3684" s="2" t="s">
        <v>18</v>
      </c>
      <c r="D3684" t="s">
        <v>19</v>
      </c>
      <c r="E3684">
        <v>119644</v>
      </c>
      <c r="F3684" t="s">
        <v>14</v>
      </c>
      <c r="G3684" t="s">
        <v>58</v>
      </c>
      <c r="H3684" t="s">
        <v>16</v>
      </c>
      <c r="I3684">
        <v>5</v>
      </c>
      <c r="J3684">
        <v>0</v>
      </c>
      <c r="K3684">
        <v>5</v>
      </c>
    </row>
    <row r="3685" spans="1:11" x14ac:dyDescent="0.25">
      <c r="A3685" t="s">
        <v>3725</v>
      </c>
      <c r="B3685" s="1">
        <v>46119.507789351854</v>
      </c>
      <c r="C3685" s="2" t="s">
        <v>39</v>
      </c>
      <c r="D3685" t="s">
        <v>13</v>
      </c>
      <c r="E3685">
        <v>11000</v>
      </c>
      <c r="F3685" t="s">
        <v>14</v>
      </c>
      <c r="G3685" t="s">
        <v>58</v>
      </c>
      <c r="H3685" t="s">
        <v>16</v>
      </c>
      <c r="I3685">
        <v>203.5</v>
      </c>
      <c r="J3685">
        <v>81.400000000000006</v>
      </c>
      <c r="K3685">
        <v>122.1</v>
      </c>
    </row>
    <row r="3686" spans="1:11" x14ac:dyDescent="0.25">
      <c r="A3686" t="s">
        <v>3726</v>
      </c>
      <c r="B3686" s="1">
        <v>46109.881736111114</v>
      </c>
      <c r="C3686" s="2" t="s">
        <v>29</v>
      </c>
      <c r="D3686" t="s">
        <v>33</v>
      </c>
      <c r="E3686">
        <v>81609</v>
      </c>
      <c r="F3686" t="s">
        <v>14</v>
      </c>
      <c r="G3686" t="s">
        <v>30</v>
      </c>
      <c r="H3686" t="s">
        <v>16</v>
      </c>
      <c r="I3686">
        <v>0</v>
      </c>
      <c r="J3686">
        <v>0</v>
      </c>
      <c r="K3686">
        <v>0</v>
      </c>
    </row>
    <row r="3687" spans="1:11" x14ac:dyDescent="0.25">
      <c r="A3687" t="s">
        <v>3727</v>
      </c>
      <c r="B3687" s="1">
        <v>45945.695821759262</v>
      </c>
      <c r="C3687" s="2" t="s">
        <v>41</v>
      </c>
      <c r="D3687" t="s">
        <v>33</v>
      </c>
      <c r="E3687">
        <v>127499</v>
      </c>
      <c r="F3687" t="s">
        <v>14</v>
      </c>
      <c r="G3687" t="s">
        <v>84</v>
      </c>
      <c r="H3687" t="s">
        <v>16</v>
      </c>
      <c r="I3687">
        <v>0</v>
      </c>
      <c r="J3687">
        <v>0</v>
      </c>
      <c r="K3687">
        <v>0</v>
      </c>
    </row>
    <row r="3688" spans="1:11" x14ac:dyDescent="0.25">
      <c r="A3688" t="s">
        <v>3728</v>
      </c>
      <c r="B3688" s="1">
        <v>46017.740601851852</v>
      </c>
      <c r="C3688" s="2" t="s">
        <v>18</v>
      </c>
      <c r="D3688" t="s">
        <v>19</v>
      </c>
      <c r="E3688">
        <v>132364</v>
      </c>
      <c r="F3688" t="s">
        <v>14</v>
      </c>
      <c r="G3688" t="s">
        <v>15</v>
      </c>
      <c r="H3688" t="s">
        <v>16</v>
      </c>
      <c r="I3688">
        <v>5</v>
      </c>
      <c r="J3688">
        <v>0</v>
      </c>
      <c r="K3688">
        <v>5</v>
      </c>
    </row>
    <row r="3689" spans="1:11" x14ac:dyDescent="0.25">
      <c r="A3689" t="s">
        <v>3729</v>
      </c>
      <c r="B3689" s="1">
        <v>45887.130104166667</v>
      </c>
      <c r="C3689" s="2" t="s">
        <v>41</v>
      </c>
      <c r="D3689" t="s">
        <v>19</v>
      </c>
      <c r="E3689">
        <v>2259</v>
      </c>
      <c r="F3689" t="s">
        <v>99</v>
      </c>
      <c r="G3689" t="s">
        <v>15</v>
      </c>
      <c r="H3689" t="s">
        <v>16</v>
      </c>
      <c r="I3689">
        <v>5</v>
      </c>
      <c r="J3689">
        <v>0</v>
      </c>
      <c r="K3689">
        <v>5</v>
      </c>
    </row>
    <row r="3690" spans="1:11" x14ac:dyDescent="0.25">
      <c r="A3690" t="s">
        <v>3730</v>
      </c>
      <c r="B3690" s="1">
        <v>45964.989444444444</v>
      </c>
      <c r="C3690" s="2" t="s">
        <v>32</v>
      </c>
      <c r="D3690" t="s">
        <v>33</v>
      </c>
      <c r="E3690">
        <v>82445</v>
      </c>
      <c r="F3690" t="s">
        <v>14</v>
      </c>
      <c r="G3690" t="s">
        <v>15</v>
      </c>
      <c r="H3690" t="s">
        <v>16</v>
      </c>
      <c r="I3690">
        <v>0</v>
      </c>
      <c r="J3690">
        <v>0</v>
      </c>
      <c r="K3690">
        <v>0</v>
      </c>
    </row>
    <row r="3691" spans="1:11" x14ac:dyDescent="0.25">
      <c r="A3691" t="s">
        <v>3731</v>
      </c>
      <c r="B3691" s="1">
        <v>45907.388842592591</v>
      </c>
      <c r="C3691" s="2" t="s">
        <v>12</v>
      </c>
      <c r="D3691" t="s">
        <v>23</v>
      </c>
      <c r="E3691">
        <v>2009</v>
      </c>
      <c r="F3691" t="s">
        <v>14</v>
      </c>
      <c r="G3691" t="s">
        <v>15</v>
      </c>
      <c r="H3691" t="s">
        <v>16</v>
      </c>
      <c r="I3691">
        <v>0</v>
      </c>
      <c r="J3691">
        <v>0</v>
      </c>
      <c r="K3691">
        <v>0</v>
      </c>
    </row>
    <row r="3692" spans="1:11" x14ac:dyDescent="0.25">
      <c r="A3692" t="s">
        <v>3732</v>
      </c>
      <c r="B3692" s="1">
        <v>45917.857118055559</v>
      </c>
      <c r="C3692" s="2" t="s">
        <v>18</v>
      </c>
      <c r="D3692" t="s">
        <v>19</v>
      </c>
      <c r="E3692">
        <v>131972</v>
      </c>
      <c r="F3692" t="s">
        <v>99</v>
      </c>
      <c r="G3692" t="s">
        <v>51</v>
      </c>
      <c r="H3692" t="s">
        <v>16</v>
      </c>
      <c r="I3692">
        <v>5</v>
      </c>
      <c r="J3692">
        <v>0</v>
      </c>
      <c r="K3692">
        <v>5</v>
      </c>
    </row>
    <row r="3693" spans="1:11" x14ac:dyDescent="0.25">
      <c r="A3693" t="s">
        <v>3733</v>
      </c>
      <c r="B3693" s="1">
        <v>45997.337997685187</v>
      </c>
      <c r="C3693" s="2" t="s">
        <v>41</v>
      </c>
      <c r="D3693" t="s">
        <v>45</v>
      </c>
      <c r="E3693">
        <v>109178</v>
      </c>
      <c r="F3693" t="s">
        <v>14</v>
      </c>
      <c r="G3693" t="s">
        <v>84</v>
      </c>
      <c r="H3693" t="s">
        <v>71</v>
      </c>
      <c r="I3693">
        <v>1091.78</v>
      </c>
      <c r="J3693">
        <v>0</v>
      </c>
      <c r="K3693">
        <v>1091.78</v>
      </c>
    </row>
    <row r="3694" spans="1:11" x14ac:dyDescent="0.25">
      <c r="A3694" t="s">
        <v>3734</v>
      </c>
      <c r="B3694" s="1">
        <v>45978.674953703703</v>
      </c>
      <c r="C3694" s="2" t="s">
        <v>26</v>
      </c>
      <c r="D3694" t="s">
        <v>13</v>
      </c>
      <c r="E3694">
        <v>80000</v>
      </c>
      <c r="F3694" t="s">
        <v>14</v>
      </c>
      <c r="G3694" t="s">
        <v>58</v>
      </c>
      <c r="H3694" t="s">
        <v>16</v>
      </c>
      <c r="I3694">
        <v>1480</v>
      </c>
      <c r="J3694">
        <v>592</v>
      </c>
      <c r="K3694">
        <v>888</v>
      </c>
    </row>
    <row r="3695" spans="1:11" x14ac:dyDescent="0.25">
      <c r="A3695" t="s">
        <v>3735</v>
      </c>
      <c r="B3695" s="1">
        <v>45874.669236111113</v>
      </c>
      <c r="C3695" s="2" t="s">
        <v>41</v>
      </c>
      <c r="D3695" t="s">
        <v>13</v>
      </c>
      <c r="E3695">
        <v>195000</v>
      </c>
      <c r="F3695" t="s">
        <v>14</v>
      </c>
      <c r="G3695" t="s">
        <v>15</v>
      </c>
      <c r="H3695" t="s">
        <v>16</v>
      </c>
      <c r="I3695">
        <v>3607.5</v>
      </c>
      <c r="J3695">
        <v>1443</v>
      </c>
      <c r="K3695">
        <v>2164.5</v>
      </c>
    </row>
    <row r="3696" spans="1:11" x14ac:dyDescent="0.25">
      <c r="A3696" t="s">
        <v>3736</v>
      </c>
      <c r="B3696" s="1">
        <v>46009.554432870369</v>
      </c>
      <c r="C3696" s="2" t="s">
        <v>29</v>
      </c>
      <c r="D3696" t="s">
        <v>23</v>
      </c>
      <c r="E3696">
        <v>4577</v>
      </c>
      <c r="F3696" t="s">
        <v>14</v>
      </c>
      <c r="G3696" t="s">
        <v>34</v>
      </c>
      <c r="H3696" t="s">
        <v>16</v>
      </c>
      <c r="I3696">
        <v>0</v>
      </c>
      <c r="J3696">
        <v>0</v>
      </c>
      <c r="K3696">
        <v>0</v>
      </c>
    </row>
    <row r="3697" spans="1:11" x14ac:dyDescent="0.25">
      <c r="A3697" t="s">
        <v>3737</v>
      </c>
      <c r="B3697" s="1">
        <v>45822.832326388889</v>
      </c>
      <c r="C3697" s="2" t="s">
        <v>29</v>
      </c>
      <c r="D3697" t="s">
        <v>33</v>
      </c>
      <c r="E3697">
        <v>81207</v>
      </c>
      <c r="F3697" t="s">
        <v>14</v>
      </c>
      <c r="G3697" t="s">
        <v>34</v>
      </c>
      <c r="H3697" t="s">
        <v>16</v>
      </c>
      <c r="I3697">
        <v>0</v>
      </c>
      <c r="J3697">
        <v>0</v>
      </c>
      <c r="K3697">
        <v>0</v>
      </c>
    </row>
    <row r="3698" spans="1:11" x14ac:dyDescent="0.25">
      <c r="A3698" t="s">
        <v>3738</v>
      </c>
      <c r="B3698" s="1">
        <v>45916.52884259259</v>
      </c>
      <c r="C3698" s="2" t="s">
        <v>22</v>
      </c>
      <c r="D3698" t="s">
        <v>33</v>
      </c>
      <c r="E3698">
        <v>78951</v>
      </c>
      <c r="F3698" t="s">
        <v>14</v>
      </c>
      <c r="G3698" t="s">
        <v>51</v>
      </c>
      <c r="H3698" t="s">
        <v>16</v>
      </c>
      <c r="I3698">
        <v>0</v>
      </c>
      <c r="J3698">
        <v>0</v>
      </c>
      <c r="K3698">
        <v>0</v>
      </c>
    </row>
    <row r="3699" spans="1:11" x14ac:dyDescent="0.25">
      <c r="A3699" t="s">
        <v>3739</v>
      </c>
      <c r="B3699" s="1">
        <v>45947.26421296296</v>
      </c>
      <c r="C3699" s="2" t="s">
        <v>26</v>
      </c>
      <c r="D3699" t="s">
        <v>33</v>
      </c>
      <c r="E3699">
        <v>70919</v>
      </c>
      <c r="F3699" t="s">
        <v>14</v>
      </c>
      <c r="G3699" t="s">
        <v>51</v>
      </c>
      <c r="H3699" t="s">
        <v>16</v>
      </c>
      <c r="I3699">
        <v>0</v>
      </c>
      <c r="J3699">
        <v>0</v>
      </c>
      <c r="K3699">
        <v>0</v>
      </c>
    </row>
    <row r="3700" spans="1:11" x14ac:dyDescent="0.25">
      <c r="A3700" t="s">
        <v>3740</v>
      </c>
      <c r="B3700" s="1">
        <v>45819.608391203707</v>
      </c>
      <c r="C3700" s="2" t="s">
        <v>29</v>
      </c>
      <c r="D3700" t="s">
        <v>19</v>
      </c>
      <c r="E3700">
        <v>118864</v>
      </c>
      <c r="F3700" t="s">
        <v>14</v>
      </c>
      <c r="G3700" t="s">
        <v>30</v>
      </c>
      <c r="H3700" t="s">
        <v>16</v>
      </c>
      <c r="I3700">
        <v>5</v>
      </c>
      <c r="J3700">
        <v>0</v>
      </c>
      <c r="K3700">
        <v>5</v>
      </c>
    </row>
    <row r="3701" spans="1:11" x14ac:dyDescent="0.25">
      <c r="A3701" t="s">
        <v>3741</v>
      </c>
      <c r="B3701" s="1">
        <v>46101.248379629629</v>
      </c>
      <c r="C3701" s="2" t="s">
        <v>29</v>
      </c>
      <c r="D3701" t="s">
        <v>13</v>
      </c>
      <c r="E3701">
        <v>76000</v>
      </c>
      <c r="F3701" t="s">
        <v>14</v>
      </c>
      <c r="G3701" t="s">
        <v>27</v>
      </c>
      <c r="H3701" t="s">
        <v>16</v>
      </c>
      <c r="I3701">
        <v>1406</v>
      </c>
      <c r="J3701">
        <v>562.4</v>
      </c>
      <c r="K3701">
        <v>843.6</v>
      </c>
    </row>
    <row r="3702" spans="1:11" x14ac:dyDescent="0.25">
      <c r="A3702" t="s">
        <v>3742</v>
      </c>
      <c r="B3702" s="1">
        <v>45824.728541666664</v>
      </c>
      <c r="C3702" s="2" t="s">
        <v>22</v>
      </c>
      <c r="D3702" t="s">
        <v>33</v>
      </c>
      <c r="E3702">
        <v>24402</v>
      </c>
      <c r="F3702" t="s">
        <v>14</v>
      </c>
      <c r="G3702" t="s">
        <v>84</v>
      </c>
      <c r="H3702" t="s">
        <v>16</v>
      </c>
      <c r="I3702">
        <v>0</v>
      </c>
      <c r="J3702">
        <v>0</v>
      </c>
      <c r="K3702">
        <v>0</v>
      </c>
    </row>
    <row r="3703" spans="1:11" x14ac:dyDescent="0.25">
      <c r="A3703" t="s">
        <v>3743</v>
      </c>
      <c r="B3703" s="1">
        <v>45982.026828703703</v>
      </c>
      <c r="C3703" s="2" t="s">
        <v>26</v>
      </c>
      <c r="D3703" t="s">
        <v>23</v>
      </c>
      <c r="E3703">
        <v>3478</v>
      </c>
      <c r="F3703" t="s">
        <v>99</v>
      </c>
      <c r="G3703" t="s">
        <v>34</v>
      </c>
      <c r="H3703" t="s">
        <v>16</v>
      </c>
      <c r="I3703">
        <v>0</v>
      </c>
      <c r="J3703">
        <v>0</v>
      </c>
      <c r="K3703">
        <v>0</v>
      </c>
    </row>
    <row r="3704" spans="1:11" x14ac:dyDescent="0.25">
      <c r="A3704" t="s">
        <v>3744</v>
      </c>
      <c r="B3704" s="1">
        <v>45898.066655092596</v>
      </c>
      <c r="C3704" s="2" t="s">
        <v>29</v>
      </c>
      <c r="D3704" t="s">
        <v>33</v>
      </c>
      <c r="E3704">
        <v>146622</v>
      </c>
      <c r="F3704" t="s">
        <v>14</v>
      </c>
      <c r="G3704" t="s">
        <v>30</v>
      </c>
      <c r="H3704" t="s">
        <v>16</v>
      </c>
      <c r="I3704">
        <v>0</v>
      </c>
      <c r="J3704">
        <v>0</v>
      </c>
      <c r="K3704">
        <v>0</v>
      </c>
    </row>
    <row r="3705" spans="1:11" x14ac:dyDescent="0.25">
      <c r="A3705" t="s">
        <v>3745</v>
      </c>
      <c r="B3705" s="1">
        <v>46051.27621527778</v>
      </c>
      <c r="C3705" s="2" t="s">
        <v>32</v>
      </c>
      <c r="D3705" t="s">
        <v>13</v>
      </c>
      <c r="E3705">
        <v>141500</v>
      </c>
      <c r="F3705" t="s">
        <v>14</v>
      </c>
      <c r="G3705" t="s">
        <v>34</v>
      </c>
      <c r="H3705" t="s">
        <v>16</v>
      </c>
      <c r="I3705">
        <v>2617.75</v>
      </c>
      <c r="J3705">
        <v>1047.0999999999999</v>
      </c>
      <c r="K3705">
        <v>1570.65</v>
      </c>
    </row>
    <row r="3706" spans="1:11" x14ac:dyDescent="0.25">
      <c r="A3706" t="s">
        <v>3746</v>
      </c>
      <c r="B3706" s="1">
        <v>45915.265034722222</v>
      </c>
      <c r="C3706" s="2" t="s">
        <v>32</v>
      </c>
      <c r="D3706" t="s">
        <v>45</v>
      </c>
      <c r="E3706">
        <v>111808</v>
      </c>
      <c r="F3706" t="s">
        <v>14</v>
      </c>
      <c r="G3706" t="s">
        <v>51</v>
      </c>
      <c r="H3706" t="s">
        <v>59</v>
      </c>
      <c r="I3706">
        <v>1118.08</v>
      </c>
      <c r="J3706">
        <v>0</v>
      </c>
      <c r="K3706">
        <v>1118.08</v>
      </c>
    </row>
    <row r="3707" spans="1:11" x14ac:dyDescent="0.25">
      <c r="A3707" t="s">
        <v>3747</v>
      </c>
      <c r="B3707" s="1">
        <v>45792.406539351854</v>
      </c>
      <c r="C3707" s="2" t="s">
        <v>39</v>
      </c>
      <c r="D3707" t="s">
        <v>13</v>
      </c>
      <c r="E3707">
        <v>112000</v>
      </c>
      <c r="F3707" t="s">
        <v>14</v>
      </c>
      <c r="G3707" t="s">
        <v>27</v>
      </c>
      <c r="H3707" t="s">
        <v>16</v>
      </c>
      <c r="I3707">
        <v>2072</v>
      </c>
      <c r="J3707">
        <v>828.8</v>
      </c>
      <c r="K3707">
        <v>1243.2</v>
      </c>
    </row>
    <row r="3708" spans="1:11" x14ac:dyDescent="0.25">
      <c r="A3708" t="s">
        <v>3748</v>
      </c>
      <c r="B3708" s="1">
        <v>46045.471446759257</v>
      </c>
      <c r="C3708" s="2" t="s">
        <v>41</v>
      </c>
      <c r="D3708" t="s">
        <v>23</v>
      </c>
      <c r="E3708">
        <v>439</v>
      </c>
      <c r="F3708" t="s">
        <v>14</v>
      </c>
      <c r="G3708" t="s">
        <v>58</v>
      </c>
      <c r="H3708" t="s">
        <v>16</v>
      </c>
      <c r="I3708">
        <v>0</v>
      </c>
      <c r="J3708">
        <v>0</v>
      </c>
      <c r="K3708">
        <v>0</v>
      </c>
    </row>
    <row r="3709" spans="1:11" x14ac:dyDescent="0.25">
      <c r="A3709" t="s">
        <v>3749</v>
      </c>
      <c r="B3709" s="1">
        <v>46096.821516203701</v>
      </c>
      <c r="C3709" s="2" t="s">
        <v>26</v>
      </c>
      <c r="D3709" t="s">
        <v>23</v>
      </c>
      <c r="E3709">
        <v>4523</v>
      </c>
      <c r="F3709" t="s">
        <v>14</v>
      </c>
      <c r="G3709" t="s">
        <v>20</v>
      </c>
      <c r="H3709" t="s">
        <v>16</v>
      </c>
      <c r="I3709">
        <v>0</v>
      </c>
      <c r="J3709">
        <v>0</v>
      </c>
      <c r="K3709">
        <v>0</v>
      </c>
    </row>
    <row r="3710" spans="1:11" x14ac:dyDescent="0.25">
      <c r="A3710" t="s">
        <v>3750</v>
      </c>
      <c r="B3710" s="1">
        <v>45948.45689814815</v>
      </c>
      <c r="C3710" s="2" t="s">
        <v>29</v>
      </c>
      <c r="D3710" t="s">
        <v>23</v>
      </c>
      <c r="E3710">
        <v>2799</v>
      </c>
      <c r="F3710" t="s">
        <v>14</v>
      </c>
      <c r="G3710" t="s">
        <v>34</v>
      </c>
      <c r="H3710" t="s">
        <v>16</v>
      </c>
      <c r="I3710">
        <v>0</v>
      </c>
      <c r="J3710">
        <v>0</v>
      </c>
      <c r="K3710">
        <v>0</v>
      </c>
    </row>
    <row r="3711" spans="1:11" x14ac:dyDescent="0.25">
      <c r="A3711" t="s">
        <v>3751</v>
      </c>
      <c r="B3711" s="1">
        <v>46059.495254629626</v>
      </c>
      <c r="C3711" s="2" t="s">
        <v>29</v>
      </c>
      <c r="D3711" t="s">
        <v>13</v>
      </c>
      <c r="E3711">
        <v>147000</v>
      </c>
      <c r="F3711" t="s">
        <v>14</v>
      </c>
      <c r="G3711" t="s">
        <v>84</v>
      </c>
      <c r="H3711" t="s">
        <v>16</v>
      </c>
      <c r="I3711">
        <v>2719.5</v>
      </c>
      <c r="J3711">
        <v>1087.8</v>
      </c>
      <c r="K3711">
        <v>1631.7</v>
      </c>
    </row>
    <row r="3712" spans="1:11" x14ac:dyDescent="0.25">
      <c r="A3712" t="s">
        <v>3752</v>
      </c>
      <c r="B3712" s="1">
        <v>45861.137754629628</v>
      </c>
      <c r="C3712" s="2" t="s">
        <v>22</v>
      </c>
      <c r="D3712" t="s">
        <v>33</v>
      </c>
      <c r="E3712">
        <v>61792</v>
      </c>
      <c r="F3712" t="s">
        <v>14</v>
      </c>
      <c r="G3712" t="s">
        <v>24</v>
      </c>
      <c r="H3712" t="s">
        <v>16</v>
      </c>
      <c r="I3712">
        <v>0</v>
      </c>
      <c r="J3712">
        <v>0</v>
      </c>
      <c r="K3712">
        <v>0</v>
      </c>
    </row>
    <row r="3713" spans="1:11" x14ac:dyDescent="0.25">
      <c r="A3713" t="s">
        <v>3753</v>
      </c>
      <c r="B3713" s="1">
        <v>45838.207939814813</v>
      </c>
      <c r="C3713" s="2" t="s">
        <v>41</v>
      </c>
      <c r="D3713" t="s">
        <v>33</v>
      </c>
      <c r="E3713">
        <v>83638</v>
      </c>
      <c r="F3713" t="s">
        <v>14</v>
      </c>
      <c r="G3713" t="s">
        <v>51</v>
      </c>
      <c r="H3713" t="s">
        <v>16</v>
      </c>
      <c r="I3713">
        <v>0</v>
      </c>
      <c r="J3713">
        <v>0</v>
      </c>
      <c r="K3713">
        <v>0</v>
      </c>
    </row>
    <row r="3714" spans="1:11" x14ac:dyDescent="0.25">
      <c r="A3714" t="s">
        <v>3754</v>
      </c>
      <c r="B3714" s="1">
        <v>45821.549745370372</v>
      </c>
      <c r="C3714" s="2" t="s">
        <v>41</v>
      </c>
      <c r="D3714" t="s">
        <v>23</v>
      </c>
      <c r="E3714">
        <v>3995</v>
      </c>
      <c r="F3714" t="s">
        <v>14</v>
      </c>
      <c r="G3714" t="s">
        <v>30</v>
      </c>
      <c r="H3714" t="s">
        <v>16</v>
      </c>
      <c r="I3714">
        <v>0</v>
      </c>
      <c r="J3714">
        <v>0</v>
      </c>
      <c r="K3714">
        <v>0</v>
      </c>
    </row>
    <row r="3715" spans="1:11" x14ac:dyDescent="0.25">
      <c r="A3715" t="s">
        <v>3755</v>
      </c>
      <c r="B3715" s="1">
        <v>46005.66678240741</v>
      </c>
      <c r="C3715" s="2" t="s">
        <v>29</v>
      </c>
      <c r="D3715" t="s">
        <v>13</v>
      </c>
      <c r="E3715">
        <v>186000</v>
      </c>
      <c r="F3715" t="s">
        <v>14</v>
      </c>
      <c r="G3715" t="s">
        <v>51</v>
      </c>
      <c r="H3715" t="s">
        <v>16</v>
      </c>
      <c r="I3715">
        <v>3441</v>
      </c>
      <c r="J3715">
        <v>1376.4</v>
      </c>
      <c r="K3715">
        <v>2064.6</v>
      </c>
    </row>
    <row r="3716" spans="1:11" x14ac:dyDescent="0.25">
      <c r="A3716" t="s">
        <v>3756</v>
      </c>
      <c r="B3716" s="1">
        <v>45962.642361111109</v>
      </c>
      <c r="C3716" s="2" t="s">
        <v>22</v>
      </c>
      <c r="D3716" t="s">
        <v>33</v>
      </c>
      <c r="E3716">
        <v>52137</v>
      </c>
      <c r="F3716" t="s">
        <v>99</v>
      </c>
      <c r="G3716" t="s">
        <v>34</v>
      </c>
      <c r="H3716" t="s">
        <v>16</v>
      </c>
      <c r="I3716">
        <v>0</v>
      </c>
      <c r="J3716">
        <v>0</v>
      </c>
      <c r="K3716">
        <v>0</v>
      </c>
    </row>
    <row r="3717" spans="1:11" x14ac:dyDescent="0.25">
      <c r="A3717" t="s">
        <v>3757</v>
      </c>
      <c r="B3717" s="1">
        <v>46002.462881944448</v>
      </c>
      <c r="C3717" s="2" t="s">
        <v>26</v>
      </c>
      <c r="D3717" t="s">
        <v>23</v>
      </c>
      <c r="E3717">
        <v>4440</v>
      </c>
      <c r="F3717" t="s">
        <v>99</v>
      </c>
      <c r="G3717" t="s">
        <v>15</v>
      </c>
      <c r="H3717" t="s">
        <v>16</v>
      </c>
      <c r="I3717">
        <v>0</v>
      </c>
      <c r="J3717">
        <v>0</v>
      </c>
      <c r="K3717">
        <v>0</v>
      </c>
    </row>
    <row r="3718" spans="1:11" x14ac:dyDescent="0.25">
      <c r="A3718" t="s">
        <v>3758</v>
      </c>
      <c r="B3718" s="1">
        <v>46138.810046296298</v>
      </c>
      <c r="C3718" s="2" t="s">
        <v>32</v>
      </c>
      <c r="D3718" t="s">
        <v>45</v>
      </c>
      <c r="E3718">
        <v>122559</v>
      </c>
      <c r="F3718" t="s">
        <v>14</v>
      </c>
      <c r="G3718" t="s">
        <v>15</v>
      </c>
      <c r="H3718" t="s">
        <v>178</v>
      </c>
      <c r="I3718">
        <v>1225.5899999999999</v>
      </c>
      <c r="J3718">
        <v>0</v>
      </c>
      <c r="K3718">
        <v>1225.5899999999999</v>
      </c>
    </row>
    <row r="3719" spans="1:11" x14ac:dyDescent="0.25">
      <c r="A3719" t="s">
        <v>3759</v>
      </c>
      <c r="B3719" s="1">
        <v>46091.743530092594</v>
      </c>
      <c r="C3719" s="2" t="s">
        <v>18</v>
      </c>
      <c r="D3719" t="s">
        <v>23</v>
      </c>
      <c r="E3719">
        <v>4427</v>
      </c>
      <c r="F3719" t="s">
        <v>14</v>
      </c>
      <c r="G3719" t="s">
        <v>20</v>
      </c>
      <c r="H3719" t="s">
        <v>16</v>
      </c>
      <c r="I3719">
        <v>0</v>
      </c>
      <c r="J3719">
        <v>0</v>
      </c>
      <c r="K3719">
        <v>0</v>
      </c>
    </row>
    <row r="3720" spans="1:11" x14ac:dyDescent="0.25">
      <c r="A3720" t="s">
        <v>3760</v>
      </c>
      <c r="B3720" s="1">
        <v>45872.511412037034</v>
      </c>
      <c r="C3720" s="2" t="s">
        <v>29</v>
      </c>
      <c r="D3720" t="s">
        <v>23</v>
      </c>
      <c r="E3720">
        <v>3334</v>
      </c>
      <c r="F3720" t="s">
        <v>14</v>
      </c>
      <c r="G3720" t="s">
        <v>24</v>
      </c>
      <c r="H3720" t="s">
        <v>16</v>
      </c>
      <c r="I3720">
        <v>0</v>
      </c>
      <c r="J3720">
        <v>0</v>
      </c>
      <c r="K3720">
        <v>0</v>
      </c>
    </row>
    <row r="3721" spans="1:11" x14ac:dyDescent="0.25">
      <c r="A3721" t="s">
        <v>3761</v>
      </c>
      <c r="B3721" s="1">
        <v>45973.224097222221</v>
      </c>
      <c r="C3721" s="2" t="s">
        <v>18</v>
      </c>
      <c r="D3721" t="s">
        <v>23</v>
      </c>
      <c r="E3721">
        <v>2218</v>
      </c>
      <c r="F3721" t="s">
        <v>14</v>
      </c>
      <c r="G3721" t="s">
        <v>27</v>
      </c>
      <c r="H3721" t="s">
        <v>16</v>
      </c>
      <c r="I3721">
        <v>0</v>
      </c>
      <c r="J3721">
        <v>0</v>
      </c>
      <c r="K3721">
        <v>0</v>
      </c>
    </row>
    <row r="3722" spans="1:11" x14ac:dyDescent="0.25">
      <c r="A3722" t="s">
        <v>3762</v>
      </c>
      <c r="B3722" s="1">
        <v>46054.569374999999</v>
      </c>
      <c r="C3722" s="2" t="s">
        <v>39</v>
      </c>
      <c r="D3722" t="s">
        <v>13</v>
      </c>
      <c r="E3722">
        <v>90500</v>
      </c>
      <c r="F3722" t="s">
        <v>50</v>
      </c>
      <c r="G3722" t="s">
        <v>51</v>
      </c>
      <c r="H3722" t="s">
        <v>16</v>
      </c>
      <c r="I3722">
        <v>1674.25</v>
      </c>
      <c r="J3722">
        <v>669.7</v>
      </c>
      <c r="K3722">
        <v>1004.55</v>
      </c>
    </row>
    <row r="3723" spans="1:11" x14ac:dyDescent="0.25">
      <c r="A3723" t="s">
        <v>3763</v>
      </c>
      <c r="B3723" s="1">
        <v>46090.924270833333</v>
      </c>
      <c r="C3723" s="2" t="s">
        <v>18</v>
      </c>
      <c r="D3723" t="s">
        <v>33</v>
      </c>
      <c r="E3723">
        <v>30586</v>
      </c>
      <c r="F3723" t="s">
        <v>14</v>
      </c>
      <c r="G3723" t="s">
        <v>30</v>
      </c>
      <c r="H3723" t="s">
        <v>16</v>
      </c>
      <c r="I3723">
        <v>0</v>
      </c>
      <c r="J3723">
        <v>0</v>
      </c>
      <c r="K3723">
        <v>0</v>
      </c>
    </row>
    <row r="3724" spans="1:11" x14ac:dyDescent="0.25">
      <c r="A3724" t="s">
        <v>3764</v>
      </c>
      <c r="B3724" s="1">
        <v>46031.415509259263</v>
      </c>
      <c r="C3724" s="2" t="s">
        <v>18</v>
      </c>
      <c r="D3724" t="s">
        <v>45</v>
      </c>
      <c r="E3724">
        <v>132353</v>
      </c>
      <c r="F3724" t="s">
        <v>14</v>
      </c>
      <c r="G3724" t="s">
        <v>58</v>
      </c>
      <c r="H3724" t="s">
        <v>59</v>
      </c>
      <c r="I3724">
        <v>1323.53</v>
      </c>
      <c r="J3724">
        <v>0</v>
      </c>
      <c r="K3724">
        <v>1323.53</v>
      </c>
    </row>
    <row r="3725" spans="1:11" x14ac:dyDescent="0.25">
      <c r="A3725" t="s">
        <v>3765</v>
      </c>
      <c r="B3725" s="1">
        <v>45852.558009259257</v>
      </c>
      <c r="C3725" s="2" t="s">
        <v>12</v>
      </c>
      <c r="D3725" t="s">
        <v>45</v>
      </c>
      <c r="E3725">
        <v>83604</v>
      </c>
      <c r="F3725" t="s">
        <v>99</v>
      </c>
      <c r="G3725" t="s">
        <v>15</v>
      </c>
      <c r="H3725" t="s">
        <v>178</v>
      </c>
      <c r="I3725">
        <v>836.04</v>
      </c>
      <c r="J3725">
        <v>0</v>
      </c>
      <c r="K3725">
        <v>836.04</v>
      </c>
    </row>
    <row r="3726" spans="1:11" x14ac:dyDescent="0.25">
      <c r="A3726" t="s">
        <v>3766</v>
      </c>
      <c r="B3726" s="1">
        <v>45892.539201388892</v>
      </c>
      <c r="C3726" s="2" t="s">
        <v>32</v>
      </c>
      <c r="D3726" t="s">
        <v>45</v>
      </c>
      <c r="E3726">
        <v>28086</v>
      </c>
      <c r="F3726" t="s">
        <v>14</v>
      </c>
      <c r="G3726" t="s">
        <v>84</v>
      </c>
      <c r="H3726" t="s">
        <v>71</v>
      </c>
      <c r="I3726">
        <v>280.86</v>
      </c>
      <c r="J3726">
        <v>0</v>
      </c>
      <c r="K3726">
        <v>280.86</v>
      </c>
    </row>
    <row r="3727" spans="1:11" x14ac:dyDescent="0.25">
      <c r="A3727" t="s">
        <v>3767</v>
      </c>
      <c r="B3727" s="1">
        <v>45971.043865740743</v>
      </c>
      <c r="C3727" s="2" t="s">
        <v>22</v>
      </c>
      <c r="D3727" t="s">
        <v>13</v>
      </c>
      <c r="E3727">
        <v>104500</v>
      </c>
      <c r="F3727" t="s">
        <v>14</v>
      </c>
      <c r="G3727" t="s">
        <v>34</v>
      </c>
      <c r="H3727" t="s">
        <v>16</v>
      </c>
      <c r="I3727">
        <v>1933.25</v>
      </c>
      <c r="J3727">
        <v>773.3</v>
      </c>
      <c r="K3727">
        <v>1159.95</v>
      </c>
    </row>
    <row r="3728" spans="1:11" x14ac:dyDescent="0.25">
      <c r="A3728" t="s">
        <v>3768</v>
      </c>
      <c r="B3728" s="1">
        <v>46138.229259259257</v>
      </c>
      <c r="C3728" s="2" t="s">
        <v>29</v>
      </c>
      <c r="D3728" t="s">
        <v>33</v>
      </c>
      <c r="E3728">
        <v>61950</v>
      </c>
      <c r="F3728" t="s">
        <v>50</v>
      </c>
      <c r="G3728" t="s">
        <v>58</v>
      </c>
      <c r="H3728" t="s">
        <v>16</v>
      </c>
      <c r="I3728">
        <v>0</v>
      </c>
      <c r="J3728">
        <v>0</v>
      </c>
      <c r="K3728">
        <v>0</v>
      </c>
    </row>
    <row r="3729" spans="1:11" x14ac:dyDescent="0.25">
      <c r="A3729" t="s">
        <v>3769</v>
      </c>
      <c r="B3729" s="1">
        <v>45981.613634259258</v>
      </c>
      <c r="C3729" s="2" t="s">
        <v>41</v>
      </c>
      <c r="D3729" t="s">
        <v>33</v>
      </c>
      <c r="E3729">
        <v>9781</v>
      </c>
      <c r="F3729" t="s">
        <v>99</v>
      </c>
      <c r="G3729" t="s">
        <v>20</v>
      </c>
      <c r="H3729" t="s">
        <v>16</v>
      </c>
      <c r="I3729">
        <v>0</v>
      </c>
      <c r="J3729">
        <v>0</v>
      </c>
      <c r="K3729">
        <v>0</v>
      </c>
    </row>
    <row r="3730" spans="1:11" x14ac:dyDescent="0.25">
      <c r="A3730" t="s">
        <v>3770</v>
      </c>
      <c r="B3730" s="1">
        <v>46121.794733796298</v>
      </c>
      <c r="C3730" s="2" t="s">
        <v>12</v>
      </c>
      <c r="D3730" t="s">
        <v>19</v>
      </c>
      <c r="E3730">
        <v>50612</v>
      </c>
      <c r="F3730" t="s">
        <v>14</v>
      </c>
      <c r="G3730" t="s">
        <v>51</v>
      </c>
      <c r="H3730" t="s">
        <v>16</v>
      </c>
      <c r="I3730">
        <v>5</v>
      </c>
      <c r="J3730">
        <v>0</v>
      </c>
      <c r="K3730">
        <v>5</v>
      </c>
    </row>
    <row r="3731" spans="1:11" x14ac:dyDescent="0.25">
      <c r="A3731" t="s">
        <v>3771</v>
      </c>
      <c r="B3731" s="1">
        <v>45813.516423611109</v>
      </c>
      <c r="C3731" s="2" t="s">
        <v>39</v>
      </c>
      <c r="D3731" t="s">
        <v>45</v>
      </c>
      <c r="E3731">
        <v>38770</v>
      </c>
      <c r="F3731" t="s">
        <v>50</v>
      </c>
      <c r="G3731" t="s">
        <v>58</v>
      </c>
      <c r="H3731" t="s">
        <v>46</v>
      </c>
      <c r="I3731">
        <v>387.7</v>
      </c>
      <c r="J3731">
        <v>0</v>
      </c>
      <c r="K3731">
        <v>387.7</v>
      </c>
    </row>
    <row r="3732" spans="1:11" x14ac:dyDescent="0.25">
      <c r="A3732" t="s">
        <v>3772</v>
      </c>
      <c r="B3732" s="1">
        <v>46086.630729166667</v>
      </c>
      <c r="C3732" s="2" t="s">
        <v>39</v>
      </c>
      <c r="D3732" t="s">
        <v>19</v>
      </c>
      <c r="E3732">
        <v>93093</v>
      </c>
      <c r="F3732" t="s">
        <v>14</v>
      </c>
      <c r="G3732" t="s">
        <v>58</v>
      </c>
      <c r="H3732" t="s">
        <v>16</v>
      </c>
      <c r="I3732">
        <v>5</v>
      </c>
      <c r="J3732">
        <v>0</v>
      </c>
      <c r="K3732">
        <v>5</v>
      </c>
    </row>
    <row r="3733" spans="1:11" x14ac:dyDescent="0.25">
      <c r="A3733" t="s">
        <v>3773</v>
      </c>
      <c r="B3733" s="1">
        <v>46043.708553240744</v>
      </c>
      <c r="C3733" s="2" t="s">
        <v>22</v>
      </c>
      <c r="D3733" t="s">
        <v>19</v>
      </c>
      <c r="E3733">
        <v>17635</v>
      </c>
      <c r="F3733" t="s">
        <v>14</v>
      </c>
      <c r="G3733" t="s">
        <v>20</v>
      </c>
      <c r="H3733" t="s">
        <v>16</v>
      </c>
      <c r="I3733">
        <v>5</v>
      </c>
      <c r="J3733">
        <v>0</v>
      </c>
      <c r="K3733">
        <v>5</v>
      </c>
    </row>
    <row r="3734" spans="1:11" x14ac:dyDescent="0.25">
      <c r="A3734" t="s">
        <v>3774</v>
      </c>
      <c r="B3734" s="1">
        <v>45905.782048611109</v>
      </c>
      <c r="C3734" s="2" t="s">
        <v>22</v>
      </c>
      <c r="D3734" t="s">
        <v>23</v>
      </c>
      <c r="E3734">
        <v>3842</v>
      </c>
      <c r="F3734" t="s">
        <v>50</v>
      </c>
      <c r="G3734" t="s">
        <v>84</v>
      </c>
      <c r="H3734" t="s">
        <v>16</v>
      </c>
      <c r="I3734">
        <v>0</v>
      </c>
      <c r="J3734">
        <v>0</v>
      </c>
      <c r="K3734">
        <v>0</v>
      </c>
    </row>
    <row r="3735" spans="1:11" x14ac:dyDescent="0.25">
      <c r="A3735" t="s">
        <v>3775</v>
      </c>
      <c r="B3735" s="1">
        <v>45972.092731481483</v>
      </c>
      <c r="C3735" s="2" t="s">
        <v>32</v>
      </c>
      <c r="D3735" t="s">
        <v>23</v>
      </c>
      <c r="E3735">
        <v>375</v>
      </c>
      <c r="F3735" t="s">
        <v>14</v>
      </c>
      <c r="G3735" t="s">
        <v>24</v>
      </c>
      <c r="H3735" t="s">
        <v>16</v>
      </c>
      <c r="I3735">
        <v>0</v>
      </c>
      <c r="J3735">
        <v>0</v>
      </c>
      <c r="K3735">
        <v>0</v>
      </c>
    </row>
    <row r="3736" spans="1:11" x14ac:dyDescent="0.25">
      <c r="A3736" t="s">
        <v>3776</v>
      </c>
      <c r="B3736" s="1">
        <v>45892.833773148152</v>
      </c>
      <c r="C3736" s="2" t="s">
        <v>26</v>
      </c>
      <c r="D3736" t="s">
        <v>19</v>
      </c>
      <c r="E3736">
        <v>65594</v>
      </c>
      <c r="F3736" t="s">
        <v>14</v>
      </c>
      <c r="G3736" t="s">
        <v>27</v>
      </c>
      <c r="H3736" t="s">
        <v>16</v>
      </c>
      <c r="I3736">
        <v>5</v>
      </c>
      <c r="J3736">
        <v>0</v>
      </c>
      <c r="K3736">
        <v>5</v>
      </c>
    </row>
    <row r="3737" spans="1:11" x14ac:dyDescent="0.25">
      <c r="A3737" t="s">
        <v>3777</v>
      </c>
      <c r="B3737" s="1">
        <v>45978.494976851849</v>
      </c>
      <c r="C3737" s="2" t="s">
        <v>22</v>
      </c>
      <c r="D3737" t="s">
        <v>23</v>
      </c>
      <c r="E3737">
        <v>590</v>
      </c>
      <c r="F3737" t="s">
        <v>14</v>
      </c>
      <c r="G3737" t="s">
        <v>24</v>
      </c>
      <c r="H3737" t="s">
        <v>16</v>
      </c>
      <c r="I3737">
        <v>0</v>
      </c>
      <c r="J3737">
        <v>0</v>
      </c>
      <c r="K3737">
        <v>0</v>
      </c>
    </row>
    <row r="3738" spans="1:11" x14ac:dyDescent="0.25">
      <c r="A3738" t="s">
        <v>3778</v>
      </c>
      <c r="B3738" s="1">
        <v>46131.376782407409</v>
      </c>
      <c r="C3738" s="2" t="s">
        <v>12</v>
      </c>
      <c r="D3738" t="s">
        <v>23</v>
      </c>
      <c r="E3738">
        <v>2204</v>
      </c>
      <c r="F3738" t="s">
        <v>50</v>
      </c>
      <c r="G3738" t="s">
        <v>15</v>
      </c>
      <c r="H3738" t="s">
        <v>16</v>
      </c>
      <c r="I3738">
        <v>0</v>
      </c>
      <c r="J3738">
        <v>0</v>
      </c>
      <c r="K3738">
        <v>0</v>
      </c>
    </row>
    <row r="3739" spans="1:11" x14ac:dyDescent="0.25">
      <c r="A3739" t="s">
        <v>3779</v>
      </c>
      <c r="B3739" s="1">
        <v>45878.936898148146</v>
      </c>
      <c r="C3739" s="2" t="s">
        <v>29</v>
      </c>
      <c r="D3739" t="s">
        <v>23</v>
      </c>
      <c r="E3739">
        <v>705</v>
      </c>
      <c r="F3739" t="s">
        <v>14</v>
      </c>
      <c r="G3739" t="s">
        <v>20</v>
      </c>
      <c r="H3739" t="s">
        <v>16</v>
      </c>
      <c r="I3739">
        <v>0</v>
      </c>
      <c r="J3739">
        <v>0</v>
      </c>
      <c r="K3739">
        <v>0</v>
      </c>
    </row>
    <row r="3740" spans="1:11" x14ac:dyDescent="0.25">
      <c r="A3740" t="s">
        <v>3780</v>
      </c>
      <c r="B3740" s="1">
        <v>46128.896840277775</v>
      </c>
      <c r="C3740" s="2" t="s">
        <v>41</v>
      </c>
      <c r="D3740" t="s">
        <v>19</v>
      </c>
      <c r="E3740">
        <v>80517</v>
      </c>
      <c r="F3740" t="s">
        <v>14</v>
      </c>
      <c r="G3740" t="s">
        <v>34</v>
      </c>
      <c r="H3740" t="s">
        <v>16</v>
      </c>
      <c r="I3740">
        <v>5</v>
      </c>
      <c r="J3740">
        <v>0</v>
      </c>
      <c r="K3740">
        <v>5</v>
      </c>
    </row>
    <row r="3741" spans="1:11" x14ac:dyDescent="0.25">
      <c r="A3741" t="s">
        <v>3781</v>
      </c>
      <c r="B3741" s="1">
        <v>46130.508472222224</v>
      </c>
      <c r="C3741" s="2" t="s">
        <v>12</v>
      </c>
      <c r="D3741" t="s">
        <v>33</v>
      </c>
      <c r="E3741">
        <v>76295</v>
      </c>
      <c r="F3741" t="s">
        <v>50</v>
      </c>
      <c r="G3741" t="s">
        <v>30</v>
      </c>
      <c r="H3741" t="s">
        <v>16</v>
      </c>
      <c r="I3741">
        <v>0</v>
      </c>
      <c r="J3741">
        <v>0</v>
      </c>
      <c r="K3741">
        <v>0</v>
      </c>
    </row>
    <row r="3742" spans="1:11" x14ac:dyDescent="0.25">
      <c r="A3742" t="s">
        <v>3782</v>
      </c>
      <c r="B3742" s="1">
        <v>45922.020439814813</v>
      </c>
      <c r="C3742" s="2" t="s">
        <v>26</v>
      </c>
      <c r="D3742" t="s">
        <v>23</v>
      </c>
      <c r="E3742">
        <v>3215</v>
      </c>
      <c r="F3742" t="s">
        <v>14</v>
      </c>
      <c r="G3742" t="s">
        <v>30</v>
      </c>
      <c r="H3742" t="s">
        <v>16</v>
      </c>
      <c r="I3742">
        <v>0</v>
      </c>
      <c r="J3742">
        <v>0</v>
      </c>
      <c r="K3742">
        <v>0</v>
      </c>
    </row>
    <row r="3743" spans="1:11" x14ac:dyDescent="0.25">
      <c r="A3743" t="s">
        <v>3783</v>
      </c>
      <c r="B3743" s="1">
        <v>46128.506296296298</v>
      </c>
      <c r="C3743" s="2" t="s">
        <v>22</v>
      </c>
      <c r="D3743" t="s">
        <v>19</v>
      </c>
      <c r="E3743">
        <v>22312</v>
      </c>
      <c r="F3743" t="s">
        <v>14</v>
      </c>
      <c r="G3743" t="s">
        <v>27</v>
      </c>
      <c r="H3743" t="s">
        <v>16</v>
      </c>
      <c r="I3743">
        <v>5</v>
      </c>
      <c r="J3743">
        <v>0</v>
      </c>
      <c r="K3743">
        <v>5</v>
      </c>
    </row>
    <row r="3744" spans="1:11" x14ac:dyDescent="0.25">
      <c r="A3744" t="s">
        <v>3784</v>
      </c>
      <c r="B3744" s="1">
        <v>45796.66269675926</v>
      </c>
      <c r="C3744" s="2" t="s">
        <v>22</v>
      </c>
      <c r="D3744" t="s">
        <v>33</v>
      </c>
      <c r="E3744">
        <v>67453</v>
      </c>
      <c r="F3744" t="s">
        <v>14</v>
      </c>
      <c r="G3744" t="s">
        <v>34</v>
      </c>
      <c r="H3744" t="s">
        <v>16</v>
      </c>
      <c r="I3744">
        <v>0</v>
      </c>
      <c r="J3744">
        <v>0</v>
      </c>
      <c r="K3744">
        <v>0</v>
      </c>
    </row>
    <row r="3745" spans="1:11" x14ac:dyDescent="0.25">
      <c r="A3745" t="s">
        <v>3785</v>
      </c>
      <c r="B3745" s="1">
        <v>45969.361354166664</v>
      </c>
      <c r="C3745" s="2" t="s">
        <v>39</v>
      </c>
      <c r="D3745" t="s">
        <v>33</v>
      </c>
      <c r="E3745">
        <v>82298</v>
      </c>
      <c r="F3745" t="s">
        <v>14</v>
      </c>
      <c r="G3745" t="s">
        <v>30</v>
      </c>
      <c r="H3745" t="s">
        <v>16</v>
      </c>
      <c r="I3745">
        <v>0</v>
      </c>
      <c r="J3745">
        <v>0</v>
      </c>
      <c r="K3745">
        <v>0</v>
      </c>
    </row>
    <row r="3746" spans="1:11" x14ac:dyDescent="0.25">
      <c r="A3746" t="s">
        <v>3786</v>
      </c>
      <c r="B3746" s="1">
        <v>45972.549780092595</v>
      </c>
      <c r="C3746" s="2" t="s">
        <v>41</v>
      </c>
      <c r="D3746" t="s">
        <v>19</v>
      </c>
      <c r="E3746">
        <v>53347</v>
      </c>
      <c r="F3746" t="s">
        <v>14</v>
      </c>
      <c r="G3746" t="s">
        <v>34</v>
      </c>
      <c r="H3746" t="s">
        <v>16</v>
      </c>
      <c r="I3746">
        <v>5</v>
      </c>
      <c r="J3746">
        <v>0</v>
      </c>
      <c r="K3746">
        <v>5</v>
      </c>
    </row>
    <row r="3747" spans="1:11" x14ac:dyDescent="0.25">
      <c r="A3747" t="s">
        <v>3787</v>
      </c>
      <c r="B3747" s="1">
        <v>46081.70484953704</v>
      </c>
      <c r="C3747" s="2" t="s">
        <v>26</v>
      </c>
      <c r="D3747" t="s">
        <v>45</v>
      </c>
      <c r="E3747">
        <v>3244</v>
      </c>
      <c r="F3747" t="s">
        <v>14</v>
      </c>
      <c r="G3747" t="s">
        <v>20</v>
      </c>
      <c r="H3747" t="s">
        <v>56</v>
      </c>
      <c r="I3747">
        <v>32.44</v>
      </c>
      <c r="J3747">
        <v>0</v>
      </c>
      <c r="K3747">
        <v>32.44</v>
      </c>
    </row>
    <row r="3748" spans="1:11" x14ac:dyDescent="0.25">
      <c r="A3748" t="s">
        <v>3788</v>
      </c>
      <c r="B3748" s="1">
        <v>45952.138321759259</v>
      </c>
      <c r="C3748" s="2" t="s">
        <v>29</v>
      </c>
      <c r="D3748" t="s">
        <v>19</v>
      </c>
      <c r="E3748">
        <v>135549</v>
      </c>
      <c r="F3748" t="s">
        <v>14</v>
      </c>
      <c r="G3748" t="s">
        <v>15</v>
      </c>
      <c r="H3748" t="s">
        <v>16</v>
      </c>
      <c r="I3748">
        <v>5</v>
      </c>
      <c r="J3748">
        <v>0</v>
      </c>
      <c r="K3748">
        <v>5</v>
      </c>
    </row>
    <row r="3749" spans="1:11" x14ac:dyDescent="0.25">
      <c r="A3749" t="s">
        <v>3789</v>
      </c>
      <c r="B3749" s="1">
        <v>45872.339467592596</v>
      </c>
      <c r="C3749" s="2" t="s">
        <v>32</v>
      </c>
      <c r="D3749" t="s">
        <v>23</v>
      </c>
      <c r="E3749">
        <v>661</v>
      </c>
      <c r="F3749" t="s">
        <v>14</v>
      </c>
      <c r="G3749" t="s">
        <v>30</v>
      </c>
      <c r="H3749" t="s">
        <v>16</v>
      </c>
      <c r="I3749">
        <v>0</v>
      </c>
      <c r="J3749">
        <v>0</v>
      </c>
      <c r="K3749">
        <v>0</v>
      </c>
    </row>
    <row r="3750" spans="1:11" x14ac:dyDescent="0.25">
      <c r="A3750" t="s">
        <v>3790</v>
      </c>
      <c r="B3750" s="1">
        <v>45926.220497685186</v>
      </c>
      <c r="C3750" s="2" t="s">
        <v>18</v>
      </c>
      <c r="D3750" t="s">
        <v>45</v>
      </c>
      <c r="E3750">
        <v>80146</v>
      </c>
      <c r="F3750" t="s">
        <v>99</v>
      </c>
      <c r="G3750" t="s">
        <v>30</v>
      </c>
      <c r="H3750" t="s">
        <v>178</v>
      </c>
      <c r="I3750">
        <v>801.46</v>
      </c>
      <c r="J3750">
        <v>0</v>
      </c>
      <c r="K3750">
        <v>801.46</v>
      </c>
    </row>
    <row r="3751" spans="1:11" x14ac:dyDescent="0.25">
      <c r="A3751" t="s">
        <v>3791</v>
      </c>
      <c r="B3751" s="1">
        <v>45799.980416666665</v>
      </c>
      <c r="C3751" s="2" t="s">
        <v>12</v>
      </c>
      <c r="D3751" t="s">
        <v>19</v>
      </c>
      <c r="E3751">
        <v>14395</v>
      </c>
      <c r="F3751" t="s">
        <v>14</v>
      </c>
      <c r="G3751" t="s">
        <v>20</v>
      </c>
      <c r="H3751" t="s">
        <v>16</v>
      </c>
      <c r="I3751">
        <v>5</v>
      </c>
      <c r="J3751">
        <v>0</v>
      </c>
      <c r="K3751">
        <v>5</v>
      </c>
    </row>
    <row r="3752" spans="1:11" x14ac:dyDescent="0.25">
      <c r="A3752" t="s">
        <v>3792</v>
      </c>
      <c r="B3752" s="1">
        <v>46025.979884259257</v>
      </c>
      <c r="C3752" s="2" t="s">
        <v>32</v>
      </c>
      <c r="D3752" t="s">
        <v>33</v>
      </c>
      <c r="E3752">
        <v>112595</v>
      </c>
      <c r="F3752" t="s">
        <v>14</v>
      </c>
      <c r="G3752" t="s">
        <v>34</v>
      </c>
      <c r="H3752" t="s">
        <v>16</v>
      </c>
      <c r="I3752">
        <v>0</v>
      </c>
      <c r="J3752">
        <v>0</v>
      </c>
      <c r="K3752">
        <v>0</v>
      </c>
    </row>
    <row r="3753" spans="1:11" x14ac:dyDescent="0.25">
      <c r="A3753" t="s">
        <v>3793</v>
      </c>
      <c r="B3753" s="1">
        <v>46095.494432870371</v>
      </c>
      <c r="C3753" s="2" t="s">
        <v>26</v>
      </c>
      <c r="D3753" t="s">
        <v>45</v>
      </c>
      <c r="E3753">
        <v>55355</v>
      </c>
      <c r="F3753" t="s">
        <v>50</v>
      </c>
      <c r="G3753" t="s">
        <v>34</v>
      </c>
      <c r="H3753" t="s">
        <v>56</v>
      </c>
      <c r="I3753">
        <v>553.54999999999995</v>
      </c>
      <c r="J3753">
        <v>0</v>
      </c>
      <c r="K3753">
        <v>553.54999999999995</v>
      </c>
    </row>
    <row r="3754" spans="1:11" x14ac:dyDescent="0.25">
      <c r="A3754" t="s">
        <v>3794</v>
      </c>
      <c r="B3754" s="1">
        <v>45999.533750000002</v>
      </c>
      <c r="C3754" s="2" t="s">
        <v>18</v>
      </c>
      <c r="D3754" t="s">
        <v>45</v>
      </c>
      <c r="E3754">
        <v>82560</v>
      </c>
      <c r="F3754" t="s">
        <v>50</v>
      </c>
      <c r="G3754" t="s">
        <v>30</v>
      </c>
      <c r="H3754" t="s">
        <v>56</v>
      </c>
      <c r="I3754">
        <v>825.6</v>
      </c>
      <c r="J3754">
        <v>0</v>
      </c>
      <c r="K3754">
        <v>825.6</v>
      </c>
    </row>
    <row r="3755" spans="1:11" x14ac:dyDescent="0.25">
      <c r="A3755" t="s">
        <v>3795</v>
      </c>
      <c r="B3755" s="1">
        <v>46131.671261574076</v>
      </c>
      <c r="C3755" s="2" t="s">
        <v>12</v>
      </c>
      <c r="D3755" t="s">
        <v>45</v>
      </c>
      <c r="E3755">
        <v>2296</v>
      </c>
      <c r="F3755" t="s">
        <v>14</v>
      </c>
      <c r="G3755" t="s">
        <v>84</v>
      </c>
      <c r="H3755" t="s">
        <v>71</v>
      </c>
      <c r="I3755">
        <v>22.96</v>
      </c>
      <c r="J3755">
        <v>0</v>
      </c>
      <c r="K3755">
        <v>22.96</v>
      </c>
    </row>
    <row r="3756" spans="1:11" x14ac:dyDescent="0.25">
      <c r="A3756" t="s">
        <v>3796</v>
      </c>
      <c r="B3756" s="1">
        <v>45987.630949074075</v>
      </c>
      <c r="C3756" s="2" t="s">
        <v>32</v>
      </c>
      <c r="D3756" t="s">
        <v>23</v>
      </c>
      <c r="E3756">
        <v>1118</v>
      </c>
      <c r="F3756" t="s">
        <v>50</v>
      </c>
      <c r="G3756" t="s">
        <v>15</v>
      </c>
      <c r="H3756" t="s">
        <v>16</v>
      </c>
      <c r="I3756">
        <v>0</v>
      </c>
      <c r="J3756">
        <v>0</v>
      </c>
      <c r="K3756">
        <v>0</v>
      </c>
    </row>
    <row r="3757" spans="1:11" x14ac:dyDescent="0.25">
      <c r="A3757" t="s">
        <v>3797</v>
      </c>
      <c r="B3757" s="1">
        <v>45829.675729166665</v>
      </c>
      <c r="C3757" s="2" t="s">
        <v>32</v>
      </c>
      <c r="D3757" t="s">
        <v>45</v>
      </c>
      <c r="E3757">
        <v>123323</v>
      </c>
      <c r="F3757" t="s">
        <v>50</v>
      </c>
      <c r="G3757" t="s">
        <v>15</v>
      </c>
      <c r="H3757" t="s">
        <v>71</v>
      </c>
      <c r="I3757">
        <v>1233.23</v>
      </c>
      <c r="J3757">
        <v>0</v>
      </c>
      <c r="K3757">
        <v>1233.23</v>
      </c>
    </row>
    <row r="3758" spans="1:11" x14ac:dyDescent="0.25">
      <c r="A3758" t="s">
        <v>3798</v>
      </c>
      <c r="B3758" s="1">
        <v>46108.66946759259</v>
      </c>
      <c r="C3758" s="2" t="s">
        <v>22</v>
      </c>
      <c r="D3758" t="s">
        <v>13</v>
      </c>
      <c r="E3758">
        <v>26000</v>
      </c>
      <c r="F3758" t="s">
        <v>14</v>
      </c>
      <c r="G3758" t="s">
        <v>34</v>
      </c>
      <c r="H3758" t="s">
        <v>16</v>
      </c>
      <c r="I3758">
        <v>481</v>
      </c>
      <c r="J3758">
        <v>192.4</v>
      </c>
      <c r="K3758">
        <v>288.60000000000002</v>
      </c>
    </row>
    <row r="3759" spans="1:11" x14ac:dyDescent="0.25">
      <c r="A3759" t="s">
        <v>3799</v>
      </c>
      <c r="B3759" s="1">
        <v>46133.235011574077</v>
      </c>
      <c r="C3759" s="2" t="s">
        <v>12</v>
      </c>
      <c r="D3759" t="s">
        <v>45</v>
      </c>
      <c r="E3759">
        <v>65621</v>
      </c>
      <c r="F3759" t="s">
        <v>14</v>
      </c>
      <c r="G3759" t="s">
        <v>24</v>
      </c>
      <c r="H3759" t="s">
        <v>71</v>
      </c>
      <c r="I3759">
        <v>656.21</v>
      </c>
      <c r="J3759">
        <v>0</v>
      </c>
      <c r="K3759">
        <v>656.21</v>
      </c>
    </row>
    <row r="3760" spans="1:11" x14ac:dyDescent="0.25">
      <c r="A3760" t="s">
        <v>3800</v>
      </c>
      <c r="B3760" s="1">
        <v>45895.428483796299</v>
      </c>
      <c r="C3760" s="2" t="s">
        <v>39</v>
      </c>
      <c r="D3760" t="s">
        <v>19</v>
      </c>
      <c r="E3760">
        <v>80123</v>
      </c>
      <c r="F3760" t="s">
        <v>50</v>
      </c>
      <c r="G3760" t="s">
        <v>15</v>
      </c>
      <c r="H3760" t="s">
        <v>16</v>
      </c>
      <c r="I3760">
        <v>5</v>
      </c>
      <c r="J3760">
        <v>0</v>
      </c>
      <c r="K3760">
        <v>5</v>
      </c>
    </row>
    <row r="3761" spans="1:11" x14ac:dyDescent="0.25">
      <c r="A3761" t="s">
        <v>3801</v>
      </c>
      <c r="B3761" s="1">
        <v>45864.789131944446</v>
      </c>
      <c r="C3761" s="2" t="s">
        <v>12</v>
      </c>
      <c r="D3761" t="s">
        <v>23</v>
      </c>
      <c r="E3761">
        <v>1617</v>
      </c>
      <c r="F3761" t="s">
        <v>14</v>
      </c>
      <c r="G3761" t="s">
        <v>51</v>
      </c>
      <c r="H3761" t="s">
        <v>16</v>
      </c>
      <c r="I3761">
        <v>0</v>
      </c>
      <c r="J3761">
        <v>0</v>
      </c>
      <c r="K3761">
        <v>0</v>
      </c>
    </row>
    <row r="3762" spans="1:11" x14ac:dyDescent="0.25">
      <c r="A3762" t="s">
        <v>3802</v>
      </c>
      <c r="B3762" s="1">
        <v>46108.229328703703</v>
      </c>
      <c r="C3762" s="2" t="s">
        <v>29</v>
      </c>
      <c r="D3762" t="s">
        <v>33</v>
      </c>
      <c r="E3762">
        <v>41545</v>
      </c>
      <c r="F3762" t="s">
        <v>14</v>
      </c>
      <c r="G3762" t="s">
        <v>34</v>
      </c>
      <c r="H3762" t="s">
        <v>16</v>
      </c>
      <c r="I3762">
        <v>0</v>
      </c>
      <c r="J3762">
        <v>0</v>
      </c>
      <c r="K3762">
        <v>0</v>
      </c>
    </row>
    <row r="3763" spans="1:11" x14ac:dyDescent="0.25">
      <c r="A3763" t="s">
        <v>3803</v>
      </c>
      <c r="B3763" s="1">
        <v>45803.661006944443</v>
      </c>
      <c r="C3763" s="2" t="s">
        <v>12</v>
      </c>
      <c r="D3763" t="s">
        <v>19</v>
      </c>
      <c r="E3763">
        <v>74027</v>
      </c>
      <c r="F3763" t="s">
        <v>50</v>
      </c>
      <c r="G3763" t="s">
        <v>20</v>
      </c>
      <c r="H3763" t="s">
        <v>16</v>
      </c>
      <c r="I3763">
        <v>5</v>
      </c>
      <c r="J3763">
        <v>0</v>
      </c>
      <c r="K3763">
        <v>5</v>
      </c>
    </row>
    <row r="3764" spans="1:11" x14ac:dyDescent="0.25">
      <c r="A3764" t="s">
        <v>3804</v>
      </c>
      <c r="B3764" s="1">
        <v>46108.330196759256</v>
      </c>
      <c r="C3764" s="2" t="s">
        <v>32</v>
      </c>
      <c r="D3764" t="s">
        <v>33</v>
      </c>
      <c r="E3764">
        <v>35682</v>
      </c>
      <c r="F3764" t="s">
        <v>14</v>
      </c>
      <c r="G3764" t="s">
        <v>15</v>
      </c>
      <c r="H3764" t="s">
        <v>16</v>
      </c>
      <c r="I3764">
        <v>0</v>
      </c>
      <c r="J3764">
        <v>0</v>
      </c>
      <c r="K3764">
        <v>0</v>
      </c>
    </row>
    <row r="3765" spans="1:11" x14ac:dyDescent="0.25">
      <c r="A3765" t="s">
        <v>3805</v>
      </c>
      <c r="B3765" s="1">
        <v>45865.595578703702</v>
      </c>
      <c r="C3765" s="2" t="s">
        <v>39</v>
      </c>
      <c r="D3765" t="s">
        <v>33</v>
      </c>
      <c r="E3765">
        <v>36347</v>
      </c>
      <c r="F3765" t="s">
        <v>14</v>
      </c>
      <c r="G3765" t="s">
        <v>51</v>
      </c>
      <c r="H3765" t="s">
        <v>16</v>
      </c>
      <c r="I3765">
        <v>0</v>
      </c>
      <c r="J3765">
        <v>0</v>
      </c>
      <c r="K3765">
        <v>0</v>
      </c>
    </row>
    <row r="3766" spans="1:11" x14ac:dyDescent="0.25">
      <c r="A3766" t="s">
        <v>3806</v>
      </c>
      <c r="B3766" s="1">
        <v>45842.457280092596</v>
      </c>
      <c r="C3766" s="2" t="s">
        <v>29</v>
      </c>
      <c r="D3766" t="s">
        <v>19</v>
      </c>
      <c r="E3766">
        <v>64604</v>
      </c>
      <c r="F3766" t="s">
        <v>50</v>
      </c>
      <c r="G3766" t="s">
        <v>51</v>
      </c>
      <c r="H3766" t="s">
        <v>16</v>
      </c>
      <c r="I3766">
        <v>5</v>
      </c>
      <c r="J3766">
        <v>0</v>
      </c>
      <c r="K3766">
        <v>5</v>
      </c>
    </row>
    <row r="3767" spans="1:11" x14ac:dyDescent="0.25">
      <c r="A3767" t="s">
        <v>3807</v>
      </c>
      <c r="B3767" s="1">
        <v>45828.924085648148</v>
      </c>
      <c r="C3767" s="2" t="s">
        <v>32</v>
      </c>
      <c r="D3767" t="s">
        <v>45</v>
      </c>
      <c r="E3767">
        <v>149408</v>
      </c>
      <c r="F3767" t="s">
        <v>14</v>
      </c>
      <c r="G3767" t="s">
        <v>30</v>
      </c>
      <c r="H3767" t="s">
        <v>59</v>
      </c>
      <c r="I3767">
        <v>1494.08</v>
      </c>
      <c r="J3767">
        <v>0</v>
      </c>
      <c r="K3767">
        <v>1494.08</v>
      </c>
    </row>
    <row r="3768" spans="1:11" x14ac:dyDescent="0.25">
      <c r="A3768" t="s">
        <v>3808</v>
      </c>
      <c r="B3768" s="1">
        <v>46136.672164351854</v>
      </c>
      <c r="C3768" s="2" t="s">
        <v>41</v>
      </c>
      <c r="D3768" t="s">
        <v>45</v>
      </c>
      <c r="E3768">
        <v>90649</v>
      </c>
      <c r="F3768" t="s">
        <v>14</v>
      </c>
      <c r="G3768" t="s">
        <v>58</v>
      </c>
      <c r="H3768" t="s">
        <v>71</v>
      </c>
      <c r="I3768">
        <v>906.49</v>
      </c>
      <c r="J3768">
        <v>0</v>
      </c>
      <c r="K3768">
        <v>906.49</v>
      </c>
    </row>
    <row r="3769" spans="1:11" x14ac:dyDescent="0.25">
      <c r="A3769" t="s">
        <v>3809</v>
      </c>
      <c r="B3769" s="1">
        <v>46080.107905092591</v>
      </c>
      <c r="C3769" s="2" t="s">
        <v>12</v>
      </c>
      <c r="D3769" t="s">
        <v>19</v>
      </c>
      <c r="E3769">
        <v>131561</v>
      </c>
      <c r="F3769" t="s">
        <v>99</v>
      </c>
      <c r="G3769" t="s">
        <v>27</v>
      </c>
      <c r="H3769" t="s">
        <v>16</v>
      </c>
      <c r="I3769">
        <v>5</v>
      </c>
      <c r="J3769">
        <v>0</v>
      </c>
      <c r="K3769">
        <v>5</v>
      </c>
    </row>
    <row r="3770" spans="1:11" x14ac:dyDescent="0.25">
      <c r="A3770" t="s">
        <v>3810</v>
      </c>
      <c r="B3770" s="1">
        <v>45897.691284722219</v>
      </c>
      <c r="C3770" s="2" t="s">
        <v>22</v>
      </c>
      <c r="D3770" t="s">
        <v>23</v>
      </c>
      <c r="E3770">
        <v>2149</v>
      </c>
      <c r="F3770" t="s">
        <v>50</v>
      </c>
      <c r="G3770" t="s">
        <v>34</v>
      </c>
      <c r="H3770" t="s">
        <v>16</v>
      </c>
      <c r="I3770">
        <v>0</v>
      </c>
      <c r="J3770">
        <v>0</v>
      </c>
      <c r="K3770">
        <v>0</v>
      </c>
    </row>
    <row r="3771" spans="1:11" x14ac:dyDescent="0.25">
      <c r="A3771" t="s">
        <v>3811</v>
      </c>
      <c r="B3771" s="1">
        <v>46055.83425925926</v>
      </c>
      <c r="C3771" s="2" t="s">
        <v>26</v>
      </c>
      <c r="D3771" t="s">
        <v>33</v>
      </c>
      <c r="E3771">
        <v>74477</v>
      </c>
      <c r="F3771" t="s">
        <v>14</v>
      </c>
      <c r="G3771" t="s">
        <v>58</v>
      </c>
      <c r="H3771" t="s">
        <v>16</v>
      </c>
      <c r="I3771">
        <v>0</v>
      </c>
      <c r="J3771">
        <v>0</v>
      </c>
      <c r="K3771">
        <v>0</v>
      </c>
    </row>
    <row r="3772" spans="1:11" x14ac:dyDescent="0.25">
      <c r="A3772" t="s">
        <v>3812</v>
      </c>
      <c r="B3772" s="1">
        <v>45778.309687499997</v>
      </c>
      <c r="C3772" s="2" t="s">
        <v>41</v>
      </c>
      <c r="D3772" t="s">
        <v>19</v>
      </c>
      <c r="E3772">
        <v>98330</v>
      </c>
      <c r="F3772" t="s">
        <v>14</v>
      </c>
      <c r="G3772" t="s">
        <v>84</v>
      </c>
      <c r="H3772" t="s">
        <v>16</v>
      </c>
      <c r="I3772">
        <v>5</v>
      </c>
      <c r="J3772">
        <v>0</v>
      </c>
      <c r="K3772">
        <v>5</v>
      </c>
    </row>
    <row r="3773" spans="1:11" x14ac:dyDescent="0.25">
      <c r="A3773" t="s">
        <v>3813</v>
      </c>
      <c r="B3773" s="1">
        <v>45937.493298611109</v>
      </c>
      <c r="C3773" s="2" t="s">
        <v>39</v>
      </c>
      <c r="D3773" t="s">
        <v>45</v>
      </c>
      <c r="E3773">
        <v>19310</v>
      </c>
      <c r="F3773" t="s">
        <v>99</v>
      </c>
      <c r="G3773" t="s">
        <v>15</v>
      </c>
      <c r="H3773" t="s">
        <v>46</v>
      </c>
      <c r="I3773">
        <v>193.1</v>
      </c>
      <c r="J3773">
        <v>0</v>
      </c>
      <c r="K3773">
        <v>193.1</v>
      </c>
    </row>
    <row r="3774" spans="1:11" x14ac:dyDescent="0.25">
      <c r="A3774" t="s">
        <v>3814</v>
      </c>
      <c r="B3774" s="1">
        <v>45812.252141203702</v>
      </c>
      <c r="C3774" s="2" t="s">
        <v>22</v>
      </c>
      <c r="D3774" t="s">
        <v>23</v>
      </c>
      <c r="E3774">
        <v>3004</v>
      </c>
      <c r="F3774" t="s">
        <v>50</v>
      </c>
      <c r="G3774" t="s">
        <v>24</v>
      </c>
      <c r="H3774" t="s">
        <v>16</v>
      </c>
      <c r="I3774">
        <v>0</v>
      </c>
      <c r="J3774">
        <v>0</v>
      </c>
      <c r="K3774">
        <v>0</v>
      </c>
    </row>
    <row r="3775" spans="1:11" x14ac:dyDescent="0.25">
      <c r="A3775" t="s">
        <v>3815</v>
      </c>
      <c r="B3775" s="1">
        <v>46051.525439814817</v>
      </c>
      <c r="C3775" s="2" t="s">
        <v>39</v>
      </c>
      <c r="D3775" t="s">
        <v>23</v>
      </c>
      <c r="E3775">
        <v>3896</v>
      </c>
      <c r="F3775" t="s">
        <v>14</v>
      </c>
      <c r="G3775" t="s">
        <v>15</v>
      </c>
      <c r="H3775" t="s">
        <v>16</v>
      </c>
      <c r="I3775">
        <v>0</v>
      </c>
      <c r="J3775">
        <v>0</v>
      </c>
      <c r="K3775">
        <v>0</v>
      </c>
    </row>
    <row r="3776" spans="1:11" x14ac:dyDescent="0.25">
      <c r="A3776" t="s">
        <v>3816</v>
      </c>
      <c r="B3776" s="1">
        <v>45966.687592592592</v>
      </c>
      <c r="C3776" s="2" t="s">
        <v>29</v>
      </c>
      <c r="D3776" t="s">
        <v>19</v>
      </c>
      <c r="E3776">
        <v>14073</v>
      </c>
      <c r="F3776" t="s">
        <v>14</v>
      </c>
      <c r="G3776" t="s">
        <v>20</v>
      </c>
      <c r="H3776" t="s">
        <v>16</v>
      </c>
      <c r="I3776">
        <v>5</v>
      </c>
      <c r="J3776">
        <v>0</v>
      </c>
      <c r="K3776">
        <v>5</v>
      </c>
    </row>
    <row r="3777" spans="1:11" x14ac:dyDescent="0.25">
      <c r="A3777" t="s">
        <v>3817</v>
      </c>
      <c r="B3777" s="1">
        <v>45827.181770833333</v>
      </c>
      <c r="C3777" s="2" t="s">
        <v>39</v>
      </c>
      <c r="D3777" t="s">
        <v>45</v>
      </c>
      <c r="E3777">
        <v>144369</v>
      </c>
      <c r="F3777" t="s">
        <v>14</v>
      </c>
      <c r="G3777" t="s">
        <v>27</v>
      </c>
      <c r="H3777" t="s">
        <v>71</v>
      </c>
      <c r="I3777">
        <v>1443.69</v>
      </c>
      <c r="J3777">
        <v>0</v>
      </c>
      <c r="K3777">
        <v>1443.69</v>
      </c>
    </row>
    <row r="3778" spans="1:11" x14ac:dyDescent="0.25">
      <c r="A3778" t="s">
        <v>3818</v>
      </c>
      <c r="B3778" s="1">
        <v>45965.155729166669</v>
      </c>
      <c r="C3778" s="2" t="s">
        <v>29</v>
      </c>
      <c r="D3778" t="s">
        <v>23</v>
      </c>
      <c r="E3778">
        <v>1302</v>
      </c>
      <c r="F3778" t="s">
        <v>14</v>
      </c>
      <c r="G3778" t="s">
        <v>34</v>
      </c>
      <c r="H3778" t="s">
        <v>16</v>
      </c>
      <c r="I3778">
        <v>0</v>
      </c>
      <c r="J3778">
        <v>0</v>
      </c>
      <c r="K3778">
        <v>0</v>
      </c>
    </row>
    <row r="3779" spans="1:11" x14ac:dyDescent="0.25">
      <c r="A3779" t="s">
        <v>3819</v>
      </c>
      <c r="B3779" s="1">
        <v>45800.904039351852</v>
      </c>
      <c r="C3779" s="2" t="s">
        <v>32</v>
      </c>
      <c r="D3779" t="s">
        <v>33</v>
      </c>
      <c r="E3779">
        <v>39741</v>
      </c>
      <c r="F3779" t="s">
        <v>14</v>
      </c>
      <c r="G3779" t="s">
        <v>30</v>
      </c>
      <c r="H3779" t="s">
        <v>16</v>
      </c>
      <c r="I3779">
        <v>0</v>
      </c>
      <c r="J3779">
        <v>0</v>
      </c>
      <c r="K3779">
        <v>0</v>
      </c>
    </row>
    <row r="3780" spans="1:11" x14ac:dyDescent="0.25">
      <c r="A3780" t="s">
        <v>3820</v>
      </c>
      <c r="B3780" s="1">
        <v>45872.057245370372</v>
      </c>
      <c r="C3780" s="2" t="s">
        <v>41</v>
      </c>
      <c r="D3780" t="s">
        <v>23</v>
      </c>
      <c r="E3780">
        <v>1302</v>
      </c>
      <c r="F3780" t="s">
        <v>14</v>
      </c>
      <c r="G3780" t="s">
        <v>58</v>
      </c>
      <c r="H3780" t="s">
        <v>16</v>
      </c>
      <c r="I3780">
        <v>0</v>
      </c>
      <c r="J3780">
        <v>0</v>
      </c>
      <c r="K3780">
        <v>0</v>
      </c>
    </row>
    <row r="3781" spans="1:11" x14ac:dyDescent="0.25">
      <c r="A3781" t="s">
        <v>3821</v>
      </c>
      <c r="B3781" s="1">
        <v>46066.568749999999</v>
      </c>
      <c r="C3781" s="2" t="s">
        <v>39</v>
      </c>
      <c r="D3781" t="s">
        <v>19</v>
      </c>
      <c r="E3781">
        <v>106106</v>
      </c>
      <c r="F3781" t="s">
        <v>14</v>
      </c>
      <c r="G3781" t="s">
        <v>58</v>
      </c>
      <c r="H3781" t="s">
        <v>16</v>
      </c>
      <c r="I3781">
        <v>5</v>
      </c>
      <c r="J3781">
        <v>0</v>
      </c>
      <c r="K3781">
        <v>5</v>
      </c>
    </row>
    <row r="3782" spans="1:11" x14ac:dyDescent="0.25">
      <c r="A3782" t="s">
        <v>3822</v>
      </c>
      <c r="B3782" s="1">
        <v>45828.377997685187</v>
      </c>
      <c r="C3782" s="2" t="s">
        <v>12</v>
      </c>
      <c r="D3782" t="s">
        <v>23</v>
      </c>
      <c r="E3782">
        <v>1476</v>
      </c>
      <c r="F3782" t="s">
        <v>14</v>
      </c>
      <c r="G3782" t="s">
        <v>34</v>
      </c>
      <c r="H3782" t="s">
        <v>16</v>
      </c>
      <c r="I3782">
        <v>0</v>
      </c>
      <c r="J3782">
        <v>0</v>
      </c>
      <c r="K3782">
        <v>0</v>
      </c>
    </row>
    <row r="3783" spans="1:11" x14ac:dyDescent="0.25">
      <c r="A3783" t="s">
        <v>3823</v>
      </c>
      <c r="B3783" s="1">
        <v>46066.511180555557</v>
      </c>
      <c r="C3783" s="2" t="s">
        <v>26</v>
      </c>
      <c r="D3783" t="s">
        <v>33</v>
      </c>
      <c r="E3783">
        <v>128570</v>
      </c>
      <c r="F3783" t="s">
        <v>14</v>
      </c>
      <c r="G3783" t="s">
        <v>30</v>
      </c>
      <c r="H3783" t="s">
        <v>16</v>
      </c>
      <c r="I3783">
        <v>0</v>
      </c>
      <c r="J3783">
        <v>0</v>
      </c>
      <c r="K3783">
        <v>0</v>
      </c>
    </row>
    <row r="3784" spans="1:11" x14ac:dyDescent="0.25">
      <c r="A3784" t="s">
        <v>3824</v>
      </c>
      <c r="B3784" s="1">
        <v>46126.833854166667</v>
      </c>
      <c r="C3784" s="2" t="s">
        <v>26</v>
      </c>
      <c r="D3784" t="s">
        <v>13</v>
      </c>
      <c r="E3784">
        <v>145000</v>
      </c>
      <c r="F3784" t="s">
        <v>14</v>
      </c>
      <c r="G3784" t="s">
        <v>27</v>
      </c>
      <c r="H3784" t="s">
        <v>16</v>
      </c>
      <c r="I3784">
        <v>2682.5</v>
      </c>
      <c r="J3784">
        <v>1073</v>
      </c>
      <c r="K3784">
        <v>1609.5</v>
      </c>
    </row>
    <row r="3785" spans="1:11" x14ac:dyDescent="0.25">
      <c r="A3785" t="s">
        <v>3825</v>
      </c>
      <c r="B3785" s="1">
        <v>45848.321979166663</v>
      </c>
      <c r="C3785" s="2" t="s">
        <v>32</v>
      </c>
      <c r="D3785" t="s">
        <v>45</v>
      </c>
      <c r="E3785">
        <v>133162</v>
      </c>
      <c r="F3785" t="s">
        <v>14</v>
      </c>
      <c r="G3785" t="s">
        <v>20</v>
      </c>
      <c r="H3785" t="s">
        <v>59</v>
      </c>
      <c r="I3785">
        <v>1331.62</v>
      </c>
      <c r="J3785">
        <v>0</v>
      </c>
      <c r="K3785">
        <v>1331.62</v>
      </c>
    </row>
    <row r="3786" spans="1:11" x14ac:dyDescent="0.25">
      <c r="A3786" t="s">
        <v>3826</v>
      </c>
      <c r="B3786" s="1">
        <v>46133.025636574072</v>
      </c>
      <c r="C3786" s="2" t="s">
        <v>39</v>
      </c>
      <c r="D3786" t="s">
        <v>19</v>
      </c>
      <c r="E3786">
        <v>34054</v>
      </c>
      <c r="F3786" t="s">
        <v>50</v>
      </c>
      <c r="G3786" t="s">
        <v>34</v>
      </c>
      <c r="H3786" t="s">
        <v>16</v>
      </c>
      <c r="I3786">
        <v>5</v>
      </c>
      <c r="J3786">
        <v>0</v>
      </c>
      <c r="K3786">
        <v>5</v>
      </c>
    </row>
    <row r="3787" spans="1:11" x14ac:dyDescent="0.25">
      <c r="A3787" t="s">
        <v>3827</v>
      </c>
      <c r="B3787" s="1">
        <v>45878.813310185185</v>
      </c>
      <c r="C3787" s="2" t="s">
        <v>18</v>
      </c>
      <c r="D3787" t="s">
        <v>33</v>
      </c>
      <c r="E3787">
        <v>140664</v>
      </c>
      <c r="F3787" t="s">
        <v>50</v>
      </c>
      <c r="G3787" t="s">
        <v>58</v>
      </c>
      <c r="H3787" t="s">
        <v>16</v>
      </c>
      <c r="I3787">
        <v>0</v>
      </c>
      <c r="J3787">
        <v>0</v>
      </c>
      <c r="K3787">
        <v>0</v>
      </c>
    </row>
    <row r="3788" spans="1:11" x14ac:dyDescent="0.25">
      <c r="A3788" t="s">
        <v>3828</v>
      </c>
      <c r="B3788" s="1">
        <v>45973.817974537036</v>
      </c>
      <c r="C3788" s="2" t="s">
        <v>18</v>
      </c>
      <c r="D3788" t="s">
        <v>45</v>
      </c>
      <c r="E3788">
        <v>27554</v>
      </c>
      <c r="F3788" t="s">
        <v>14</v>
      </c>
      <c r="G3788" t="s">
        <v>27</v>
      </c>
      <c r="H3788" t="s">
        <v>46</v>
      </c>
      <c r="I3788">
        <v>275.54000000000002</v>
      </c>
      <c r="J3788">
        <v>0</v>
      </c>
      <c r="K3788">
        <v>275.54000000000002</v>
      </c>
    </row>
    <row r="3789" spans="1:11" x14ac:dyDescent="0.25">
      <c r="A3789" t="s">
        <v>3829</v>
      </c>
      <c r="B3789" s="1">
        <v>45787.053379629629</v>
      </c>
      <c r="C3789" s="2" t="s">
        <v>41</v>
      </c>
      <c r="D3789" t="s">
        <v>33</v>
      </c>
      <c r="E3789">
        <v>61841</v>
      </c>
      <c r="F3789" t="s">
        <v>14</v>
      </c>
      <c r="G3789" t="s">
        <v>24</v>
      </c>
      <c r="H3789" t="s">
        <v>16</v>
      </c>
      <c r="I3789">
        <v>0</v>
      </c>
      <c r="J3789">
        <v>0</v>
      </c>
      <c r="K3789">
        <v>0</v>
      </c>
    </row>
    <row r="3790" spans="1:11" x14ac:dyDescent="0.25">
      <c r="A3790" t="s">
        <v>3830</v>
      </c>
      <c r="B3790" s="1">
        <v>46107.230428240742</v>
      </c>
      <c r="C3790" s="2" t="s">
        <v>18</v>
      </c>
      <c r="D3790" t="s">
        <v>33</v>
      </c>
      <c r="E3790">
        <v>94581</v>
      </c>
      <c r="F3790" t="s">
        <v>14</v>
      </c>
      <c r="G3790" t="s">
        <v>27</v>
      </c>
      <c r="H3790" t="s">
        <v>16</v>
      </c>
      <c r="I3790">
        <v>0</v>
      </c>
      <c r="J3790">
        <v>0</v>
      </c>
      <c r="K3790">
        <v>0</v>
      </c>
    </row>
    <row r="3791" spans="1:11" x14ac:dyDescent="0.25">
      <c r="A3791" t="s">
        <v>3831</v>
      </c>
      <c r="B3791" s="1">
        <v>45883.113553240742</v>
      </c>
      <c r="C3791" s="2" t="s">
        <v>22</v>
      </c>
      <c r="D3791" t="s">
        <v>13</v>
      </c>
      <c r="E3791">
        <v>43500</v>
      </c>
      <c r="F3791" t="s">
        <v>99</v>
      </c>
      <c r="G3791" t="s">
        <v>24</v>
      </c>
      <c r="H3791" t="s">
        <v>16</v>
      </c>
      <c r="I3791">
        <v>804.75</v>
      </c>
      <c r="J3791">
        <v>321.89999999999998</v>
      </c>
      <c r="K3791">
        <v>482.85</v>
      </c>
    </row>
    <row r="3792" spans="1:11" x14ac:dyDescent="0.25">
      <c r="A3792" t="s">
        <v>3832</v>
      </c>
      <c r="B3792" s="1">
        <v>45996.655752314815</v>
      </c>
      <c r="C3792" s="2" t="s">
        <v>39</v>
      </c>
      <c r="D3792" t="s">
        <v>13</v>
      </c>
      <c r="E3792">
        <v>167500</v>
      </c>
      <c r="F3792" t="s">
        <v>14</v>
      </c>
      <c r="G3792" t="s">
        <v>24</v>
      </c>
      <c r="H3792" t="s">
        <v>16</v>
      </c>
      <c r="I3792">
        <v>3098.75</v>
      </c>
      <c r="J3792">
        <v>1239.5</v>
      </c>
      <c r="K3792">
        <v>1859.25</v>
      </c>
    </row>
    <row r="3793" spans="1:11" x14ac:dyDescent="0.25">
      <c r="A3793" t="s">
        <v>3833</v>
      </c>
      <c r="B3793" s="1">
        <v>45912.041620370372</v>
      </c>
      <c r="C3793" s="2" t="s">
        <v>41</v>
      </c>
      <c r="D3793" t="s">
        <v>19</v>
      </c>
      <c r="E3793">
        <v>3858</v>
      </c>
      <c r="F3793" t="s">
        <v>14</v>
      </c>
      <c r="G3793" t="s">
        <v>58</v>
      </c>
      <c r="H3793" t="s">
        <v>16</v>
      </c>
      <c r="I3793">
        <v>5</v>
      </c>
      <c r="J3793">
        <v>0</v>
      </c>
      <c r="K3793">
        <v>5</v>
      </c>
    </row>
    <row r="3794" spans="1:11" x14ac:dyDescent="0.25">
      <c r="A3794" t="s">
        <v>3834</v>
      </c>
      <c r="B3794" s="1">
        <v>45816.577175925922</v>
      </c>
      <c r="C3794" s="2" t="s">
        <v>41</v>
      </c>
      <c r="D3794" t="s">
        <v>23</v>
      </c>
      <c r="E3794">
        <v>1388</v>
      </c>
      <c r="F3794" t="s">
        <v>14</v>
      </c>
      <c r="G3794" t="s">
        <v>58</v>
      </c>
      <c r="H3794" t="s">
        <v>16</v>
      </c>
      <c r="I3794">
        <v>0</v>
      </c>
      <c r="J3794">
        <v>0</v>
      </c>
      <c r="K3794">
        <v>0</v>
      </c>
    </row>
    <row r="3795" spans="1:11" x14ac:dyDescent="0.25">
      <c r="A3795" t="s">
        <v>3835</v>
      </c>
      <c r="B3795" s="1">
        <v>45798.688310185185</v>
      </c>
      <c r="C3795" s="2" t="s">
        <v>32</v>
      </c>
      <c r="D3795" t="s">
        <v>45</v>
      </c>
      <c r="E3795">
        <v>104946</v>
      </c>
      <c r="F3795" t="s">
        <v>14</v>
      </c>
      <c r="G3795" t="s">
        <v>30</v>
      </c>
      <c r="H3795" t="s">
        <v>178</v>
      </c>
      <c r="I3795">
        <v>1049.46</v>
      </c>
      <c r="J3795">
        <v>0</v>
      </c>
      <c r="K3795">
        <v>1049.46</v>
      </c>
    </row>
    <row r="3796" spans="1:11" x14ac:dyDescent="0.25">
      <c r="A3796" t="s">
        <v>3836</v>
      </c>
      <c r="B3796" s="1">
        <v>46017.607499999998</v>
      </c>
      <c r="C3796" s="2" t="s">
        <v>22</v>
      </c>
      <c r="D3796" t="s">
        <v>19</v>
      </c>
      <c r="E3796">
        <v>22446</v>
      </c>
      <c r="F3796" t="s">
        <v>50</v>
      </c>
      <c r="G3796" t="s">
        <v>15</v>
      </c>
      <c r="H3796" t="s">
        <v>16</v>
      </c>
      <c r="I3796">
        <v>5</v>
      </c>
      <c r="J3796">
        <v>0</v>
      </c>
      <c r="K3796">
        <v>5</v>
      </c>
    </row>
    <row r="3797" spans="1:11" x14ac:dyDescent="0.25">
      <c r="A3797" t="s">
        <v>3837</v>
      </c>
      <c r="B3797" s="1">
        <v>46097.143634259257</v>
      </c>
      <c r="C3797" s="2" t="s">
        <v>32</v>
      </c>
      <c r="D3797" t="s">
        <v>19</v>
      </c>
      <c r="E3797">
        <v>112657</v>
      </c>
      <c r="F3797" t="s">
        <v>14</v>
      </c>
      <c r="G3797" t="s">
        <v>34</v>
      </c>
      <c r="H3797" t="s">
        <v>16</v>
      </c>
      <c r="I3797">
        <v>5</v>
      </c>
      <c r="J3797">
        <v>0</v>
      </c>
      <c r="K3797">
        <v>5</v>
      </c>
    </row>
    <row r="3798" spans="1:11" x14ac:dyDescent="0.25">
      <c r="A3798" t="s">
        <v>3838</v>
      </c>
      <c r="B3798" s="1">
        <v>46073.896724537037</v>
      </c>
      <c r="C3798" s="2" t="s">
        <v>12</v>
      </c>
      <c r="D3798" t="s">
        <v>13</v>
      </c>
      <c r="E3798">
        <v>57500</v>
      </c>
      <c r="F3798" t="s">
        <v>14</v>
      </c>
      <c r="G3798" t="s">
        <v>24</v>
      </c>
      <c r="H3798" t="s">
        <v>16</v>
      </c>
      <c r="I3798">
        <v>1063.75</v>
      </c>
      <c r="J3798">
        <v>425.5</v>
      </c>
      <c r="K3798">
        <v>638.25</v>
      </c>
    </row>
    <row r="3799" spans="1:11" x14ac:dyDescent="0.25">
      <c r="A3799" t="s">
        <v>3839</v>
      </c>
      <c r="B3799" s="1">
        <v>45995.930104166669</v>
      </c>
      <c r="C3799" s="2" t="s">
        <v>29</v>
      </c>
      <c r="D3799" t="s">
        <v>19</v>
      </c>
      <c r="E3799">
        <v>115062</v>
      </c>
      <c r="F3799" t="s">
        <v>14</v>
      </c>
      <c r="G3799" t="s">
        <v>15</v>
      </c>
      <c r="H3799" t="s">
        <v>16</v>
      </c>
      <c r="I3799">
        <v>5</v>
      </c>
      <c r="J3799">
        <v>0</v>
      </c>
      <c r="K3799">
        <v>5</v>
      </c>
    </row>
    <row r="3800" spans="1:11" x14ac:dyDescent="0.25">
      <c r="A3800" t="s">
        <v>3840</v>
      </c>
      <c r="B3800" s="1">
        <v>45851.713888888888</v>
      </c>
      <c r="C3800" s="2" t="s">
        <v>32</v>
      </c>
      <c r="D3800" t="s">
        <v>33</v>
      </c>
      <c r="E3800">
        <v>37367</v>
      </c>
      <c r="F3800" t="s">
        <v>14</v>
      </c>
      <c r="G3800" t="s">
        <v>27</v>
      </c>
      <c r="H3800" t="s">
        <v>16</v>
      </c>
      <c r="I3800">
        <v>0</v>
      </c>
      <c r="J3800">
        <v>0</v>
      </c>
      <c r="K3800">
        <v>0</v>
      </c>
    </row>
    <row r="3801" spans="1:11" x14ac:dyDescent="0.25">
      <c r="A3801" t="s">
        <v>3841</v>
      </c>
      <c r="B3801" s="1">
        <v>45912.453576388885</v>
      </c>
      <c r="C3801" s="2" t="s">
        <v>22</v>
      </c>
      <c r="D3801" t="s">
        <v>33</v>
      </c>
      <c r="E3801">
        <v>22630</v>
      </c>
      <c r="F3801" t="s">
        <v>14</v>
      </c>
      <c r="G3801" t="s">
        <v>20</v>
      </c>
      <c r="H3801" t="s">
        <v>16</v>
      </c>
      <c r="I3801">
        <v>0</v>
      </c>
      <c r="J3801">
        <v>0</v>
      </c>
      <c r="K3801">
        <v>0</v>
      </c>
    </row>
    <row r="3802" spans="1:11" x14ac:dyDescent="0.25">
      <c r="A3802" t="s">
        <v>3842</v>
      </c>
      <c r="B3802" s="1">
        <v>45972.640972222223</v>
      </c>
      <c r="C3802" s="2" t="s">
        <v>39</v>
      </c>
      <c r="D3802" t="s">
        <v>33</v>
      </c>
      <c r="E3802">
        <v>132732</v>
      </c>
      <c r="F3802" t="s">
        <v>14</v>
      </c>
      <c r="G3802" t="s">
        <v>30</v>
      </c>
      <c r="H3802" t="s">
        <v>16</v>
      </c>
      <c r="I3802">
        <v>0</v>
      </c>
      <c r="J3802">
        <v>0</v>
      </c>
      <c r="K3802">
        <v>0</v>
      </c>
    </row>
    <row r="3803" spans="1:11" x14ac:dyDescent="0.25">
      <c r="A3803" t="s">
        <v>3843</v>
      </c>
      <c r="B3803" s="1">
        <v>46131.203611111108</v>
      </c>
      <c r="C3803" s="2" t="s">
        <v>32</v>
      </c>
      <c r="D3803" t="s">
        <v>13</v>
      </c>
      <c r="E3803">
        <v>15000</v>
      </c>
      <c r="F3803" t="s">
        <v>14</v>
      </c>
      <c r="G3803" t="s">
        <v>34</v>
      </c>
      <c r="H3803" t="s">
        <v>16</v>
      </c>
      <c r="I3803">
        <v>277.5</v>
      </c>
      <c r="J3803">
        <v>111</v>
      </c>
      <c r="K3803">
        <v>166.5</v>
      </c>
    </row>
    <row r="3804" spans="1:11" x14ac:dyDescent="0.25">
      <c r="A3804" t="s">
        <v>3844</v>
      </c>
      <c r="B3804" s="1">
        <v>45856.157650462963</v>
      </c>
      <c r="C3804" s="2" t="s">
        <v>22</v>
      </c>
      <c r="D3804" t="s">
        <v>13</v>
      </c>
      <c r="E3804">
        <v>57500</v>
      </c>
      <c r="F3804" t="s">
        <v>14</v>
      </c>
      <c r="G3804" t="s">
        <v>30</v>
      </c>
      <c r="H3804" t="s">
        <v>16</v>
      </c>
      <c r="I3804">
        <v>1063.75</v>
      </c>
      <c r="J3804">
        <v>425.5</v>
      </c>
      <c r="K3804">
        <v>638.25</v>
      </c>
    </row>
    <row r="3805" spans="1:11" x14ac:dyDescent="0.25">
      <c r="A3805" t="s">
        <v>3845</v>
      </c>
      <c r="B3805" s="1">
        <v>45938.211643518516</v>
      </c>
      <c r="C3805" s="2" t="s">
        <v>32</v>
      </c>
      <c r="D3805" t="s">
        <v>19</v>
      </c>
      <c r="E3805">
        <v>94587</v>
      </c>
      <c r="F3805" t="s">
        <v>14</v>
      </c>
      <c r="G3805" t="s">
        <v>34</v>
      </c>
      <c r="H3805" t="s">
        <v>16</v>
      </c>
      <c r="I3805">
        <v>5</v>
      </c>
      <c r="J3805">
        <v>0</v>
      </c>
      <c r="K3805">
        <v>5</v>
      </c>
    </row>
    <row r="3806" spans="1:11" x14ac:dyDescent="0.25">
      <c r="A3806" t="s">
        <v>3846</v>
      </c>
      <c r="B3806" s="1">
        <v>45889.474398148152</v>
      </c>
      <c r="C3806" s="2" t="s">
        <v>22</v>
      </c>
      <c r="D3806" t="s">
        <v>33</v>
      </c>
      <c r="E3806">
        <v>23471</v>
      </c>
      <c r="F3806" t="s">
        <v>99</v>
      </c>
      <c r="G3806" t="s">
        <v>30</v>
      </c>
      <c r="H3806" t="s">
        <v>16</v>
      </c>
      <c r="I3806">
        <v>0</v>
      </c>
      <c r="J3806">
        <v>0</v>
      </c>
      <c r="K3806">
        <v>0</v>
      </c>
    </row>
    <row r="3807" spans="1:11" x14ac:dyDescent="0.25">
      <c r="A3807" t="s">
        <v>3847</v>
      </c>
      <c r="B3807" s="1">
        <v>45799.057581018518</v>
      </c>
      <c r="C3807" s="2" t="s">
        <v>41</v>
      </c>
      <c r="D3807" t="s">
        <v>23</v>
      </c>
      <c r="E3807">
        <v>4598</v>
      </c>
      <c r="F3807" t="s">
        <v>14</v>
      </c>
      <c r="G3807" t="s">
        <v>51</v>
      </c>
      <c r="H3807" t="s">
        <v>16</v>
      </c>
      <c r="I3807">
        <v>0</v>
      </c>
      <c r="J3807">
        <v>0</v>
      </c>
      <c r="K3807">
        <v>0</v>
      </c>
    </row>
    <row r="3808" spans="1:11" x14ac:dyDescent="0.25">
      <c r="A3808" t="s">
        <v>3848</v>
      </c>
      <c r="B3808" s="1">
        <v>46136.896886574075</v>
      </c>
      <c r="C3808" s="2" t="s">
        <v>22</v>
      </c>
      <c r="D3808" t="s">
        <v>33</v>
      </c>
      <c r="E3808">
        <v>49756</v>
      </c>
      <c r="F3808" t="s">
        <v>14</v>
      </c>
      <c r="G3808" t="s">
        <v>34</v>
      </c>
      <c r="H3808" t="s">
        <v>16</v>
      </c>
      <c r="I3808">
        <v>0</v>
      </c>
      <c r="J3808">
        <v>0</v>
      </c>
      <c r="K3808">
        <v>0</v>
      </c>
    </row>
    <row r="3809" spans="1:11" x14ac:dyDescent="0.25">
      <c r="A3809" t="s">
        <v>3849</v>
      </c>
      <c r="B3809" s="1">
        <v>46031.262361111112</v>
      </c>
      <c r="C3809" s="2" t="s">
        <v>26</v>
      </c>
      <c r="D3809" t="s">
        <v>19</v>
      </c>
      <c r="E3809">
        <v>85717</v>
      </c>
      <c r="F3809" t="s">
        <v>14</v>
      </c>
      <c r="G3809" t="s">
        <v>51</v>
      </c>
      <c r="H3809" t="s">
        <v>16</v>
      </c>
      <c r="I3809">
        <v>5</v>
      </c>
      <c r="J3809">
        <v>0</v>
      </c>
      <c r="K3809">
        <v>5</v>
      </c>
    </row>
    <row r="3810" spans="1:11" x14ac:dyDescent="0.25">
      <c r="A3810" t="s">
        <v>3850</v>
      </c>
      <c r="B3810" s="1">
        <v>46134.819895833331</v>
      </c>
      <c r="C3810" s="2" t="s">
        <v>26</v>
      </c>
      <c r="D3810" t="s">
        <v>45</v>
      </c>
      <c r="E3810">
        <v>90856</v>
      </c>
      <c r="F3810" t="s">
        <v>14</v>
      </c>
      <c r="G3810" t="s">
        <v>34</v>
      </c>
      <c r="H3810" t="s">
        <v>56</v>
      </c>
      <c r="I3810">
        <v>908.56</v>
      </c>
      <c r="J3810">
        <v>0</v>
      </c>
      <c r="K3810">
        <v>908.56</v>
      </c>
    </row>
    <row r="3811" spans="1:11" x14ac:dyDescent="0.25">
      <c r="A3811" t="s">
        <v>3851</v>
      </c>
      <c r="B3811" s="1">
        <v>45903.704097222224</v>
      </c>
      <c r="C3811" s="2" t="s">
        <v>12</v>
      </c>
      <c r="D3811" t="s">
        <v>23</v>
      </c>
      <c r="E3811">
        <v>4473</v>
      </c>
      <c r="F3811" t="s">
        <v>14</v>
      </c>
      <c r="G3811" t="s">
        <v>30</v>
      </c>
      <c r="H3811" t="s">
        <v>16</v>
      </c>
      <c r="I3811">
        <v>0</v>
      </c>
      <c r="J3811">
        <v>0</v>
      </c>
      <c r="K3811">
        <v>0</v>
      </c>
    </row>
    <row r="3812" spans="1:11" x14ac:dyDescent="0.25">
      <c r="A3812" t="s">
        <v>3852</v>
      </c>
      <c r="B3812" s="1">
        <v>46040.229432870372</v>
      </c>
      <c r="C3812" s="2" t="s">
        <v>22</v>
      </c>
      <c r="D3812" t="s">
        <v>19</v>
      </c>
      <c r="E3812">
        <v>141138</v>
      </c>
      <c r="F3812" t="s">
        <v>14</v>
      </c>
      <c r="G3812" t="s">
        <v>24</v>
      </c>
      <c r="H3812" t="s">
        <v>16</v>
      </c>
      <c r="I3812">
        <v>5</v>
      </c>
      <c r="J3812">
        <v>0</v>
      </c>
      <c r="K3812">
        <v>5</v>
      </c>
    </row>
    <row r="3813" spans="1:11" x14ac:dyDescent="0.25">
      <c r="A3813" t="s">
        <v>3853</v>
      </c>
      <c r="B3813" s="1">
        <v>45791.117812500001</v>
      </c>
      <c r="C3813" s="2" t="s">
        <v>32</v>
      </c>
      <c r="D3813" t="s">
        <v>33</v>
      </c>
      <c r="E3813">
        <v>6779</v>
      </c>
      <c r="F3813" t="s">
        <v>14</v>
      </c>
      <c r="G3813" t="s">
        <v>34</v>
      </c>
      <c r="H3813" t="s">
        <v>16</v>
      </c>
      <c r="I3813">
        <v>0</v>
      </c>
      <c r="J3813">
        <v>0</v>
      </c>
      <c r="K3813">
        <v>0</v>
      </c>
    </row>
    <row r="3814" spans="1:11" x14ac:dyDescent="0.25">
      <c r="A3814" t="s">
        <v>3854</v>
      </c>
      <c r="B3814" s="1">
        <v>45850.165648148148</v>
      </c>
      <c r="C3814" s="2" t="s">
        <v>26</v>
      </c>
      <c r="D3814" t="s">
        <v>13</v>
      </c>
      <c r="E3814">
        <v>123500</v>
      </c>
      <c r="F3814" t="s">
        <v>14</v>
      </c>
      <c r="G3814" t="s">
        <v>58</v>
      </c>
      <c r="H3814" t="s">
        <v>16</v>
      </c>
      <c r="I3814">
        <v>2284.75</v>
      </c>
      <c r="J3814">
        <v>913.9</v>
      </c>
      <c r="K3814">
        <v>1370.85</v>
      </c>
    </row>
    <row r="3815" spans="1:11" x14ac:dyDescent="0.25">
      <c r="A3815" t="s">
        <v>3855</v>
      </c>
      <c r="B3815" s="1">
        <v>45848.524097222224</v>
      </c>
      <c r="C3815" s="2" t="s">
        <v>41</v>
      </c>
      <c r="D3815" t="s">
        <v>19</v>
      </c>
      <c r="E3815">
        <v>44978</v>
      </c>
      <c r="F3815" t="s">
        <v>14</v>
      </c>
      <c r="G3815" t="s">
        <v>58</v>
      </c>
      <c r="H3815" t="s">
        <v>16</v>
      </c>
      <c r="I3815">
        <v>5</v>
      </c>
      <c r="J3815">
        <v>0</v>
      </c>
      <c r="K3815">
        <v>5</v>
      </c>
    </row>
    <row r="3816" spans="1:11" x14ac:dyDescent="0.25">
      <c r="A3816" t="s">
        <v>3856</v>
      </c>
      <c r="B3816" s="1">
        <v>46140.249791666669</v>
      </c>
      <c r="C3816" s="2" t="s">
        <v>18</v>
      </c>
      <c r="D3816" t="s">
        <v>13</v>
      </c>
      <c r="E3816">
        <v>35000</v>
      </c>
      <c r="F3816" t="s">
        <v>14</v>
      </c>
      <c r="G3816" t="s">
        <v>34</v>
      </c>
      <c r="H3816" t="s">
        <v>16</v>
      </c>
      <c r="I3816">
        <v>647.5</v>
      </c>
      <c r="J3816">
        <v>259</v>
      </c>
      <c r="K3816">
        <v>388.5</v>
      </c>
    </row>
    <row r="3817" spans="1:11" x14ac:dyDescent="0.25">
      <c r="A3817" t="s">
        <v>3857</v>
      </c>
      <c r="B3817" s="1">
        <v>46115.068437499998</v>
      </c>
      <c r="C3817" s="2" t="s">
        <v>18</v>
      </c>
      <c r="D3817" t="s">
        <v>19</v>
      </c>
      <c r="E3817">
        <v>33885</v>
      </c>
      <c r="F3817" t="s">
        <v>14</v>
      </c>
      <c r="G3817" t="s">
        <v>58</v>
      </c>
      <c r="H3817" t="s">
        <v>16</v>
      </c>
      <c r="I3817">
        <v>5</v>
      </c>
      <c r="J3817">
        <v>0</v>
      </c>
      <c r="K3817">
        <v>5</v>
      </c>
    </row>
    <row r="3818" spans="1:11" x14ac:dyDescent="0.25">
      <c r="A3818" t="s">
        <v>3858</v>
      </c>
      <c r="B3818" s="1">
        <v>46097.475393518522</v>
      </c>
      <c r="C3818" s="2" t="s">
        <v>22</v>
      </c>
      <c r="D3818" t="s">
        <v>13</v>
      </c>
      <c r="E3818">
        <v>90000</v>
      </c>
      <c r="F3818" t="s">
        <v>50</v>
      </c>
      <c r="G3818" t="s">
        <v>24</v>
      </c>
      <c r="H3818" t="s">
        <v>16</v>
      </c>
      <c r="I3818">
        <v>1665</v>
      </c>
      <c r="J3818">
        <v>666</v>
      </c>
      <c r="K3818">
        <v>999</v>
      </c>
    </row>
    <row r="3819" spans="1:11" x14ac:dyDescent="0.25">
      <c r="A3819" t="s">
        <v>3859</v>
      </c>
      <c r="B3819" s="1">
        <v>45943.633194444446</v>
      </c>
      <c r="C3819" s="2" t="s">
        <v>32</v>
      </c>
      <c r="D3819" t="s">
        <v>19</v>
      </c>
      <c r="E3819">
        <v>59633</v>
      </c>
      <c r="F3819" t="s">
        <v>14</v>
      </c>
      <c r="G3819" t="s">
        <v>51</v>
      </c>
      <c r="H3819" t="s">
        <v>16</v>
      </c>
      <c r="I3819">
        <v>5</v>
      </c>
      <c r="J3819">
        <v>0</v>
      </c>
      <c r="K3819">
        <v>5</v>
      </c>
    </row>
    <row r="3820" spans="1:11" x14ac:dyDescent="0.25">
      <c r="A3820" t="s">
        <v>3860</v>
      </c>
      <c r="B3820" s="1">
        <v>46117.407094907408</v>
      </c>
      <c r="C3820" s="2" t="s">
        <v>32</v>
      </c>
      <c r="D3820" t="s">
        <v>19</v>
      </c>
      <c r="E3820">
        <v>130678</v>
      </c>
      <c r="F3820" t="s">
        <v>50</v>
      </c>
      <c r="G3820" t="s">
        <v>30</v>
      </c>
      <c r="H3820" t="s">
        <v>16</v>
      </c>
      <c r="I3820">
        <v>5</v>
      </c>
      <c r="J3820">
        <v>0</v>
      </c>
      <c r="K3820">
        <v>5</v>
      </c>
    </row>
    <row r="3821" spans="1:11" x14ac:dyDescent="0.25">
      <c r="A3821" t="s">
        <v>3861</v>
      </c>
      <c r="B3821" s="1">
        <v>45902.69972222222</v>
      </c>
      <c r="C3821" s="2" t="s">
        <v>12</v>
      </c>
      <c r="D3821" t="s">
        <v>19</v>
      </c>
      <c r="E3821">
        <v>21400</v>
      </c>
      <c r="F3821" t="s">
        <v>14</v>
      </c>
      <c r="G3821" t="s">
        <v>58</v>
      </c>
      <c r="H3821" t="s">
        <v>16</v>
      </c>
      <c r="I3821">
        <v>5</v>
      </c>
      <c r="J3821">
        <v>0</v>
      </c>
      <c r="K3821">
        <v>5</v>
      </c>
    </row>
    <row r="3822" spans="1:11" x14ac:dyDescent="0.25">
      <c r="A3822" t="s">
        <v>3862</v>
      </c>
      <c r="B3822" s="1">
        <v>45922.847685185188</v>
      </c>
      <c r="C3822" s="2" t="s">
        <v>29</v>
      </c>
      <c r="D3822" t="s">
        <v>45</v>
      </c>
      <c r="E3822">
        <v>110515</v>
      </c>
      <c r="F3822" t="s">
        <v>14</v>
      </c>
      <c r="G3822" t="s">
        <v>24</v>
      </c>
      <c r="H3822" t="s">
        <v>71</v>
      </c>
      <c r="I3822">
        <v>1105.1500000000001</v>
      </c>
      <c r="J3822">
        <v>0</v>
      </c>
      <c r="K3822">
        <v>1105.1500000000001</v>
      </c>
    </row>
    <row r="3823" spans="1:11" x14ac:dyDescent="0.25">
      <c r="A3823" t="s">
        <v>3863</v>
      </c>
      <c r="B3823" s="1">
        <v>46075.738506944443</v>
      </c>
      <c r="C3823" s="2" t="s">
        <v>22</v>
      </c>
      <c r="D3823" t="s">
        <v>33</v>
      </c>
      <c r="E3823">
        <v>83651</v>
      </c>
      <c r="F3823" t="s">
        <v>99</v>
      </c>
      <c r="G3823" t="s">
        <v>15</v>
      </c>
      <c r="H3823" t="s">
        <v>16</v>
      </c>
      <c r="I3823">
        <v>0</v>
      </c>
      <c r="J3823">
        <v>0</v>
      </c>
      <c r="K3823">
        <v>0</v>
      </c>
    </row>
    <row r="3824" spans="1:11" x14ac:dyDescent="0.25">
      <c r="A3824" t="s">
        <v>3864</v>
      </c>
      <c r="B3824" s="1">
        <v>45925.509386574071</v>
      </c>
      <c r="C3824" s="2" t="s">
        <v>29</v>
      </c>
      <c r="D3824" t="s">
        <v>19</v>
      </c>
      <c r="E3824">
        <v>49988</v>
      </c>
      <c r="F3824" t="s">
        <v>14</v>
      </c>
      <c r="G3824" t="s">
        <v>24</v>
      </c>
      <c r="H3824" t="s">
        <v>16</v>
      </c>
      <c r="I3824">
        <v>5</v>
      </c>
      <c r="J3824">
        <v>0</v>
      </c>
      <c r="K3824">
        <v>5</v>
      </c>
    </row>
    <row r="3825" spans="1:11" x14ac:dyDescent="0.25">
      <c r="A3825" t="s">
        <v>3865</v>
      </c>
      <c r="B3825" s="1">
        <v>46015.784537037034</v>
      </c>
      <c r="C3825" s="2" t="s">
        <v>32</v>
      </c>
      <c r="D3825" t="s">
        <v>23</v>
      </c>
      <c r="E3825">
        <v>3132</v>
      </c>
      <c r="F3825" t="s">
        <v>14</v>
      </c>
      <c r="G3825" t="s">
        <v>15</v>
      </c>
      <c r="H3825" t="s">
        <v>16</v>
      </c>
      <c r="I3825">
        <v>0</v>
      </c>
      <c r="J3825">
        <v>0</v>
      </c>
      <c r="K3825">
        <v>0</v>
      </c>
    </row>
    <row r="3826" spans="1:11" x14ac:dyDescent="0.25">
      <c r="A3826" t="s">
        <v>3866</v>
      </c>
      <c r="B3826" s="1">
        <v>46052.347245370373</v>
      </c>
      <c r="C3826" s="2" t="s">
        <v>39</v>
      </c>
      <c r="D3826" t="s">
        <v>19</v>
      </c>
      <c r="E3826">
        <v>149199</v>
      </c>
      <c r="F3826" t="s">
        <v>14</v>
      </c>
      <c r="G3826" t="s">
        <v>20</v>
      </c>
      <c r="H3826" t="s">
        <v>16</v>
      </c>
      <c r="I3826">
        <v>5</v>
      </c>
      <c r="J3826">
        <v>0</v>
      </c>
      <c r="K3826">
        <v>5</v>
      </c>
    </row>
    <row r="3827" spans="1:11" x14ac:dyDescent="0.25">
      <c r="A3827" t="s">
        <v>3867</v>
      </c>
      <c r="B3827" s="1">
        <v>46087.478784722225</v>
      </c>
      <c r="C3827" s="2" t="s">
        <v>18</v>
      </c>
      <c r="D3827" t="s">
        <v>13</v>
      </c>
      <c r="E3827">
        <v>141000</v>
      </c>
      <c r="F3827" t="s">
        <v>14</v>
      </c>
      <c r="G3827" t="s">
        <v>20</v>
      </c>
      <c r="H3827" t="s">
        <v>16</v>
      </c>
      <c r="I3827">
        <v>2608.5</v>
      </c>
      <c r="J3827">
        <v>1043.4000000000001</v>
      </c>
      <c r="K3827">
        <v>1565.1</v>
      </c>
    </row>
    <row r="3828" spans="1:11" x14ac:dyDescent="0.25">
      <c r="A3828" t="s">
        <v>3868</v>
      </c>
      <c r="B3828" s="1">
        <v>46013.96402777778</v>
      </c>
      <c r="C3828" s="2" t="s">
        <v>39</v>
      </c>
      <c r="D3828" t="s">
        <v>13</v>
      </c>
      <c r="E3828">
        <v>119000</v>
      </c>
      <c r="F3828" t="s">
        <v>14</v>
      </c>
      <c r="G3828" t="s">
        <v>34</v>
      </c>
      <c r="H3828" t="s">
        <v>16</v>
      </c>
      <c r="I3828">
        <v>2201.5</v>
      </c>
      <c r="J3828">
        <v>880.6</v>
      </c>
      <c r="K3828">
        <v>1320.9</v>
      </c>
    </row>
    <row r="3829" spans="1:11" x14ac:dyDescent="0.25">
      <c r="A3829" t="s">
        <v>3869</v>
      </c>
      <c r="B3829" s="1">
        <v>45899.296678240738</v>
      </c>
      <c r="C3829" s="2" t="s">
        <v>26</v>
      </c>
      <c r="D3829" t="s">
        <v>23</v>
      </c>
      <c r="E3829">
        <v>2384</v>
      </c>
      <c r="F3829" t="s">
        <v>14</v>
      </c>
      <c r="G3829" t="s">
        <v>27</v>
      </c>
      <c r="H3829" t="s">
        <v>16</v>
      </c>
      <c r="I3829">
        <v>0</v>
      </c>
      <c r="J3829">
        <v>0</v>
      </c>
      <c r="K3829">
        <v>0</v>
      </c>
    </row>
    <row r="3830" spans="1:11" x14ac:dyDescent="0.25">
      <c r="A3830" t="s">
        <v>3870</v>
      </c>
      <c r="B3830" s="1">
        <v>45885.114050925928</v>
      </c>
      <c r="C3830" s="2" t="s">
        <v>41</v>
      </c>
      <c r="D3830" t="s">
        <v>13</v>
      </c>
      <c r="E3830">
        <v>185000</v>
      </c>
      <c r="F3830" t="s">
        <v>14</v>
      </c>
      <c r="G3830" t="s">
        <v>24</v>
      </c>
      <c r="H3830" t="s">
        <v>16</v>
      </c>
      <c r="I3830">
        <v>3422.5</v>
      </c>
      <c r="J3830">
        <v>1369</v>
      </c>
      <c r="K3830">
        <v>2053.5</v>
      </c>
    </row>
    <row r="3831" spans="1:11" x14ac:dyDescent="0.25">
      <c r="A3831" t="s">
        <v>3871</v>
      </c>
      <c r="B3831" s="1">
        <v>45885.631574074076</v>
      </c>
      <c r="C3831" s="2" t="s">
        <v>32</v>
      </c>
      <c r="D3831" t="s">
        <v>19</v>
      </c>
      <c r="E3831">
        <v>82057</v>
      </c>
      <c r="F3831" t="s">
        <v>50</v>
      </c>
      <c r="G3831" t="s">
        <v>15</v>
      </c>
      <c r="H3831" t="s">
        <v>16</v>
      </c>
      <c r="I3831">
        <v>5</v>
      </c>
      <c r="J3831">
        <v>0</v>
      </c>
      <c r="K3831">
        <v>5</v>
      </c>
    </row>
    <row r="3832" spans="1:11" x14ac:dyDescent="0.25">
      <c r="A3832" t="s">
        <v>3872</v>
      </c>
      <c r="B3832" s="1">
        <v>45822.230520833335</v>
      </c>
      <c r="C3832" s="2" t="s">
        <v>12</v>
      </c>
      <c r="D3832" t="s">
        <v>19</v>
      </c>
      <c r="E3832">
        <v>15258</v>
      </c>
      <c r="F3832" t="s">
        <v>50</v>
      </c>
      <c r="G3832" t="s">
        <v>20</v>
      </c>
      <c r="H3832" t="s">
        <v>16</v>
      </c>
      <c r="I3832">
        <v>5</v>
      </c>
      <c r="J3832">
        <v>0</v>
      </c>
      <c r="K3832">
        <v>5</v>
      </c>
    </row>
    <row r="3833" spans="1:11" x14ac:dyDescent="0.25">
      <c r="A3833" t="s">
        <v>3873</v>
      </c>
      <c r="B3833" s="1">
        <v>45977.234039351853</v>
      </c>
      <c r="C3833" s="2" t="s">
        <v>12</v>
      </c>
      <c r="D3833" t="s">
        <v>45</v>
      </c>
      <c r="E3833">
        <v>148375</v>
      </c>
      <c r="F3833" t="s">
        <v>14</v>
      </c>
      <c r="G3833" t="s">
        <v>34</v>
      </c>
      <c r="H3833" t="s">
        <v>59</v>
      </c>
      <c r="I3833">
        <v>1483.75</v>
      </c>
      <c r="J3833">
        <v>0</v>
      </c>
      <c r="K3833">
        <v>1483.75</v>
      </c>
    </row>
    <row r="3834" spans="1:11" x14ac:dyDescent="0.25">
      <c r="A3834" t="s">
        <v>3874</v>
      </c>
      <c r="B3834" s="1">
        <v>46134.172291666669</v>
      </c>
      <c r="C3834" s="2" t="s">
        <v>12</v>
      </c>
      <c r="D3834" t="s">
        <v>13</v>
      </c>
      <c r="E3834">
        <v>158500</v>
      </c>
      <c r="F3834" t="s">
        <v>14</v>
      </c>
      <c r="G3834" t="s">
        <v>84</v>
      </c>
      <c r="H3834" t="s">
        <v>16</v>
      </c>
      <c r="I3834">
        <v>2932.25</v>
      </c>
      <c r="J3834">
        <v>1172.9000000000001</v>
      </c>
      <c r="K3834">
        <v>1759.35</v>
      </c>
    </row>
    <row r="3835" spans="1:11" x14ac:dyDescent="0.25">
      <c r="A3835" t="s">
        <v>3875</v>
      </c>
      <c r="B3835" s="1">
        <v>45913.836446759262</v>
      </c>
      <c r="C3835" s="2" t="s">
        <v>32</v>
      </c>
      <c r="D3835" t="s">
        <v>33</v>
      </c>
      <c r="E3835">
        <v>139998</v>
      </c>
      <c r="F3835" t="s">
        <v>14</v>
      </c>
      <c r="G3835" t="s">
        <v>20</v>
      </c>
      <c r="H3835" t="s">
        <v>16</v>
      </c>
      <c r="I3835">
        <v>0</v>
      </c>
      <c r="J3835">
        <v>0</v>
      </c>
      <c r="K3835">
        <v>0</v>
      </c>
    </row>
    <row r="3836" spans="1:11" x14ac:dyDescent="0.25">
      <c r="A3836" t="s">
        <v>3876</v>
      </c>
      <c r="B3836" s="1">
        <v>46008.824907407405</v>
      </c>
      <c r="C3836" s="2" t="s">
        <v>41</v>
      </c>
      <c r="D3836" t="s">
        <v>19</v>
      </c>
      <c r="E3836">
        <v>97227</v>
      </c>
      <c r="F3836" t="s">
        <v>14</v>
      </c>
      <c r="G3836" t="s">
        <v>15</v>
      </c>
      <c r="H3836" t="s">
        <v>16</v>
      </c>
      <c r="I3836">
        <v>5</v>
      </c>
      <c r="J3836">
        <v>0</v>
      </c>
      <c r="K3836">
        <v>5</v>
      </c>
    </row>
    <row r="3837" spans="1:11" x14ac:dyDescent="0.25">
      <c r="A3837" t="s">
        <v>3877</v>
      </c>
      <c r="B3837" s="1">
        <v>46088.985995370371</v>
      </c>
      <c r="C3837" s="2" t="s">
        <v>26</v>
      </c>
      <c r="D3837" t="s">
        <v>13</v>
      </c>
      <c r="E3837">
        <v>107000</v>
      </c>
      <c r="F3837" t="s">
        <v>14</v>
      </c>
      <c r="G3837" t="s">
        <v>58</v>
      </c>
      <c r="H3837" t="s">
        <v>16</v>
      </c>
      <c r="I3837">
        <v>1979.5</v>
      </c>
      <c r="J3837">
        <v>791.8</v>
      </c>
      <c r="K3837">
        <v>1187.7</v>
      </c>
    </row>
    <row r="3838" spans="1:11" x14ac:dyDescent="0.25">
      <c r="A3838" t="s">
        <v>3878</v>
      </c>
      <c r="B3838" s="1">
        <v>46079.654641203706</v>
      </c>
      <c r="C3838" s="2" t="s">
        <v>26</v>
      </c>
      <c r="D3838" t="s">
        <v>45</v>
      </c>
      <c r="E3838">
        <v>110116</v>
      </c>
      <c r="F3838" t="s">
        <v>14</v>
      </c>
      <c r="G3838" t="s">
        <v>27</v>
      </c>
      <c r="H3838" t="s">
        <v>46</v>
      </c>
      <c r="I3838">
        <v>1101.1600000000001</v>
      </c>
      <c r="J3838">
        <v>0</v>
      </c>
      <c r="K3838">
        <v>1101.1600000000001</v>
      </c>
    </row>
    <row r="3839" spans="1:11" x14ac:dyDescent="0.25">
      <c r="A3839" t="s">
        <v>3879</v>
      </c>
      <c r="B3839" s="1">
        <v>45780.243854166663</v>
      </c>
      <c r="C3839" s="2" t="s">
        <v>22</v>
      </c>
      <c r="D3839" t="s">
        <v>23</v>
      </c>
      <c r="E3839">
        <v>2599</v>
      </c>
      <c r="F3839" t="s">
        <v>14</v>
      </c>
      <c r="G3839" t="s">
        <v>20</v>
      </c>
      <c r="H3839" t="s">
        <v>16</v>
      </c>
      <c r="I3839">
        <v>0</v>
      </c>
      <c r="J3839">
        <v>0</v>
      </c>
      <c r="K3839">
        <v>0</v>
      </c>
    </row>
    <row r="3840" spans="1:11" x14ac:dyDescent="0.25">
      <c r="A3840" t="s">
        <v>3880</v>
      </c>
      <c r="B3840" s="1">
        <v>45866.371539351851</v>
      </c>
      <c r="C3840" s="2" t="s">
        <v>12</v>
      </c>
      <c r="D3840" t="s">
        <v>33</v>
      </c>
      <c r="E3840">
        <v>93335</v>
      </c>
      <c r="F3840" t="s">
        <v>14</v>
      </c>
      <c r="G3840" t="s">
        <v>24</v>
      </c>
      <c r="H3840" t="s">
        <v>16</v>
      </c>
      <c r="I3840">
        <v>0</v>
      </c>
      <c r="J3840">
        <v>0</v>
      </c>
      <c r="K3840">
        <v>0</v>
      </c>
    </row>
    <row r="3841" spans="1:11" x14ac:dyDescent="0.25">
      <c r="A3841" t="s">
        <v>3881</v>
      </c>
      <c r="B3841" s="1">
        <v>45897.166817129626</v>
      </c>
      <c r="C3841" s="2" t="s">
        <v>22</v>
      </c>
      <c r="D3841" t="s">
        <v>33</v>
      </c>
      <c r="E3841">
        <v>121648</v>
      </c>
      <c r="F3841" t="s">
        <v>14</v>
      </c>
      <c r="G3841" t="s">
        <v>20</v>
      </c>
      <c r="H3841" t="s">
        <v>16</v>
      </c>
      <c r="I3841">
        <v>0</v>
      </c>
      <c r="J3841">
        <v>0</v>
      </c>
      <c r="K3841">
        <v>0</v>
      </c>
    </row>
    <row r="3842" spans="1:11" x14ac:dyDescent="0.25">
      <c r="A3842" t="s">
        <v>3882</v>
      </c>
      <c r="B3842" s="1">
        <v>45942.148182870369</v>
      </c>
      <c r="C3842" s="2" t="s">
        <v>18</v>
      </c>
      <c r="D3842" t="s">
        <v>45</v>
      </c>
      <c r="E3842">
        <v>7974</v>
      </c>
      <c r="F3842" t="s">
        <v>14</v>
      </c>
      <c r="G3842" t="s">
        <v>34</v>
      </c>
      <c r="H3842" t="s">
        <v>59</v>
      </c>
      <c r="I3842">
        <v>79.739999999999995</v>
      </c>
      <c r="J3842">
        <v>0</v>
      </c>
      <c r="K3842">
        <v>79.739999999999995</v>
      </c>
    </row>
    <row r="3843" spans="1:11" x14ac:dyDescent="0.25">
      <c r="A3843" t="s">
        <v>3883</v>
      </c>
      <c r="B3843" s="1">
        <v>46006.302789351852</v>
      </c>
      <c r="C3843" s="2" t="s">
        <v>39</v>
      </c>
      <c r="D3843" t="s">
        <v>19</v>
      </c>
      <c r="E3843">
        <v>70935</v>
      </c>
      <c r="F3843" t="s">
        <v>14</v>
      </c>
      <c r="G3843" t="s">
        <v>34</v>
      </c>
      <c r="H3843" t="s">
        <v>16</v>
      </c>
      <c r="I3843">
        <v>5</v>
      </c>
      <c r="J3843">
        <v>0</v>
      </c>
      <c r="K3843">
        <v>5</v>
      </c>
    </row>
    <row r="3844" spans="1:11" x14ac:dyDescent="0.25">
      <c r="A3844" t="s">
        <v>3884</v>
      </c>
      <c r="B3844" s="1">
        <v>45811.168067129627</v>
      </c>
      <c r="C3844" s="2" t="s">
        <v>18</v>
      </c>
      <c r="D3844" t="s">
        <v>45</v>
      </c>
      <c r="E3844">
        <v>133406</v>
      </c>
      <c r="F3844" t="s">
        <v>14</v>
      </c>
      <c r="G3844" t="s">
        <v>27</v>
      </c>
      <c r="H3844" t="s">
        <v>46</v>
      </c>
      <c r="I3844">
        <v>1334.06</v>
      </c>
      <c r="J3844">
        <v>0</v>
      </c>
      <c r="K3844">
        <v>1334.06</v>
      </c>
    </row>
    <row r="3845" spans="1:11" x14ac:dyDescent="0.25">
      <c r="A3845" t="s">
        <v>3885</v>
      </c>
      <c r="B3845" s="1">
        <v>45947.716770833336</v>
      </c>
      <c r="C3845" s="2" t="s">
        <v>39</v>
      </c>
      <c r="D3845" t="s">
        <v>23</v>
      </c>
      <c r="E3845">
        <v>428</v>
      </c>
      <c r="F3845" t="s">
        <v>14</v>
      </c>
      <c r="G3845" t="s">
        <v>84</v>
      </c>
      <c r="H3845" t="s">
        <v>16</v>
      </c>
      <c r="I3845">
        <v>0</v>
      </c>
      <c r="J3845">
        <v>0</v>
      </c>
      <c r="K3845">
        <v>0</v>
      </c>
    </row>
    <row r="3846" spans="1:11" x14ac:dyDescent="0.25">
      <c r="A3846" t="s">
        <v>3886</v>
      </c>
      <c r="B3846" s="1">
        <v>45866.770173611112</v>
      </c>
      <c r="C3846" s="2" t="s">
        <v>32</v>
      </c>
      <c r="D3846" t="s">
        <v>33</v>
      </c>
      <c r="E3846">
        <v>91070</v>
      </c>
      <c r="F3846" t="s">
        <v>14</v>
      </c>
      <c r="G3846" t="s">
        <v>15</v>
      </c>
      <c r="H3846" t="s">
        <v>16</v>
      </c>
      <c r="I3846">
        <v>0</v>
      </c>
      <c r="J3846">
        <v>0</v>
      </c>
      <c r="K3846">
        <v>0</v>
      </c>
    </row>
    <row r="3847" spans="1:11" x14ac:dyDescent="0.25">
      <c r="A3847" t="s">
        <v>3887</v>
      </c>
      <c r="B3847" s="1">
        <v>45801.676053240742</v>
      </c>
      <c r="C3847" s="2" t="s">
        <v>41</v>
      </c>
      <c r="D3847" t="s">
        <v>13</v>
      </c>
      <c r="E3847">
        <v>62500</v>
      </c>
      <c r="F3847" t="s">
        <v>50</v>
      </c>
      <c r="G3847" t="s">
        <v>34</v>
      </c>
      <c r="H3847" t="s">
        <v>16</v>
      </c>
      <c r="I3847">
        <v>1156.25</v>
      </c>
      <c r="J3847">
        <v>462.5</v>
      </c>
      <c r="K3847">
        <v>693.75</v>
      </c>
    </row>
    <row r="3848" spans="1:11" x14ac:dyDescent="0.25">
      <c r="A3848" t="s">
        <v>3888</v>
      </c>
      <c r="B3848" s="1">
        <v>45896.253935185188</v>
      </c>
      <c r="C3848" s="2" t="s">
        <v>29</v>
      </c>
      <c r="D3848" t="s">
        <v>13</v>
      </c>
      <c r="E3848">
        <v>92500</v>
      </c>
      <c r="F3848" t="s">
        <v>14</v>
      </c>
      <c r="G3848" t="s">
        <v>84</v>
      </c>
      <c r="H3848" t="s">
        <v>16</v>
      </c>
      <c r="I3848">
        <v>1711.25</v>
      </c>
      <c r="J3848">
        <v>684.5</v>
      </c>
      <c r="K3848">
        <v>1026.75</v>
      </c>
    </row>
    <row r="3849" spans="1:11" x14ac:dyDescent="0.25">
      <c r="A3849" t="s">
        <v>3889</v>
      </c>
      <c r="B3849" s="1">
        <v>45982.09646990741</v>
      </c>
      <c r="C3849" s="2" t="s">
        <v>29</v>
      </c>
      <c r="D3849" t="s">
        <v>33</v>
      </c>
      <c r="E3849">
        <v>35922</v>
      </c>
      <c r="F3849" t="s">
        <v>14</v>
      </c>
      <c r="G3849" t="s">
        <v>84</v>
      </c>
      <c r="H3849" t="s">
        <v>16</v>
      </c>
      <c r="I3849">
        <v>0</v>
      </c>
      <c r="J3849">
        <v>0</v>
      </c>
      <c r="K3849">
        <v>0</v>
      </c>
    </row>
    <row r="3850" spans="1:11" x14ac:dyDescent="0.25">
      <c r="A3850" t="s">
        <v>3890</v>
      </c>
      <c r="B3850" s="1">
        <v>45934.897534722222</v>
      </c>
      <c r="C3850" s="2" t="s">
        <v>26</v>
      </c>
      <c r="D3850" t="s">
        <v>45</v>
      </c>
      <c r="E3850">
        <v>45658</v>
      </c>
      <c r="F3850" t="s">
        <v>14</v>
      </c>
      <c r="G3850" t="s">
        <v>15</v>
      </c>
      <c r="H3850" t="s">
        <v>46</v>
      </c>
      <c r="I3850">
        <v>456.58</v>
      </c>
      <c r="J3850">
        <v>0</v>
      </c>
      <c r="K3850">
        <v>456.58</v>
      </c>
    </row>
    <row r="3851" spans="1:11" x14ac:dyDescent="0.25">
      <c r="A3851" t="s">
        <v>3891</v>
      </c>
      <c r="B3851" s="1">
        <v>46061.631203703706</v>
      </c>
      <c r="C3851" s="2" t="s">
        <v>32</v>
      </c>
      <c r="D3851" t="s">
        <v>19</v>
      </c>
      <c r="E3851">
        <v>35514</v>
      </c>
      <c r="F3851" t="s">
        <v>14</v>
      </c>
      <c r="G3851" t="s">
        <v>27</v>
      </c>
      <c r="H3851" t="s">
        <v>16</v>
      </c>
      <c r="I3851">
        <v>5</v>
      </c>
      <c r="J3851">
        <v>0</v>
      </c>
      <c r="K3851">
        <v>5</v>
      </c>
    </row>
    <row r="3852" spans="1:11" x14ac:dyDescent="0.25">
      <c r="A3852" t="s">
        <v>3892</v>
      </c>
      <c r="B3852" s="1">
        <v>45817.386157407411</v>
      </c>
      <c r="C3852" s="2" t="s">
        <v>12</v>
      </c>
      <c r="D3852" t="s">
        <v>33</v>
      </c>
      <c r="E3852">
        <v>46183</v>
      </c>
      <c r="F3852" t="s">
        <v>14</v>
      </c>
      <c r="G3852" t="s">
        <v>20</v>
      </c>
      <c r="H3852" t="s">
        <v>16</v>
      </c>
      <c r="I3852">
        <v>0</v>
      </c>
      <c r="J3852">
        <v>0</v>
      </c>
      <c r="K3852">
        <v>0</v>
      </c>
    </row>
    <row r="3853" spans="1:11" x14ac:dyDescent="0.25">
      <c r="A3853" t="s">
        <v>3893</v>
      </c>
      <c r="B3853" s="1">
        <v>46125.053969907407</v>
      </c>
      <c r="C3853" s="2" t="s">
        <v>39</v>
      </c>
      <c r="D3853" t="s">
        <v>23</v>
      </c>
      <c r="E3853">
        <v>2197</v>
      </c>
      <c r="F3853" t="s">
        <v>14</v>
      </c>
      <c r="G3853" t="s">
        <v>34</v>
      </c>
      <c r="H3853" t="s">
        <v>16</v>
      </c>
      <c r="I3853">
        <v>0</v>
      </c>
      <c r="J3853">
        <v>0</v>
      </c>
      <c r="K3853">
        <v>0</v>
      </c>
    </row>
    <row r="3854" spans="1:11" x14ac:dyDescent="0.25">
      <c r="A3854" t="s">
        <v>3894</v>
      </c>
      <c r="B3854" s="1">
        <v>45957.845185185186</v>
      </c>
      <c r="C3854" s="2" t="s">
        <v>22</v>
      </c>
      <c r="D3854" t="s">
        <v>19</v>
      </c>
      <c r="E3854">
        <v>64920</v>
      </c>
      <c r="F3854" t="s">
        <v>14</v>
      </c>
      <c r="G3854" t="s">
        <v>20</v>
      </c>
      <c r="H3854" t="s">
        <v>16</v>
      </c>
      <c r="I3854">
        <v>5</v>
      </c>
      <c r="J3854">
        <v>0</v>
      </c>
      <c r="K3854">
        <v>5</v>
      </c>
    </row>
    <row r="3855" spans="1:11" x14ac:dyDescent="0.25">
      <c r="A3855" t="s">
        <v>3895</v>
      </c>
      <c r="B3855" s="1">
        <v>45782.010960648149</v>
      </c>
      <c r="C3855" s="2" t="s">
        <v>26</v>
      </c>
      <c r="D3855" t="s">
        <v>19</v>
      </c>
      <c r="E3855">
        <v>7794</v>
      </c>
      <c r="F3855" t="s">
        <v>14</v>
      </c>
      <c r="G3855" t="s">
        <v>30</v>
      </c>
      <c r="H3855" t="s">
        <v>16</v>
      </c>
      <c r="I3855">
        <v>5</v>
      </c>
      <c r="J3855">
        <v>0</v>
      </c>
      <c r="K3855">
        <v>5</v>
      </c>
    </row>
    <row r="3856" spans="1:11" x14ac:dyDescent="0.25">
      <c r="A3856" t="s">
        <v>3896</v>
      </c>
      <c r="B3856" s="1">
        <v>45888.26666666667</v>
      </c>
      <c r="C3856" s="2" t="s">
        <v>18</v>
      </c>
      <c r="D3856" t="s">
        <v>19</v>
      </c>
      <c r="E3856">
        <v>148445</v>
      </c>
      <c r="F3856" t="s">
        <v>14</v>
      </c>
      <c r="G3856" t="s">
        <v>24</v>
      </c>
      <c r="H3856" t="s">
        <v>16</v>
      </c>
      <c r="I3856">
        <v>5</v>
      </c>
      <c r="J3856">
        <v>0</v>
      </c>
      <c r="K3856">
        <v>5</v>
      </c>
    </row>
    <row r="3857" spans="1:11" x14ac:dyDescent="0.25">
      <c r="A3857" t="s">
        <v>3897</v>
      </c>
      <c r="B3857" s="1">
        <v>45801.618807870371</v>
      </c>
      <c r="C3857" s="2" t="s">
        <v>12</v>
      </c>
      <c r="D3857" t="s">
        <v>13</v>
      </c>
      <c r="E3857">
        <v>33500</v>
      </c>
      <c r="F3857" t="s">
        <v>14</v>
      </c>
      <c r="G3857" t="s">
        <v>84</v>
      </c>
      <c r="H3857" t="s">
        <v>16</v>
      </c>
      <c r="I3857">
        <v>619.75</v>
      </c>
      <c r="J3857">
        <v>247.9</v>
      </c>
      <c r="K3857">
        <v>371.85</v>
      </c>
    </row>
    <row r="3858" spans="1:11" x14ac:dyDescent="0.25">
      <c r="A3858" t="s">
        <v>3898</v>
      </c>
      <c r="B3858" s="1">
        <v>46085.188414351855</v>
      </c>
      <c r="C3858" s="2" t="s">
        <v>26</v>
      </c>
      <c r="D3858" t="s">
        <v>23</v>
      </c>
      <c r="E3858">
        <v>1314</v>
      </c>
      <c r="F3858" t="s">
        <v>14</v>
      </c>
      <c r="G3858" t="s">
        <v>27</v>
      </c>
      <c r="H3858" t="s">
        <v>16</v>
      </c>
      <c r="I3858">
        <v>0</v>
      </c>
      <c r="J3858">
        <v>0</v>
      </c>
      <c r="K3858">
        <v>0</v>
      </c>
    </row>
    <row r="3859" spans="1:11" x14ac:dyDescent="0.25">
      <c r="A3859" t="s">
        <v>3899</v>
      </c>
      <c r="B3859" s="1">
        <v>45885.137118055558</v>
      </c>
      <c r="C3859" s="2" t="s">
        <v>39</v>
      </c>
      <c r="D3859" t="s">
        <v>23</v>
      </c>
      <c r="E3859">
        <v>2423</v>
      </c>
      <c r="F3859" t="s">
        <v>14</v>
      </c>
      <c r="G3859" t="s">
        <v>30</v>
      </c>
      <c r="H3859" t="s">
        <v>16</v>
      </c>
      <c r="I3859">
        <v>0</v>
      </c>
      <c r="J3859">
        <v>0</v>
      </c>
      <c r="K3859">
        <v>0</v>
      </c>
    </row>
    <row r="3860" spans="1:11" x14ac:dyDescent="0.25">
      <c r="A3860" t="s">
        <v>3900</v>
      </c>
      <c r="B3860" s="1">
        <v>46127.713125000002</v>
      </c>
      <c r="C3860" s="2" t="s">
        <v>26</v>
      </c>
      <c r="D3860" t="s">
        <v>19</v>
      </c>
      <c r="E3860">
        <v>101735</v>
      </c>
      <c r="F3860" t="s">
        <v>14</v>
      </c>
      <c r="G3860" t="s">
        <v>51</v>
      </c>
      <c r="H3860" t="s">
        <v>16</v>
      </c>
      <c r="I3860">
        <v>5</v>
      </c>
      <c r="J3860">
        <v>0</v>
      </c>
      <c r="K3860">
        <v>5</v>
      </c>
    </row>
    <row r="3861" spans="1:11" x14ac:dyDescent="0.25">
      <c r="A3861" t="s">
        <v>3901</v>
      </c>
      <c r="B3861" s="1">
        <v>46088.93346064815</v>
      </c>
      <c r="C3861" s="2" t="s">
        <v>29</v>
      </c>
      <c r="D3861" t="s">
        <v>33</v>
      </c>
      <c r="E3861">
        <v>136451</v>
      </c>
      <c r="F3861" t="s">
        <v>14</v>
      </c>
      <c r="G3861" t="s">
        <v>51</v>
      </c>
      <c r="H3861" t="s">
        <v>16</v>
      </c>
      <c r="I3861">
        <v>0</v>
      </c>
      <c r="J3861">
        <v>0</v>
      </c>
      <c r="K3861">
        <v>0</v>
      </c>
    </row>
    <row r="3862" spans="1:11" x14ac:dyDescent="0.25">
      <c r="A3862" t="s">
        <v>3902</v>
      </c>
      <c r="B3862" s="1">
        <v>46061.610405092593</v>
      </c>
      <c r="C3862" s="2" t="s">
        <v>18</v>
      </c>
      <c r="D3862" t="s">
        <v>45</v>
      </c>
      <c r="E3862">
        <v>62899</v>
      </c>
      <c r="F3862" t="s">
        <v>14</v>
      </c>
      <c r="G3862" t="s">
        <v>27</v>
      </c>
      <c r="H3862" t="s">
        <v>71</v>
      </c>
      <c r="I3862">
        <v>628.99</v>
      </c>
      <c r="J3862">
        <v>0</v>
      </c>
      <c r="K3862">
        <v>628.99</v>
      </c>
    </row>
    <row r="3863" spans="1:11" x14ac:dyDescent="0.25">
      <c r="A3863" t="s">
        <v>3903</v>
      </c>
      <c r="B3863" s="1">
        <v>45949.730243055557</v>
      </c>
      <c r="C3863" s="2" t="s">
        <v>41</v>
      </c>
      <c r="D3863" t="s">
        <v>13</v>
      </c>
      <c r="E3863">
        <v>161500</v>
      </c>
      <c r="F3863" t="s">
        <v>14</v>
      </c>
      <c r="G3863" t="s">
        <v>84</v>
      </c>
      <c r="H3863" t="s">
        <v>16</v>
      </c>
      <c r="I3863">
        <v>2987.75</v>
      </c>
      <c r="J3863">
        <v>1195.0999999999999</v>
      </c>
      <c r="K3863">
        <v>1792.65</v>
      </c>
    </row>
    <row r="3864" spans="1:11" x14ac:dyDescent="0.25">
      <c r="A3864" t="s">
        <v>3904</v>
      </c>
      <c r="B3864" s="1">
        <v>45843.14334490741</v>
      </c>
      <c r="C3864" s="2" t="s">
        <v>26</v>
      </c>
      <c r="D3864" t="s">
        <v>45</v>
      </c>
      <c r="E3864">
        <v>129667</v>
      </c>
      <c r="F3864" t="s">
        <v>14</v>
      </c>
      <c r="G3864" t="s">
        <v>84</v>
      </c>
      <c r="H3864" t="s">
        <v>71</v>
      </c>
      <c r="I3864">
        <v>1296.67</v>
      </c>
      <c r="J3864">
        <v>0</v>
      </c>
      <c r="K3864">
        <v>1296.67</v>
      </c>
    </row>
    <row r="3865" spans="1:11" x14ac:dyDescent="0.25">
      <c r="A3865" t="s">
        <v>3905</v>
      </c>
      <c r="B3865" s="1">
        <v>46088.375636574077</v>
      </c>
      <c r="C3865" s="2" t="s">
        <v>26</v>
      </c>
      <c r="D3865" t="s">
        <v>13</v>
      </c>
      <c r="E3865">
        <v>239000</v>
      </c>
      <c r="F3865" t="s">
        <v>14</v>
      </c>
      <c r="G3865" t="s">
        <v>34</v>
      </c>
      <c r="H3865" t="s">
        <v>16</v>
      </c>
      <c r="I3865">
        <v>4421.5</v>
      </c>
      <c r="J3865">
        <v>1768.6</v>
      </c>
      <c r="K3865">
        <v>2652.9</v>
      </c>
    </row>
    <row r="3866" spans="1:11" x14ac:dyDescent="0.25">
      <c r="A3866" t="s">
        <v>3906</v>
      </c>
      <c r="B3866" s="1">
        <v>45894.907349537039</v>
      </c>
      <c r="C3866" s="2" t="s">
        <v>22</v>
      </c>
      <c r="D3866" t="s">
        <v>19</v>
      </c>
      <c r="E3866">
        <v>85003</v>
      </c>
      <c r="F3866" t="s">
        <v>14</v>
      </c>
      <c r="G3866" t="s">
        <v>15</v>
      </c>
      <c r="H3866" t="s">
        <v>16</v>
      </c>
      <c r="I3866">
        <v>5</v>
      </c>
      <c r="J3866">
        <v>0</v>
      </c>
      <c r="K3866">
        <v>5</v>
      </c>
    </row>
    <row r="3867" spans="1:11" x14ac:dyDescent="0.25">
      <c r="A3867" t="s">
        <v>3907</v>
      </c>
      <c r="B3867" s="1">
        <v>45975.802534722221</v>
      </c>
      <c r="C3867" s="2" t="s">
        <v>41</v>
      </c>
      <c r="D3867" t="s">
        <v>45</v>
      </c>
      <c r="E3867">
        <v>11988</v>
      </c>
      <c r="F3867" t="s">
        <v>50</v>
      </c>
      <c r="G3867" t="s">
        <v>84</v>
      </c>
      <c r="H3867" t="s">
        <v>178</v>
      </c>
      <c r="I3867">
        <v>119.88</v>
      </c>
      <c r="J3867">
        <v>0</v>
      </c>
      <c r="K3867">
        <v>119.88</v>
      </c>
    </row>
    <row r="3868" spans="1:11" x14ac:dyDescent="0.25">
      <c r="A3868" t="s">
        <v>3908</v>
      </c>
      <c r="B3868" s="1">
        <v>45971.948263888888</v>
      </c>
      <c r="C3868" s="2" t="s">
        <v>22</v>
      </c>
      <c r="D3868" t="s">
        <v>45</v>
      </c>
      <c r="E3868">
        <v>136421</v>
      </c>
      <c r="F3868" t="s">
        <v>14</v>
      </c>
      <c r="G3868" t="s">
        <v>51</v>
      </c>
      <c r="H3868" t="s">
        <v>46</v>
      </c>
      <c r="I3868">
        <v>1364.21</v>
      </c>
      <c r="J3868">
        <v>0</v>
      </c>
      <c r="K3868">
        <v>1364.21</v>
      </c>
    </row>
    <row r="3869" spans="1:11" x14ac:dyDescent="0.25">
      <c r="A3869" t="s">
        <v>3909</v>
      </c>
      <c r="B3869" s="1">
        <v>45821.713460648149</v>
      </c>
      <c r="C3869" s="2" t="s">
        <v>32</v>
      </c>
      <c r="D3869" t="s">
        <v>33</v>
      </c>
      <c r="E3869">
        <v>140878</v>
      </c>
      <c r="F3869" t="s">
        <v>14</v>
      </c>
      <c r="G3869" t="s">
        <v>15</v>
      </c>
      <c r="H3869" t="s">
        <v>16</v>
      </c>
      <c r="I3869">
        <v>0</v>
      </c>
      <c r="J3869">
        <v>0</v>
      </c>
      <c r="K3869">
        <v>0</v>
      </c>
    </row>
    <row r="3870" spans="1:11" x14ac:dyDescent="0.25">
      <c r="A3870" t="s">
        <v>3910</v>
      </c>
      <c r="B3870" s="1">
        <v>45963.269490740742</v>
      </c>
      <c r="C3870" s="2" t="s">
        <v>26</v>
      </c>
      <c r="D3870" t="s">
        <v>45</v>
      </c>
      <c r="E3870">
        <v>46518</v>
      </c>
      <c r="F3870" t="s">
        <v>50</v>
      </c>
      <c r="G3870" t="s">
        <v>24</v>
      </c>
      <c r="H3870" t="s">
        <v>46</v>
      </c>
      <c r="I3870">
        <v>465.18</v>
      </c>
      <c r="J3870">
        <v>0</v>
      </c>
      <c r="K3870">
        <v>465.18</v>
      </c>
    </row>
    <row r="3871" spans="1:11" x14ac:dyDescent="0.25">
      <c r="A3871" t="s">
        <v>3911</v>
      </c>
      <c r="B3871" s="1">
        <v>45879.631990740738</v>
      </c>
      <c r="C3871" s="2" t="s">
        <v>32</v>
      </c>
      <c r="D3871" t="s">
        <v>33</v>
      </c>
      <c r="E3871">
        <v>88965</v>
      </c>
      <c r="F3871" t="s">
        <v>14</v>
      </c>
      <c r="G3871" t="s">
        <v>34</v>
      </c>
      <c r="H3871" t="s">
        <v>16</v>
      </c>
      <c r="I3871">
        <v>0</v>
      </c>
      <c r="J3871">
        <v>0</v>
      </c>
      <c r="K3871">
        <v>0</v>
      </c>
    </row>
    <row r="3872" spans="1:11" x14ac:dyDescent="0.25">
      <c r="A3872" t="s">
        <v>3912</v>
      </c>
      <c r="B3872" s="1">
        <v>45864.356423611112</v>
      </c>
      <c r="C3872" s="2" t="s">
        <v>39</v>
      </c>
      <c r="D3872" t="s">
        <v>23</v>
      </c>
      <c r="E3872">
        <v>2700</v>
      </c>
      <c r="F3872" t="s">
        <v>14</v>
      </c>
      <c r="G3872" t="s">
        <v>51</v>
      </c>
      <c r="H3872" t="s">
        <v>16</v>
      </c>
      <c r="I3872">
        <v>0</v>
      </c>
      <c r="J3872">
        <v>0</v>
      </c>
      <c r="K3872">
        <v>0</v>
      </c>
    </row>
    <row r="3873" spans="1:11" x14ac:dyDescent="0.25">
      <c r="A3873" t="s">
        <v>3913</v>
      </c>
      <c r="B3873" s="1">
        <v>46132.146828703706</v>
      </c>
      <c r="C3873" s="2" t="s">
        <v>29</v>
      </c>
      <c r="D3873" t="s">
        <v>19</v>
      </c>
      <c r="E3873">
        <v>33657</v>
      </c>
      <c r="F3873" t="s">
        <v>14</v>
      </c>
      <c r="G3873" t="s">
        <v>34</v>
      </c>
      <c r="H3873" t="s">
        <v>16</v>
      </c>
      <c r="I3873">
        <v>5</v>
      </c>
      <c r="J3873">
        <v>0</v>
      </c>
      <c r="K3873">
        <v>5</v>
      </c>
    </row>
    <row r="3874" spans="1:11" x14ac:dyDescent="0.25">
      <c r="A3874" t="s">
        <v>3914</v>
      </c>
      <c r="B3874" s="1">
        <v>45910.256249999999</v>
      </c>
      <c r="C3874" s="2" t="s">
        <v>18</v>
      </c>
      <c r="D3874" t="s">
        <v>45</v>
      </c>
      <c r="E3874">
        <v>61072</v>
      </c>
      <c r="F3874" t="s">
        <v>14</v>
      </c>
      <c r="G3874" t="s">
        <v>51</v>
      </c>
      <c r="H3874" t="s">
        <v>71</v>
      </c>
      <c r="I3874">
        <v>610.72</v>
      </c>
      <c r="J3874">
        <v>0</v>
      </c>
      <c r="K3874">
        <v>610.72</v>
      </c>
    </row>
    <row r="3875" spans="1:11" x14ac:dyDescent="0.25">
      <c r="A3875" t="s">
        <v>3915</v>
      </c>
      <c r="B3875" s="1">
        <v>46017.678402777776</v>
      </c>
      <c r="C3875" s="2" t="s">
        <v>32</v>
      </c>
      <c r="D3875" t="s">
        <v>13</v>
      </c>
      <c r="E3875">
        <v>18500</v>
      </c>
      <c r="F3875" t="s">
        <v>14</v>
      </c>
      <c r="G3875" t="s">
        <v>58</v>
      </c>
      <c r="H3875" t="s">
        <v>16</v>
      </c>
      <c r="I3875">
        <v>342.25</v>
      </c>
      <c r="J3875">
        <v>136.9</v>
      </c>
      <c r="K3875">
        <v>205.35</v>
      </c>
    </row>
    <row r="3876" spans="1:11" x14ac:dyDescent="0.25">
      <c r="A3876" t="s">
        <v>3916</v>
      </c>
      <c r="B3876" s="1">
        <v>45844.408333333333</v>
      </c>
      <c r="C3876" s="2" t="s">
        <v>26</v>
      </c>
      <c r="D3876" t="s">
        <v>23</v>
      </c>
      <c r="E3876">
        <v>4214</v>
      </c>
      <c r="F3876" t="s">
        <v>14</v>
      </c>
      <c r="G3876" t="s">
        <v>27</v>
      </c>
      <c r="H3876" t="s">
        <v>16</v>
      </c>
      <c r="I3876">
        <v>0</v>
      </c>
      <c r="J3876">
        <v>0</v>
      </c>
      <c r="K3876">
        <v>0</v>
      </c>
    </row>
    <row r="3877" spans="1:11" x14ac:dyDescent="0.25">
      <c r="A3877" t="s">
        <v>3917</v>
      </c>
      <c r="B3877" s="1">
        <v>46078.957916666666</v>
      </c>
      <c r="C3877" s="2" t="s">
        <v>39</v>
      </c>
      <c r="D3877" t="s">
        <v>23</v>
      </c>
      <c r="E3877">
        <v>812</v>
      </c>
      <c r="F3877" t="s">
        <v>14</v>
      </c>
      <c r="G3877" t="s">
        <v>15</v>
      </c>
      <c r="H3877" t="s">
        <v>16</v>
      </c>
      <c r="I3877">
        <v>0</v>
      </c>
      <c r="J3877">
        <v>0</v>
      </c>
      <c r="K3877">
        <v>0</v>
      </c>
    </row>
    <row r="3878" spans="1:11" x14ac:dyDescent="0.25">
      <c r="A3878" t="s">
        <v>3918</v>
      </c>
      <c r="B3878" s="1">
        <v>46026.474652777775</v>
      </c>
      <c r="C3878" s="2" t="s">
        <v>26</v>
      </c>
      <c r="D3878" t="s">
        <v>23</v>
      </c>
      <c r="E3878">
        <v>4095</v>
      </c>
      <c r="F3878" t="s">
        <v>14</v>
      </c>
      <c r="G3878" t="s">
        <v>51</v>
      </c>
      <c r="H3878" t="s">
        <v>16</v>
      </c>
      <c r="I3878">
        <v>0</v>
      </c>
      <c r="J3878">
        <v>0</v>
      </c>
      <c r="K3878">
        <v>0</v>
      </c>
    </row>
    <row r="3879" spans="1:11" x14ac:dyDescent="0.25">
      <c r="A3879" t="s">
        <v>3919</v>
      </c>
      <c r="B3879" s="1">
        <v>46068.123969907407</v>
      </c>
      <c r="C3879" s="2" t="s">
        <v>22</v>
      </c>
      <c r="D3879" t="s">
        <v>45</v>
      </c>
      <c r="E3879">
        <v>24637</v>
      </c>
      <c r="F3879" t="s">
        <v>50</v>
      </c>
      <c r="G3879" t="s">
        <v>51</v>
      </c>
      <c r="H3879" t="s">
        <v>46</v>
      </c>
      <c r="I3879">
        <v>246.37</v>
      </c>
      <c r="J3879">
        <v>0</v>
      </c>
      <c r="K3879">
        <v>246.37</v>
      </c>
    </row>
    <row r="3880" spans="1:11" x14ac:dyDescent="0.25">
      <c r="A3880" t="s">
        <v>3920</v>
      </c>
      <c r="B3880" s="1">
        <v>45918.558842592596</v>
      </c>
      <c r="C3880" s="2" t="s">
        <v>22</v>
      </c>
      <c r="D3880" t="s">
        <v>45</v>
      </c>
      <c r="E3880">
        <v>93257</v>
      </c>
      <c r="F3880" t="s">
        <v>14</v>
      </c>
      <c r="G3880" t="s">
        <v>58</v>
      </c>
      <c r="H3880" t="s">
        <v>56</v>
      </c>
      <c r="I3880">
        <v>932.57</v>
      </c>
      <c r="J3880">
        <v>0</v>
      </c>
      <c r="K3880">
        <v>932.57</v>
      </c>
    </row>
    <row r="3881" spans="1:11" x14ac:dyDescent="0.25">
      <c r="A3881" t="s">
        <v>3921</v>
      </c>
      <c r="B3881" s="1">
        <v>45787.305752314816</v>
      </c>
      <c r="C3881" s="2" t="s">
        <v>32</v>
      </c>
      <c r="D3881" t="s">
        <v>45</v>
      </c>
      <c r="E3881">
        <v>121972</v>
      </c>
      <c r="F3881" t="s">
        <v>14</v>
      </c>
      <c r="G3881" t="s">
        <v>20</v>
      </c>
      <c r="H3881" t="s">
        <v>59</v>
      </c>
      <c r="I3881">
        <v>1219.72</v>
      </c>
      <c r="J3881">
        <v>0</v>
      </c>
      <c r="K3881">
        <v>1219.72</v>
      </c>
    </row>
    <row r="3882" spans="1:11" x14ac:dyDescent="0.25">
      <c r="A3882" t="s">
        <v>3922</v>
      </c>
      <c r="B3882" s="1">
        <v>46094.888344907406</v>
      </c>
      <c r="C3882" s="2" t="s">
        <v>32</v>
      </c>
      <c r="D3882" t="s">
        <v>33</v>
      </c>
      <c r="E3882">
        <v>71134</v>
      </c>
      <c r="F3882" t="s">
        <v>14</v>
      </c>
      <c r="G3882" t="s">
        <v>27</v>
      </c>
      <c r="H3882" t="s">
        <v>16</v>
      </c>
      <c r="I3882">
        <v>0</v>
      </c>
      <c r="J3882">
        <v>0</v>
      </c>
      <c r="K3882">
        <v>0</v>
      </c>
    </row>
    <row r="3883" spans="1:11" x14ac:dyDescent="0.25">
      <c r="A3883" t="s">
        <v>3923</v>
      </c>
      <c r="B3883" s="1">
        <v>45894.943935185183</v>
      </c>
      <c r="C3883" s="2" t="s">
        <v>22</v>
      </c>
      <c r="D3883" t="s">
        <v>19</v>
      </c>
      <c r="E3883">
        <v>17809</v>
      </c>
      <c r="F3883" t="s">
        <v>14</v>
      </c>
      <c r="G3883" t="s">
        <v>34</v>
      </c>
      <c r="H3883" t="s">
        <v>16</v>
      </c>
      <c r="I3883">
        <v>5</v>
      </c>
      <c r="J3883">
        <v>0</v>
      </c>
      <c r="K3883">
        <v>5</v>
      </c>
    </row>
    <row r="3884" spans="1:11" x14ac:dyDescent="0.25">
      <c r="A3884" t="s">
        <v>3924</v>
      </c>
      <c r="B3884" s="1">
        <v>46029.522581018522</v>
      </c>
      <c r="C3884" s="2" t="s">
        <v>29</v>
      </c>
      <c r="D3884" t="s">
        <v>19</v>
      </c>
      <c r="E3884">
        <v>94936</v>
      </c>
      <c r="F3884" t="s">
        <v>14</v>
      </c>
      <c r="G3884" t="s">
        <v>15</v>
      </c>
      <c r="H3884" t="s">
        <v>16</v>
      </c>
      <c r="I3884">
        <v>5</v>
      </c>
      <c r="J3884">
        <v>0</v>
      </c>
      <c r="K3884">
        <v>5</v>
      </c>
    </row>
    <row r="3885" spans="1:11" x14ac:dyDescent="0.25">
      <c r="A3885" t="s">
        <v>3925</v>
      </c>
      <c r="B3885" s="1">
        <v>46104.400937500002</v>
      </c>
      <c r="C3885" s="2" t="s">
        <v>39</v>
      </c>
      <c r="D3885" t="s">
        <v>19</v>
      </c>
      <c r="E3885">
        <v>27926</v>
      </c>
      <c r="F3885" t="s">
        <v>14</v>
      </c>
      <c r="G3885" t="s">
        <v>15</v>
      </c>
      <c r="H3885" t="s">
        <v>16</v>
      </c>
      <c r="I3885">
        <v>5</v>
      </c>
      <c r="J3885">
        <v>0</v>
      </c>
      <c r="K3885">
        <v>5</v>
      </c>
    </row>
    <row r="3886" spans="1:11" x14ac:dyDescent="0.25">
      <c r="A3886" t="s">
        <v>3926</v>
      </c>
      <c r="B3886" s="1">
        <v>45973.567141203705</v>
      </c>
      <c r="C3886" s="2" t="s">
        <v>12</v>
      </c>
      <c r="D3886" t="s">
        <v>13</v>
      </c>
      <c r="E3886">
        <v>47000</v>
      </c>
      <c r="F3886" t="s">
        <v>14</v>
      </c>
      <c r="G3886" t="s">
        <v>24</v>
      </c>
      <c r="H3886" t="s">
        <v>16</v>
      </c>
      <c r="I3886">
        <v>869.5</v>
      </c>
      <c r="J3886">
        <v>347.8</v>
      </c>
      <c r="K3886">
        <v>521.70000000000005</v>
      </c>
    </row>
    <row r="3887" spans="1:11" x14ac:dyDescent="0.25">
      <c r="A3887" t="s">
        <v>3927</v>
      </c>
      <c r="B3887" s="1">
        <v>45910.584479166668</v>
      </c>
      <c r="C3887" s="2" t="s">
        <v>12</v>
      </c>
      <c r="D3887" t="s">
        <v>19</v>
      </c>
      <c r="E3887">
        <v>4572</v>
      </c>
      <c r="F3887" t="s">
        <v>14</v>
      </c>
      <c r="G3887" t="s">
        <v>24</v>
      </c>
      <c r="H3887" t="s">
        <v>16</v>
      </c>
      <c r="I3887">
        <v>5</v>
      </c>
      <c r="J3887">
        <v>0</v>
      </c>
      <c r="K3887">
        <v>5</v>
      </c>
    </row>
    <row r="3888" spans="1:11" x14ac:dyDescent="0.25">
      <c r="A3888" t="s">
        <v>3928</v>
      </c>
      <c r="B3888" s="1">
        <v>46117.07912037037</v>
      </c>
      <c r="C3888" s="2" t="s">
        <v>18</v>
      </c>
      <c r="D3888" t="s">
        <v>33</v>
      </c>
      <c r="E3888">
        <v>39326</v>
      </c>
      <c r="F3888" t="s">
        <v>14</v>
      </c>
      <c r="G3888" t="s">
        <v>24</v>
      </c>
      <c r="H3888" t="s">
        <v>16</v>
      </c>
      <c r="I3888">
        <v>0</v>
      </c>
      <c r="J3888">
        <v>0</v>
      </c>
      <c r="K3888">
        <v>0</v>
      </c>
    </row>
    <row r="3889" spans="1:11" x14ac:dyDescent="0.25">
      <c r="A3889" t="s">
        <v>3929</v>
      </c>
      <c r="B3889" s="1">
        <v>46032.23946759259</v>
      </c>
      <c r="C3889" s="2" t="s">
        <v>18</v>
      </c>
      <c r="D3889" t="s">
        <v>33</v>
      </c>
      <c r="E3889">
        <v>85380</v>
      </c>
      <c r="F3889" t="s">
        <v>50</v>
      </c>
      <c r="G3889" t="s">
        <v>15</v>
      </c>
      <c r="H3889" t="s">
        <v>16</v>
      </c>
      <c r="I3889">
        <v>0</v>
      </c>
      <c r="J3889">
        <v>0</v>
      </c>
      <c r="K3889">
        <v>0</v>
      </c>
    </row>
    <row r="3890" spans="1:11" x14ac:dyDescent="0.25">
      <c r="A3890" t="s">
        <v>3930</v>
      </c>
      <c r="B3890" s="1">
        <v>45782.524456018517</v>
      </c>
      <c r="C3890" s="2" t="s">
        <v>39</v>
      </c>
      <c r="D3890" t="s">
        <v>45</v>
      </c>
      <c r="E3890">
        <v>68237</v>
      </c>
      <c r="F3890" t="s">
        <v>14</v>
      </c>
      <c r="G3890" t="s">
        <v>27</v>
      </c>
      <c r="H3890" t="s">
        <v>46</v>
      </c>
      <c r="I3890">
        <v>682.37</v>
      </c>
      <c r="J3890">
        <v>0</v>
      </c>
      <c r="K3890">
        <v>682.37</v>
      </c>
    </row>
    <row r="3891" spans="1:11" x14ac:dyDescent="0.25">
      <c r="A3891" t="s">
        <v>3931</v>
      </c>
      <c r="B3891" s="1">
        <v>45799.192557870374</v>
      </c>
      <c r="C3891" s="2" t="s">
        <v>26</v>
      </c>
      <c r="D3891" t="s">
        <v>19</v>
      </c>
      <c r="E3891">
        <v>133572</v>
      </c>
      <c r="F3891" t="s">
        <v>14</v>
      </c>
      <c r="G3891" t="s">
        <v>24</v>
      </c>
      <c r="H3891" t="s">
        <v>16</v>
      </c>
      <c r="I3891">
        <v>5</v>
      </c>
      <c r="J3891">
        <v>0</v>
      </c>
      <c r="K3891">
        <v>5</v>
      </c>
    </row>
    <row r="3892" spans="1:11" x14ac:dyDescent="0.25">
      <c r="A3892" t="s">
        <v>3932</v>
      </c>
      <c r="B3892" s="1">
        <v>46102.56753472222</v>
      </c>
      <c r="C3892" s="2" t="s">
        <v>41</v>
      </c>
      <c r="D3892" t="s">
        <v>33</v>
      </c>
      <c r="E3892">
        <v>16172</v>
      </c>
      <c r="F3892" t="s">
        <v>14</v>
      </c>
      <c r="G3892" t="s">
        <v>34</v>
      </c>
      <c r="H3892" t="s">
        <v>16</v>
      </c>
      <c r="I3892">
        <v>0</v>
      </c>
      <c r="J3892">
        <v>0</v>
      </c>
      <c r="K3892">
        <v>0</v>
      </c>
    </row>
    <row r="3893" spans="1:11" x14ac:dyDescent="0.25">
      <c r="A3893" t="s">
        <v>3933</v>
      </c>
      <c r="B3893" s="1">
        <v>45997.693437499998</v>
      </c>
      <c r="C3893" s="2" t="s">
        <v>26</v>
      </c>
      <c r="D3893" t="s">
        <v>33</v>
      </c>
      <c r="E3893">
        <v>54079</v>
      </c>
      <c r="F3893" t="s">
        <v>14</v>
      </c>
      <c r="G3893" t="s">
        <v>15</v>
      </c>
      <c r="H3893" t="s">
        <v>16</v>
      </c>
      <c r="I3893">
        <v>0</v>
      </c>
      <c r="J3893">
        <v>0</v>
      </c>
      <c r="K3893">
        <v>0</v>
      </c>
    </row>
    <row r="3894" spans="1:11" x14ac:dyDescent="0.25">
      <c r="A3894" t="s">
        <v>3934</v>
      </c>
      <c r="B3894" s="1">
        <v>45926.29278935185</v>
      </c>
      <c r="C3894" s="2" t="s">
        <v>41</v>
      </c>
      <c r="D3894" t="s">
        <v>19</v>
      </c>
      <c r="E3894">
        <v>433</v>
      </c>
      <c r="F3894" t="s">
        <v>14</v>
      </c>
      <c r="G3894" t="s">
        <v>34</v>
      </c>
      <c r="H3894" t="s">
        <v>16</v>
      </c>
      <c r="I3894">
        <v>5</v>
      </c>
      <c r="J3894">
        <v>0</v>
      </c>
      <c r="K3894">
        <v>5</v>
      </c>
    </row>
    <row r="3895" spans="1:11" x14ac:dyDescent="0.25">
      <c r="A3895" t="s">
        <v>3935</v>
      </c>
      <c r="B3895" s="1">
        <v>45847.857476851852</v>
      </c>
      <c r="C3895" s="2" t="s">
        <v>22</v>
      </c>
      <c r="D3895" t="s">
        <v>45</v>
      </c>
      <c r="E3895">
        <v>39113</v>
      </c>
      <c r="F3895" t="s">
        <v>50</v>
      </c>
      <c r="G3895" t="s">
        <v>84</v>
      </c>
      <c r="H3895" t="s">
        <v>56</v>
      </c>
      <c r="I3895">
        <v>391.13</v>
      </c>
      <c r="J3895">
        <v>0</v>
      </c>
      <c r="K3895">
        <v>391.13</v>
      </c>
    </row>
    <row r="3896" spans="1:11" x14ac:dyDescent="0.25">
      <c r="A3896" t="s">
        <v>3936</v>
      </c>
      <c r="B3896" s="1">
        <v>46085.005462962959</v>
      </c>
      <c r="C3896" s="2" t="s">
        <v>22</v>
      </c>
      <c r="D3896" t="s">
        <v>13</v>
      </c>
      <c r="E3896">
        <v>248000</v>
      </c>
      <c r="F3896" t="s">
        <v>14</v>
      </c>
      <c r="G3896" t="s">
        <v>58</v>
      </c>
      <c r="H3896" t="s">
        <v>16</v>
      </c>
      <c r="I3896">
        <v>4588</v>
      </c>
      <c r="J3896">
        <v>1835.2</v>
      </c>
      <c r="K3896">
        <v>2752.8</v>
      </c>
    </row>
    <row r="3897" spans="1:11" x14ac:dyDescent="0.25">
      <c r="A3897" t="s">
        <v>3937</v>
      </c>
      <c r="B3897" s="1">
        <v>45812.571388888886</v>
      </c>
      <c r="C3897" s="2" t="s">
        <v>26</v>
      </c>
      <c r="D3897" t="s">
        <v>19</v>
      </c>
      <c r="E3897">
        <v>43619</v>
      </c>
      <c r="F3897" t="s">
        <v>99</v>
      </c>
      <c r="G3897" t="s">
        <v>24</v>
      </c>
      <c r="H3897" t="s">
        <v>16</v>
      </c>
      <c r="I3897">
        <v>5</v>
      </c>
      <c r="J3897">
        <v>0</v>
      </c>
      <c r="K3897">
        <v>5</v>
      </c>
    </row>
    <row r="3898" spans="1:11" x14ac:dyDescent="0.25">
      <c r="A3898" t="s">
        <v>3938</v>
      </c>
      <c r="B3898" s="1">
        <v>45843.798101851855</v>
      </c>
      <c r="C3898" s="2" t="s">
        <v>18</v>
      </c>
      <c r="D3898" t="s">
        <v>33</v>
      </c>
      <c r="E3898">
        <v>18225</v>
      </c>
      <c r="F3898" t="s">
        <v>50</v>
      </c>
      <c r="G3898" t="s">
        <v>30</v>
      </c>
      <c r="H3898" t="s">
        <v>16</v>
      </c>
      <c r="I3898">
        <v>0</v>
      </c>
      <c r="J3898">
        <v>0</v>
      </c>
      <c r="K3898">
        <v>0</v>
      </c>
    </row>
    <row r="3899" spans="1:11" x14ac:dyDescent="0.25">
      <c r="A3899" t="s">
        <v>3939</v>
      </c>
      <c r="B3899" s="1">
        <v>45972.286377314813</v>
      </c>
      <c r="C3899" s="2" t="s">
        <v>32</v>
      </c>
      <c r="D3899" t="s">
        <v>19</v>
      </c>
      <c r="E3899">
        <v>93817</v>
      </c>
      <c r="F3899" t="s">
        <v>14</v>
      </c>
      <c r="G3899" t="s">
        <v>20</v>
      </c>
      <c r="H3899" t="s">
        <v>16</v>
      </c>
      <c r="I3899">
        <v>5</v>
      </c>
      <c r="J3899">
        <v>0</v>
      </c>
      <c r="K3899">
        <v>5</v>
      </c>
    </row>
    <row r="3900" spans="1:11" x14ac:dyDescent="0.25">
      <c r="A3900" t="s">
        <v>3940</v>
      </c>
      <c r="B3900" s="1">
        <v>46024.701180555552</v>
      </c>
      <c r="C3900" s="2" t="s">
        <v>29</v>
      </c>
      <c r="D3900" t="s">
        <v>33</v>
      </c>
      <c r="E3900">
        <v>122130</v>
      </c>
      <c r="F3900" t="s">
        <v>50</v>
      </c>
      <c r="G3900" t="s">
        <v>84</v>
      </c>
      <c r="H3900" t="s">
        <v>16</v>
      </c>
      <c r="I3900">
        <v>0</v>
      </c>
      <c r="J3900">
        <v>0</v>
      </c>
      <c r="K3900">
        <v>0</v>
      </c>
    </row>
    <row r="3901" spans="1:11" x14ac:dyDescent="0.25">
      <c r="A3901" t="s">
        <v>3941</v>
      </c>
      <c r="B3901" s="1">
        <v>46117.004930555559</v>
      </c>
      <c r="C3901" s="2" t="s">
        <v>29</v>
      </c>
      <c r="D3901" t="s">
        <v>19</v>
      </c>
      <c r="E3901">
        <v>5540</v>
      </c>
      <c r="F3901" t="s">
        <v>14</v>
      </c>
      <c r="G3901" t="s">
        <v>27</v>
      </c>
      <c r="H3901" t="s">
        <v>16</v>
      </c>
      <c r="I3901">
        <v>5</v>
      </c>
      <c r="J3901">
        <v>0</v>
      </c>
      <c r="K3901">
        <v>5</v>
      </c>
    </row>
    <row r="3902" spans="1:11" x14ac:dyDescent="0.25">
      <c r="A3902" t="s">
        <v>3942</v>
      </c>
      <c r="B3902" s="1">
        <v>46119.547407407408</v>
      </c>
      <c r="C3902" s="2" t="s">
        <v>39</v>
      </c>
      <c r="D3902" t="s">
        <v>45</v>
      </c>
      <c r="E3902">
        <v>147660</v>
      </c>
      <c r="F3902" t="s">
        <v>14</v>
      </c>
      <c r="G3902" t="s">
        <v>34</v>
      </c>
      <c r="H3902" t="s">
        <v>178</v>
      </c>
      <c r="I3902">
        <v>1476.6</v>
      </c>
      <c r="J3902">
        <v>0</v>
      </c>
      <c r="K3902">
        <v>1476.6</v>
      </c>
    </row>
    <row r="3903" spans="1:11" x14ac:dyDescent="0.25">
      <c r="A3903" t="s">
        <v>3943</v>
      </c>
      <c r="B3903" s="1">
        <v>45905.331435185188</v>
      </c>
      <c r="C3903" s="2" t="s">
        <v>26</v>
      </c>
      <c r="D3903" t="s">
        <v>33</v>
      </c>
      <c r="E3903">
        <v>40312</v>
      </c>
      <c r="F3903" t="s">
        <v>14</v>
      </c>
      <c r="G3903" t="s">
        <v>84</v>
      </c>
      <c r="H3903" t="s">
        <v>16</v>
      </c>
      <c r="I3903">
        <v>0</v>
      </c>
      <c r="J3903">
        <v>0</v>
      </c>
      <c r="K3903">
        <v>0</v>
      </c>
    </row>
    <row r="3904" spans="1:11" x14ac:dyDescent="0.25">
      <c r="A3904" t="s">
        <v>3944</v>
      </c>
      <c r="B3904" s="1">
        <v>45827.522430555553</v>
      </c>
      <c r="C3904" s="2" t="s">
        <v>41</v>
      </c>
      <c r="D3904" t="s">
        <v>33</v>
      </c>
      <c r="E3904">
        <v>144234</v>
      </c>
      <c r="F3904" t="s">
        <v>14</v>
      </c>
      <c r="G3904" t="s">
        <v>34</v>
      </c>
      <c r="H3904" t="s">
        <v>16</v>
      </c>
      <c r="I3904">
        <v>0</v>
      </c>
      <c r="J3904">
        <v>0</v>
      </c>
      <c r="K3904">
        <v>0</v>
      </c>
    </row>
    <row r="3905" spans="1:11" x14ac:dyDescent="0.25">
      <c r="A3905" t="s">
        <v>3945</v>
      </c>
      <c r="B3905" s="1">
        <v>45845.99255787037</v>
      </c>
      <c r="C3905" s="2" t="s">
        <v>41</v>
      </c>
      <c r="D3905" t="s">
        <v>13</v>
      </c>
      <c r="E3905">
        <v>155000</v>
      </c>
      <c r="F3905" t="s">
        <v>14</v>
      </c>
      <c r="G3905" t="s">
        <v>30</v>
      </c>
      <c r="H3905" t="s">
        <v>16</v>
      </c>
      <c r="I3905">
        <v>2867.5</v>
      </c>
      <c r="J3905">
        <v>1147</v>
      </c>
      <c r="K3905">
        <v>1720.5</v>
      </c>
    </row>
    <row r="3906" spans="1:11" x14ac:dyDescent="0.25">
      <c r="A3906" t="s">
        <v>3946</v>
      </c>
      <c r="B3906" s="1">
        <v>45817.961053240739</v>
      </c>
      <c r="C3906" s="2" t="s">
        <v>41</v>
      </c>
      <c r="D3906" t="s">
        <v>45</v>
      </c>
      <c r="E3906">
        <v>81658</v>
      </c>
      <c r="F3906" t="s">
        <v>14</v>
      </c>
      <c r="G3906" t="s">
        <v>20</v>
      </c>
      <c r="H3906" t="s">
        <v>46</v>
      </c>
      <c r="I3906">
        <v>816.58</v>
      </c>
      <c r="J3906">
        <v>0</v>
      </c>
      <c r="K3906">
        <v>816.58</v>
      </c>
    </row>
    <row r="3907" spans="1:11" x14ac:dyDescent="0.25">
      <c r="A3907" t="s">
        <v>3947</v>
      </c>
      <c r="B3907" s="1">
        <v>46046.293379629627</v>
      </c>
      <c r="C3907" s="2" t="s">
        <v>41</v>
      </c>
      <c r="D3907" t="s">
        <v>33</v>
      </c>
      <c r="E3907">
        <v>71672</v>
      </c>
      <c r="F3907" t="s">
        <v>14</v>
      </c>
      <c r="G3907" t="s">
        <v>51</v>
      </c>
      <c r="H3907" t="s">
        <v>16</v>
      </c>
      <c r="I3907">
        <v>0</v>
      </c>
      <c r="J3907">
        <v>0</v>
      </c>
      <c r="K3907">
        <v>0</v>
      </c>
    </row>
    <row r="3908" spans="1:11" x14ac:dyDescent="0.25">
      <c r="A3908" t="s">
        <v>3948</v>
      </c>
      <c r="B3908" s="1">
        <v>45788.69431712963</v>
      </c>
      <c r="C3908" s="2" t="s">
        <v>29</v>
      </c>
      <c r="D3908" t="s">
        <v>45</v>
      </c>
      <c r="E3908">
        <v>118626</v>
      </c>
      <c r="F3908" t="s">
        <v>14</v>
      </c>
      <c r="G3908" t="s">
        <v>51</v>
      </c>
      <c r="H3908" t="s">
        <v>56</v>
      </c>
      <c r="I3908">
        <v>1186.26</v>
      </c>
      <c r="J3908">
        <v>0</v>
      </c>
      <c r="K3908">
        <v>1186.26</v>
      </c>
    </row>
    <row r="3909" spans="1:11" x14ac:dyDescent="0.25">
      <c r="A3909" t="s">
        <v>3949</v>
      </c>
      <c r="B3909" s="1">
        <v>46088.396770833337</v>
      </c>
      <c r="C3909" s="2" t="s">
        <v>22</v>
      </c>
      <c r="D3909" t="s">
        <v>33</v>
      </c>
      <c r="E3909">
        <v>22748</v>
      </c>
      <c r="F3909" t="s">
        <v>14</v>
      </c>
      <c r="G3909" t="s">
        <v>84</v>
      </c>
      <c r="H3909" t="s">
        <v>16</v>
      </c>
      <c r="I3909">
        <v>0</v>
      </c>
      <c r="J3909">
        <v>0</v>
      </c>
      <c r="K3909">
        <v>0</v>
      </c>
    </row>
    <row r="3910" spans="1:11" x14ac:dyDescent="0.25">
      <c r="A3910" t="s">
        <v>3950</v>
      </c>
      <c r="B3910" s="1">
        <v>45917.379502314812</v>
      </c>
      <c r="C3910" s="2" t="s">
        <v>22</v>
      </c>
      <c r="D3910" t="s">
        <v>45</v>
      </c>
      <c r="E3910">
        <v>72208</v>
      </c>
      <c r="F3910" t="s">
        <v>14</v>
      </c>
      <c r="G3910" t="s">
        <v>15</v>
      </c>
      <c r="H3910" t="s">
        <v>178</v>
      </c>
      <c r="I3910">
        <v>722.08</v>
      </c>
      <c r="J3910">
        <v>0</v>
      </c>
      <c r="K3910">
        <v>722.08</v>
      </c>
    </row>
    <row r="3911" spans="1:11" x14ac:dyDescent="0.25">
      <c r="A3911" t="s">
        <v>3951</v>
      </c>
      <c r="B3911" s="1">
        <v>45810.587442129632</v>
      </c>
      <c r="C3911" s="2" t="s">
        <v>18</v>
      </c>
      <c r="D3911" t="s">
        <v>13</v>
      </c>
      <c r="E3911">
        <v>81000</v>
      </c>
      <c r="F3911" t="s">
        <v>14</v>
      </c>
      <c r="G3911" t="s">
        <v>51</v>
      </c>
      <c r="H3911" t="s">
        <v>16</v>
      </c>
      <c r="I3911">
        <v>1498.5</v>
      </c>
      <c r="J3911">
        <v>599.4</v>
      </c>
      <c r="K3911">
        <v>899.1</v>
      </c>
    </row>
    <row r="3912" spans="1:11" x14ac:dyDescent="0.25">
      <c r="A3912" t="s">
        <v>3952</v>
      </c>
      <c r="B3912" s="1">
        <v>45881.656134259261</v>
      </c>
      <c r="C3912" s="2" t="s">
        <v>29</v>
      </c>
      <c r="D3912" t="s">
        <v>13</v>
      </c>
      <c r="E3912">
        <v>152500</v>
      </c>
      <c r="F3912" t="s">
        <v>50</v>
      </c>
      <c r="G3912" t="s">
        <v>34</v>
      </c>
      <c r="H3912" t="s">
        <v>16</v>
      </c>
      <c r="I3912">
        <v>2821.25</v>
      </c>
      <c r="J3912">
        <v>1128.5</v>
      </c>
      <c r="K3912">
        <v>1692.75</v>
      </c>
    </row>
    <row r="3913" spans="1:11" x14ac:dyDescent="0.25">
      <c r="A3913" t="s">
        <v>3953</v>
      </c>
      <c r="B3913" s="1">
        <v>46029.047777777778</v>
      </c>
      <c r="C3913" s="2" t="s">
        <v>41</v>
      </c>
      <c r="D3913" t="s">
        <v>23</v>
      </c>
      <c r="E3913">
        <v>4762</v>
      </c>
      <c r="F3913" t="s">
        <v>14</v>
      </c>
      <c r="G3913" t="s">
        <v>20</v>
      </c>
      <c r="H3913" t="s">
        <v>16</v>
      </c>
      <c r="I3913">
        <v>0</v>
      </c>
      <c r="J3913">
        <v>0</v>
      </c>
      <c r="K3913">
        <v>0</v>
      </c>
    </row>
    <row r="3914" spans="1:11" x14ac:dyDescent="0.25">
      <c r="A3914" t="s">
        <v>3954</v>
      </c>
      <c r="B3914" s="1">
        <v>45841.963194444441</v>
      </c>
      <c r="C3914" s="2" t="s">
        <v>32</v>
      </c>
      <c r="D3914" t="s">
        <v>45</v>
      </c>
      <c r="E3914">
        <v>49931</v>
      </c>
      <c r="F3914" t="s">
        <v>14</v>
      </c>
      <c r="G3914" t="s">
        <v>15</v>
      </c>
      <c r="H3914" t="s">
        <v>178</v>
      </c>
      <c r="I3914">
        <v>499.31</v>
      </c>
      <c r="J3914">
        <v>0</v>
      </c>
      <c r="K3914">
        <v>499.31</v>
      </c>
    </row>
    <row r="3915" spans="1:11" x14ac:dyDescent="0.25">
      <c r="A3915" t="s">
        <v>3955</v>
      </c>
      <c r="B3915" s="1">
        <v>45866.815844907411</v>
      </c>
      <c r="C3915" s="2" t="s">
        <v>32</v>
      </c>
      <c r="D3915" t="s">
        <v>19</v>
      </c>
      <c r="E3915">
        <v>42380</v>
      </c>
      <c r="F3915" t="s">
        <v>14</v>
      </c>
      <c r="G3915" t="s">
        <v>34</v>
      </c>
      <c r="H3915" t="s">
        <v>16</v>
      </c>
      <c r="I3915">
        <v>5</v>
      </c>
      <c r="J3915">
        <v>0</v>
      </c>
      <c r="K3915">
        <v>5</v>
      </c>
    </row>
    <row r="3916" spans="1:11" x14ac:dyDescent="0.25">
      <c r="A3916" t="s">
        <v>3956</v>
      </c>
      <c r="B3916" s="1">
        <v>46017.132256944446</v>
      </c>
      <c r="C3916" s="2" t="s">
        <v>39</v>
      </c>
      <c r="D3916" t="s">
        <v>13</v>
      </c>
      <c r="E3916">
        <v>64500</v>
      </c>
      <c r="F3916" t="s">
        <v>14</v>
      </c>
      <c r="G3916" t="s">
        <v>34</v>
      </c>
      <c r="H3916" t="s">
        <v>16</v>
      </c>
      <c r="I3916">
        <v>1193.25</v>
      </c>
      <c r="J3916">
        <v>477.3</v>
      </c>
      <c r="K3916">
        <v>715.95</v>
      </c>
    </row>
    <row r="3917" spans="1:11" x14ac:dyDescent="0.25">
      <c r="A3917" t="s">
        <v>3957</v>
      </c>
      <c r="B3917" s="1">
        <v>46082.586944444447</v>
      </c>
      <c r="C3917" s="2" t="s">
        <v>39</v>
      </c>
      <c r="D3917" t="s">
        <v>19</v>
      </c>
      <c r="E3917">
        <v>112810</v>
      </c>
      <c r="F3917" t="s">
        <v>14</v>
      </c>
      <c r="G3917" t="s">
        <v>15</v>
      </c>
      <c r="H3917" t="s">
        <v>16</v>
      </c>
      <c r="I3917">
        <v>5</v>
      </c>
      <c r="J3917">
        <v>0</v>
      </c>
      <c r="K3917">
        <v>5</v>
      </c>
    </row>
    <row r="3918" spans="1:11" x14ac:dyDescent="0.25">
      <c r="A3918" t="s">
        <v>3958</v>
      </c>
      <c r="B3918" s="1">
        <v>45925.85</v>
      </c>
      <c r="C3918" s="2" t="s">
        <v>26</v>
      </c>
      <c r="D3918" t="s">
        <v>23</v>
      </c>
      <c r="E3918">
        <v>4621</v>
      </c>
      <c r="F3918" t="s">
        <v>14</v>
      </c>
      <c r="G3918" t="s">
        <v>20</v>
      </c>
      <c r="H3918" t="s">
        <v>16</v>
      </c>
      <c r="I3918">
        <v>0</v>
      </c>
      <c r="J3918">
        <v>0</v>
      </c>
      <c r="K3918">
        <v>0</v>
      </c>
    </row>
    <row r="3919" spans="1:11" x14ac:dyDescent="0.25">
      <c r="A3919" t="s">
        <v>3959</v>
      </c>
      <c r="B3919" s="1">
        <v>45966.590405092589</v>
      </c>
      <c r="C3919" s="2" t="s">
        <v>32</v>
      </c>
      <c r="D3919" t="s">
        <v>19</v>
      </c>
      <c r="E3919">
        <v>21982</v>
      </c>
      <c r="F3919" t="s">
        <v>14</v>
      </c>
      <c r="G3919" t="s">
        <v>58</v>
      </c>
      <c r="H3919" t="s">
        <v>16</v>
      </c>
      <c r="I3919">
        <v>5</v>
      </c>
      <c r="J3919">
        <v>0</v>
      </c>
      <c r="K3919">
        <v>5</v>
      </c>
    </row>
    <row r="3920" spans="1:11" x14ac:dyDescent="0.25">
      <c r="A3920" t="s">
        <v>3960</v>
      </c>
      <c r="B3920" s="1">
        <v>45843.80709490741</v>
      </c>
      <c r="C3920" s="2" t="s">
        <v>18</v>
      </c>
      <c r="D3920" t="s">
        <v>23</v>
      </c>
      <c r="E3920">
        <v>2880</v>
      </c>
      <c r="F3920" t="s">
        <v>14</v>
      </c>
      <c r="G3920" t="s">
        <v>58</v>
      </c>
      <c r="H3920" t="s">
        <v>16</v>
      </c>
      <c r="I3920">
        <v>0</v>
      </c>
      <c r="J3920">
        <v>0</v>
      </c>
      <c r="K3920">
        <v>0</v>
      </c>
    </row>
    <row r="3921" spans="1:11" x14ac:dyDescent="0.25">
      <c r="A3921" t="s">
        <v>3961</v>
      </c>
      <c r="B3921" s="1">
        <v>45857.863113425927</v>
      </c>
      <c r="C3921" s="2" t="s">
        <v>39</v>
      </c>
      <c r="D3921" t="s">
        <v>33</v>
      </c>
      <c r="E3921">
        <v>114027</v>
      </c>
      <c r="F3921" t="s">
        <v>14</v>
      </c>
      <c r="G3921" t="s">
        <v>58</v>
      </c>
      <c r="H3921" t="s">
        <v>16</v>
      </c>
      <c r="I3921">
        <v>0</v>
      </c>
      <c r="J3921">
        <v>0</v>
      </c>
      <c r="K3921">
        <v>0</v>
      </c>
    </row>
    <row r="3922" spans="1:11" x14ac:dyDescent="0.25">
      <c r="A3922" t="s">
        <v>3962</v>
      </c>
      <c r="B3922" s="1">
        <v>45980.300613425927</v>
      </c>
      <c r="C3922" s="2" t="s">
        <v>32</v>
      </c>
      <c r="D3922" t="s">
        <v>33</v>
      </c>
      <c r="E3922">
        <v>59548</v>
      </c>
      <c r="F3922" t="s">
        <v>50</v>
      </c>
      <c r="G3922" t="s">
        <v>84</v>
      </c>
      <c r="H3922" t="s">
        <v>16</v>
      </c>
      <c r="I3922">
        <v>0</v>
      </c>
      <c r="J3922">
        <v>0</v>
      </c>
      <c r="K3922">
        <v>0</v>
      </c>
    </row>
    <row r="3923" spans="1:11" x14ac:dyDescent="0.25">
      <c r="A3923" t="s">
        <v>3963</v>
      </c>
      <c r="B3923" s="1">
        <v>46066.547800925924</v>
      </c>
      <c r="C3923" s="2" t="s">
        <v>18</v>
      </c>
      <c r="D3923" t="s">
        <v>23</v>
      </c>
      <c r="E3923">
        <v>4680</v>
      </c>
      <c r="F3923" t="s">
        <v>14</v>
      </c>
      <c r="G3923" t="s">
        <v>34</v>
      </c>
      <c r="H3923" t="s">
        <v>16</v>
      </c>
      <c r="I3923">
        <v>0</v>
      </c>
      <c r="J3923">
        <v>0</v>
      </c>
      <c r="K3923">
        <v>0</v>
      </c>
    </row>
    <row r="3924" spans="1:11" x14ac:dyDescent="0.25">
      <c r="A3924" t="s">
        <v>3964</v>
      </c>
      <c r="B3924" s="1">
        <v>45800.366400462961</v>
      </c>
      <c r="C3924" s="2" t="s">
        <v>26</v>
      </c>
      <c r="D3924" t="s">
        <v>13</v>
      </c>
      <c r="E3924">
        <v>212500</v>
      </c>
      <c r="F3924" t="s">
        <v>14</v>
      </c>
      <c r="G3924" t="s">
        <v>84</v>
      </c>
      <c r="H3924" t="s">
        <v>16</v>
      </c>
      <c r="I3924">
        <v>3931.25</v>
      </c>
      <c r="J3924">
        <v>1572.5</v>
      </c>
      <c r="K3924">
        <v>2358.75</v>
      </c>
    </row>
    <row r="3925" spans="1:11" x14ac:dyDescent="0.25">
      <c r="A3925" t="s">
        <v>3965</v>
      </c>
      <c r="B3925" s="1">
        <v>46043.301863425928</v>
      </c>
      <c r="C3925" s="2" t="s">
        <v>18</v>
      </c>
      <c r="D3925" t="s">
        <v>19</v>
      </c>
      <c r="E3925">
        <v>43518</v>
      </c>
      <c r="F3925" t="s">
        <v>14</v>
      </c>
      <c r="G3925" t="s">
        <v>15</v>
      </c>
      <c r="H3925" t="s">
        <v>16</v>
      </c>
      <c r="I3925">
        <v>5</v>
      </c>
      <c r="J3925">
        <v>0</v>
      </c>
      <c r="K3925">
        <v>5</v>
      </c>
    </row>
    <row r="3926" spans="1:11" x14ac:dyDescent="0.25">
      <c r="A3926" t="s">
        <v>3966</v>
      </c>
      <c r="B3926" s="1">
        <v>45995.227870370371</v>
      </c>
      <c r="C3926" s="2" t="s">
        <v>32</v>
      </c>
      <c r="D3926" t="s">
        <v>33</v>
      </c>
      <c r="E3926">
        <v>31895</v>
      </c>
      <c r="F3926" t="s">
        <v>14</v>
      </c>
      <c r="G3926" t="s">
        <v>58</v>
      </c>
      <c r="H3926" t="s">
        <v>16</v>
      </c>
      <c r="I3926">
        <v>0</v>
      </c>
      <c r="J3926">
        <v>0</v>
      </c>
      <c r="K3926">
        <v>0</v>
      </c>
    </row>
    <row r="3927" spans="1:11" x14ac:dyDescent="0.25">
      <c r="A3927" t="s">
        <v>3967</v>
      </c>
      <c r="B3927" s="1">
        <v>45958.481261574074</v>
      </c>
      <c r="C3927" s="2" t="s">
        <v>32</v>
      </c>
      <c r="D3927" t="s">
        <v>45</v>
      </c>
      <c r="E3927">
        <v>36739</v>
      </c>
      <c r="F3927" t="s">
        <v>14</v>
      </c>
      <c r="G3927" t="s">
        <v>30</v>
      </c>
      <c r="H3927" t="s">
        <v>178</v>
      </c>
      <c r="I3927">
        <v>367.39</v>
      </c>
      <c r="J3927">
        <v>0</v>
      </c>
      <c r="K3927">
        <v>367.39</v>
      </c>
    </row>
    <row r="3928" spans="1:11" x14ac:dyDescent="0.25">
      <c r="A3928" t="s">
        <v>3968</v>
      </c>
      <c r="B3928" s="1">
        <v>46068.815717592595</v>
      </c>
      <c r="C3928" s="2" t="s">
        <v>12</v>
      </c>
      <c r="D3928" t="s">
        <v>23</v>
      </c>
      <c r="E3928">
        <v>3773</v>
      </c>
      <c r="F3928" t="s">
        <v>14</v>
      </c>
      <c r="G3928" t="s">
        <v>58</v>
      </c>
      <c r="H3928" t="s">
        <v>16</v>
      </c>
      <c r="I3928">
        <v>0</v>
      </c>
      <c r="J3928">
        <v>0</v>
      </c>
      <c r="K3928">
        <v>0</v>
      </c>
    </row>
    <row r="3929" spans="1:11" x14ac:dyDescent="0.25">
      <c r="A3929" t="s">
        <v>3969</v>
      </c>
      <c r="B3929" s="1">
        <v>45789.684687499997</v>
      </c>
      <c r="C3929" s="2" t="s">
        <v>22</v>
      </c>
      <c r="D3929" t="s">
        <v>45</v>
      </c>
      <c r="E3929">
        <v>5864</v>
      </c>
      <c r="F3929" t="s">
        <v>14</v>
      </c>
      <c r="G3929" t="s">
        <v>24</v>
      </c>
      <c r="H3929" t="s">
        <v>178</v>
      </c>
      <c r="I3929">
        <v>58.64</v>
      </c>
      <c r="J3929">
        <v>0</v>
      </c>
      <c r="K3929">
        <v>58.64</v>
      </c>
    </row>
    <row r="3930" spans="1:11" x14ac:dyDescent="0.25">
      <c r="A3930" t="s">
        <v>3970</v>
      </c>
      <c r="B3930" s="1">
        <v>45962.756041666667</v>
      </c>
      <c r="C3930" s="2" t="s">
        <v>18</v>
      </c>
      <c r="D3930" t="s">
        <v>23</v>
      </c>
      <c r="E3930">
        <v>3980</v>
      </c>
      <c r="F3930" t="s">
        <v>50</v>
      </c>
      <c r="G3930" t="s">
        <v>34</v>
      </c>
      <c r="H3930" t="s">
        <v>16</v>
      </c>
      <c r="I3930">
        <v>0</v>
      </c>
      <c r="J3930">
        <v>0</v>
      </c>
      <c r="K3930">
        <v>0</v>
      </c>
    </row>
    <row r="3931" spans="1:11" x14ac:dyDescent="0.25">
      <c r="A3931" t="s">
        <v>3971</v>
      </c>
      <c r="B3931" s="1">
        <v>46038.753587962965</v>
      </c>
      <c r="C3931" s="2" t="s">
        <v>32</v>
      </c>
      <c r="D3931" t="s">
        <v>19</v>
      </c>
      <c r="E3931">
        <v>78452</v>
      </c>
      <c r="F3931" t="s">
        <v>14</v>
      </c>
      <c r="G3931" t="s">
        <v>84</v>
      </c>
      <c r="H3931" t="s">
        <v>16</v>
      </c>
      <c r="I3931">
        <v>5</v>
      </c>
      <c r="J3931">
        <v>0</v>
      </c>
      <c r="K3931">
        <v>5</v>
      </c>
    </row>
    <row r="3932" spans="1:11" x14ac:dyDescent="0.25">
      <c r="A3932" t="s">
        <v>3972</v>
      </c>
      <c r="B3932" s="1">
        <v>46045.075567129628</v>
      </c>
      <c r="C3932" s="2" t="s">
        <v>22</v>
      </c>
      <c r="D3932" t="s">
        <v>45</v>
      </c>
      <c r="E3932">
        <v>101896</v>
      </c>
      <c r="F3932" t="s">
        <v>50</v>
      </c>
      <c r="G3932" t="s">
        <v>20</v>
      </c>
      <c r="H3932" t="s">
        <v>56</v>
      </c>
      <c r="I3932">
        <v>1018.96</v>
      </c>
      <c r="J3932">
        <v>0</v>
      </c>
      <c r="K3932">
        <v>1018.96</v>
      </c>
    </row>
    <row r="3933" spans="1:11" x14ac:dyDescent="0.25">
      <c r="A3933" t="s">
        <v>3973</v>
      </c>
      <c r="B3933" s="1">
        <v>45786.519166666665</v>
      </c>
      <c r="C3933" s="2" t="s">
        <v>32</v>
      </c>
      <c r="D3933" t="s">
        <v>33</v>
      </c>
      <c r="E3933">
        <v>62054</v>
      </c>
      <c r="F3933" t="s">
        <v>14</v>
      </c>
      <c r="G3933" t="s">
        <v>84</v>
      </c>
      <c r="H3933" t="s">
        <v>16</v>
      </c>
      <c r="I3933">
        <v>0</v>
      </c>
      <c r="J3933">
        <v>0</v>
      </c>
      <c r="K3933">
        <v>0</v>
      </c>
    </row>
    <row r="3934" spans="1:11" x14ac:dyDescent="0.25">
      <c r="A3934" t="s">
        <v>3974</v>
      </c>
      <c r="B3934" s="1">
        <v>45845.685856481483</v>
      </c>
      <c r="C3934" s="2" t="s">
        <v>26</v>
      </c>
      <c r="D3934" t="s">
        <v>13</v>
      </c>
      <c r="E3934">
        <v>222000</v>
      </c>
      <c r="F3934" t="s">
        <v>50</v>
      </c>
      <c r="G3934" t="s">
        <v>27</v>
      </c>
      <c r="H3934" t="s">
        <v>16</v>
      </c>
      <c r="I3934">
        <v>4107</v>
      </c>
      <c r="J3934">
        <v>1642.8</v>
      </c>
      <c r="K3934">
        <v>2464.1999999999998</v>
      </c>
    </row>
    <row r="3935" spans="1:11" x14ac:dyDescent="0.25">
      <c r="A3935" t="s">
        <v>3975</v>
      </c>
      <c r="B3935" s="1">
        <v>45934.58425925926</v>
      </c>
      <c r="C3935" s="2" t="s">
        <v>22</v>
      </c>
      <c r="D3935" t="s">
        <v>33</v>
      </c>
      <c r="E3935">
        <v>72520</v>
      </c>
      <c r="F3935" t="s">
        <v>14</v>
      </c>
      <c r="G3935" t="s">
        <v>15</v>
      </c>
      <c r="H3935" t="s">
        <v>16</v>
      </c>
      <c r="I3935">
        <v>0</v>
      </c>
      <c r="J3935">
        <v>0</v>
      </c>
      <c r="K3935">
        <v>0</v>
      </c>
    </row>
    <row r="3936" spans="1:11" x14ac:dyDescent="0.25">
      <c r="A3936" t="s">
        <v>3976</v>
      </c>
      <c r="B3936" s="1">
        <v>45811.834409722222</v>
      </c>
      <c r="C3936" s="2" t="s">
        <v>26</v>
      </c>
      <c r="D3936" t="s">
        <v>13</v>
      </c>
      <c r="E3936">
        <v>86000</v>
      </c>
      <c r="F3936" t="s">
        <v>14</v>
      </c>
      <c r="G3936" t="s">
        <v>34</v>
      </c>
      <c r="H3936" t="s">
        <v>16</v>
      </c>
      <c r="I3936">
        <v>1591</v>
      </c>
      <c r="J3936">
        <v>636.4</v>
      </c>
      <c r="K3936">
        <v>954.6</v>
      </c>
    </row>
    <row r="3937" spans="1:11" x14ac:dyDescent="0.25">
      <c r="A3937" t="s">
        <v>3977</v>
      </c>
      <c r="B3937" s="1">
        <v>45812.907349537039</v>
      </c>
      <c r="C3937" s="2" t="s">
        <v>41</v>
      </c>
      <c r="D3937" t="s">
        <v>45</v>
      </c>
      <c r="E3937">
        <v>105871</v>
      </c>
      <c r="F3937" t="s">
        <v>14</v>
      </c>
      <c r="G3937" t="s">
        <v>30</v>
      </c>
      <c r="H3937" t="s">
        <v>178</v>
      </c>
      <c r="I3937">
        <v>1058.71</v>
      </c>
      <c r="J3937">
        <v>0</v>
      </c>
      <c r="K3937">
        <v>1058.71</v>
      </c>
    </row>
    <row r="3938" spans="1:11" x14ac:dyDescent="0.25">
      <c r="A3938" t="s">
        <v>3978</v>
      </c>
      <c r="B3938" s="1">
        <v>46120.952800925923</v>
      </c>
      <c r="C3938" s="2" t="s">
        <v>26</v>
      </c>
      <c r="D3938" t="s">
        <v>45</v>
      </c>
      <c r="E3938">
        <v>99611</v>
      </c>
      <c r="F3938" t="s">
        <v>14</v>
      </c>
      <c r="G3938" t="s">
        <v>34</v>
      </c>
      <c r="H3938" t="s">
        <v>71</v>
      </c>
      <c r="I3938">
        <v>996.11</v>
      </c>
      <c r="J3938">
        <v>0</v>
      </c>
      <c r="K3938">
        <v>996.11</v>
      </c>
    </row>
    <row r="3939" spans="1:11" x14ac:dyDescent="0.25">
      <c r="A3939" t="s">
        <v>3979</v>
      </c>
      <c r="B3939" s="1">
        <v>46067.691747685189</v>
      </c>
      <c r="C3939" s="2" t="s">
        <v>26</v>
      </c>
      <c r="D3939" t="s">
        <v>45</v>
      </c>
      <c r="E3939">
        <v>70929</v>
      </c>
      <c r="F3939" t="s">
        <v>14</v>
      </c>
      <c r="G3939" t="s">
        <v>34</v>
      </c>
      <c r="H3939" t="s">
        <v>46</v>
      </c>
      <c r="I3939">
        <v>709.29</v>
      </c>
      <c r="J3939">
        <v>0</v>
      </c>
      <c r="K3939">
        <v>709.29</v>
      </c>
    </row>
    <row r="3940" spans="1:11" x14ac:dyDescent="0.25">
      <c r="A3940" t="s">
        <v>3980</v>
      </c>
      <c r="B3940" s="1">
        <v>46090.162997685184</v>
      </c>
      <c r="C3940" s="2" t="s">
        <v>18</v>
      </c>
      <c r="D3940" t="s">
        <v>33</v>
      </c>
      <c r="E3940">
        <v>78617</v>
      </c>
      <c r="F3940" t="s">
        <v>14</v>
      </c>
      <c r="G3940" t="s">
        <v>27</v>
      </c>
      <c r="H3940" t="s">
        <v>16</v>
      </c>
      <c r="I3940">
        <v>0</v>
      </c>
      <c r="J3940">
        <v>0</v>
      </c>
      <c r="K3940">
        <v>0</v>
      </c>
    </row>
    <row r="3941" spans="1:11" x14ac:dyDescent="0.25">
      <c r="A3941" t="s">
        <v>3981</v>
      </c>
      <c r="B3941" s="1">
        <v>45958.602962962963</v>
      </c>
      <c r="C3941" s="2" t="s">
        <v>22</v>
      </c>
      <c r="D3941" t="s">
        <v>45</v>
      </c>
      <c r="E3941">
        <v>70979</v>
      </c>
      <c r="F3941" t="s">
        <v>14</v>
      </c>
      <c r="G3941" t="s">
        <v>20</v>
      </c>
      <c r="H3941" t="s">
        <v>46</v>
      </c>
      <c r="I3941">
        <v>709.79</v>
      </c>
      <c r="J3941">
        <v>0</v>
      </c>
      <c r="K3941">
        <v>709.79</v>
      </c>
    </row>
    <row r="3942" spans="1:11" x14ac:dyDescent="0.25">
      <c r="A3942" t="s">
        <v>3982</v>
      </c>
      <c r="B3942" s="1">
        <v>46023.218229166669</v>
      </c>
      <c r="C3942" s="2" t="s">
        <v>39</v>
      </c>
      <c r="D3942" t="s">
        <v>13</v>
      </c>
      <c r="E3942">
        <v>174000</v>
      </c>
      <c r="F3942" t="s">
        <v>14</v>
      </c>
      <c r="G3942" t="s">
        <v>34</v>
      </c>
      <c r="H3942" t="s">
        <v>16</v>
      </c>
      <c r="I3942">
        <v>3219</v>
      </c>
      <c r="J3942">
        <v>1287.5999999999999</v>
      </c>
      <c r="K3942">
        <v>1931.4</v>
      </c>
    </row>
    <row r="3943" spans="1:11" x14ac:dyDescent="0.25">
      <c r="A3943" t="s">
        <v>3983</v>
      </c>
      <c r="B3943" s="1">
        <v>45898.74659722222</v>
      </c>
      <c r="C3943" s="2" t="s">
        <v>26</v>
      </c>
      <c r="D3943" t="s">
        <v>13</v>
      </c>
      <c r="E3943">
        <v>136000</v>
      </c>
      <c r="F3943" t="s">
        <v>14</v>
      </c>
      <c r="G3943" t="s">
        <v>27</v>
      </c>
      <c r="H3943" t="s">
        <v>16</v>
      </c>
      <c r="I3943">
        <v>2516</v>
      </c>
      <c r="J3943">
        <v>1006.4</v>
      </c>
      <c r="K3943">
        <v>1509.6</v>
      </c>
    </row>
    <row r="3944" spans="1:11" x14ac:dyDescent="0.25">
      <c r="A3944" t="s">
        <v>3984</v>
      </c>
      <c r="B3944" s="1">
        <v>46130.64466435185</v>
      </c>
      <c r="C3944" s="2" t="s">
        <v>12</v>
      </c>
      <c r="D3944" t="s">
        <v>23</v>
      </c>
      <c r="E3944">
        <v>4237</v>
      </c>
      <c r="F3944" t="s">
        <v>99</v>
      </c>
      <c r="G3944" t="s">
        <v>34</v>
      </c>
      <c r="H3944" t="s">
        <v>16</v>
      </c>
      <c r="I3944">
        <v>0</v>
      </c>
      <c r="J3944">
        <v>0</v>
      </c>
      <c r="K3944">
        <v>0</v>
      </c>
    </row>
    <row r="3945" spans="1:11" x14ac:dyDescent="0.25">
      <c r="A3945" t="s">
        <v>3985</v>
      </c>
      <c r="B3945" s="1">
        <v>46131.079861111109</v>
      </c>
      <c r="C3945" s="2" t="s">
        <v>29</v>
      </c>
      <c r="D3945" t="s">
        <v>23</v>
      </c>
      <c r="E3945">
        <v>4834</v>
      </c>
      <c r="F3945" t="s">
        <v>14</v>
      </c>
      <c r="G3945" t="s">
        <v>34</v>
      </c>
      <c r="H3945" t="s">
        <v>16</v>
      </c>
      <c r="I3945">
        <v>0</v>
      </c>
      <c r="J3945">
        <v>0</v>
      </c>
      <c r="K3945">
        <v>0</v>
      </c>
    </row>
    <row r="3946" spans="1:11" x14ac:dyDescent="0.25">
      <c r="A3946" t="s">
        <v>3986</v>
      </c>
      <c r="B3946" s="1">
        <v>45827.540138888886</v>
      </c>
      <c r="C3946" s="2" t="s">
        <v>41</v>
      </c>
      <c r="D3946" t="s">
        <v>19</v>
      </c>
      <c r="E3946">
        <v>4395</v>
      </c>
      <c r="F3946" t="s">
        <v>14</v>
      </c>
      <c r="G3946" t="s">
        <v>51</v>
      </c>
      <c r="H3946" t="s">
        <v>16</v>
      </c>
      <c r="I3946">
        <v>5</v>
      </c>
      <c r="J3946">
        <v>0</v>
      </c>
      <c r="K3946">
        <v>5</v>
      </c>
    </row>
    <row r="3947" spans="1:11" x14ac:dyDescent="0.25">
      <c r="A3947" t="s">
        <v>3987</v>
      </c>
      <c r="B3947" s="1">
        <v>45853.653587962966</v>
      </c>
      <c r="C3947" s="2" t="s">
        <v>18</v>
      </c>
      <c r="D3947" t="s">
        <v>33</v>
      </c>
      <c r="E3947">
        <v>56860</v>
      </c>
      <c r="F3947" t="s">
        <v>14</v>
      </c>
      <c r="G3947" t="s">
        <v>30</v>
      </c>
      <c r="H3947" t="s">
        <v>16</v>
      </c>
      <c r="I3947">
        <v>0</v>
      </c>
      <c r="J3947">
        <v>0</v>
      </c>
      <c r="K3947">
        <v>0</v>
      </c>
    </row>
    <row r="3948" spans="1:11" x14ac:dyDescent="0.25">
      <c r="A3948" t="s">
        <v>3988</v>
      </c>
      <c r="B3948" s="1">
        <v>46142.146122685182</v>
      </c>
      <c r="C3948" s="2" t="s">
        <v>26</v>
      </c>
      <c r="D3948" t="s">
        <v>13</v>
      </c>
      <c r="E3948">
        <v>82500</v>
      </c>
      <c r="F3948" t="s">
        <v>14</v>
      </c>
      <c r="G3948" t="s">
        <v>24</v>
      </c>
      <c r="H3948" t="s">
        <v>16</v>
      </c>
      <c r="I3948">
        <v>1526.25</v>
      </c>
      <c r="J3948">
        <v>610.5</v>
      </c>
      <c r="K3948">
        <v>915.75</v>
      </c>
    </row>
    <row r="3949" spans="1:11" x14ac:dyDescent="0.25">
      <c r="A3949" t="s">
        <v>3989</v>
      </c>
      <c r="B3949" s="1">
        <v>45781.01734953704</v>
      </c>
      <c r="C3949" s="2" t="s">
        <v>12</v>
      </c>
      <c r="D3949" t="s">
        <v>13</v>
      </c>
      <c r="E3949">
        <v>112500</v>
      </c>
      <c r="F3949" t="s">
        <v>14</v>
      </c>
      <c r="G3949" t="s">
        <v>34</v>
      </c>
      <c r="H3949" t="s">
        <v>16</v>
      </c>
      <c r="I3949">
        <v>2081.25</v>
      </c>
      <c r="J3949">
        <v>832.5</v>
      </c>
      <c r="K3949">
        <v>1248.75</v>
      </c>
    </row>
    <row r="3950" spans="1:11" x14ac:dyDescent="0.25">
      <c r="A3950" t="s">
        <v>3990</v>
      </c>
      <c r="B3950" s="1">
        <v>46106.092986111114</v>
      </c>
      <c r="C3950" s="2" t="s">
        <v>41</v>
      </c>
      <c r="D3950" t="s">
        <v>33</v>
      </c>
      <c r="E3950">
        <v>79034</v>
      </c>
      <c r="F3950" t="s">
        <v>14</v>
      </c>
      <c r="G3950" t="s">
        <v>27</v>
      </c>
      <c r="H3950" t="s">
        <v>16</v>
      </c>
      <c r="I3950">
        <v>0</v>
      </c>
      <c r="J3950">
        <v>0</v>
      </c>
      <c r="K3950">
        <v>0</v>
      </c>
    </row>
    <row r="3951" spans="1:11" x14ac:dyDescent="0.25">
      <c r="A3951" t="s">
        <v>3991</v>
      </c>
      <c r="B3951" s="1">
        <v>46125.704004629632</v>
      </c>
      <c r="C3951" s="2" t="s">
        <v>29</v>
      </c>
      <c r="D3951" t="s">
        <v>23</v>
      </c>
      <c r="E3951">
        <v>3065</v>
      </c>
      <c r="F3951" t="s">
        <v>14</v>
      </c>
      <c r="G3951" t="s">
        <v>27</v>
      </c>
      <c r="H3951" t="s">
        <v>16</v>
      </c>
      <c r="I3951">
        <v>0</v>
      </c>
      <c r="J3951">
        <v>0</v>
      </c>
      <c r="K3951">
        <v>0</v>
      </c>
    </row>
    <row r="3952" spans="1:11" x14ac:dyDescent="0.25">
      <c r="A3952" t="s">
        <v>3992</v>
      </c>
      <c r="B3952" s="1">
        <v>45859.520069444443</v>
      </c>
      <c r="C3952" s="2" t="s">
        <v>26</v>
      </c>
      <c r="D3952" t="s">
        <v>45</v>
      </c>
      <c r="E3952">
        <v>101089</v>
      </c>
      <c r="F3952" t="s">
        <v>14</v>
      </c>
      <c r="G3952" t="s">
        <v>27</v>
      </c>
      <c r="H3952" t="s">
        <v>59</v>
      </c>
      <c r="I3952">
        <v>1010.89</v>
      </c>
      <c r="J3952">
        <v>0</v>
      </c>
      <c r="K3952">
        <v>1010.89</v>
      </c>
    </row>
    <row r="3953" spans="1:11" x14ac:dyDescent="0.25">
      <c r="A3953" t="s">
        <v>3993</v>
      </c>
      <c r="B3953" s="1">
        <v>45950.441261574073</v>
      </c>
      <c r="C3953" s="2" t="s">
        <v>32</v>
      </c>
      <c r="D3953" t="s">
        <v>13</v>
      </c>
      <c r="E3953">
        <v>112000</v>
      </c>
      <c r="F3953" t="s">
        <v>14</v>
      </c>
      <c r="G3953" t="s">
        <v>24</v>
      </c>
      <c r="H3953" t="s">
        <v>16</v>
      </c>
      <c r="I3953">
        <v>2072</v>
      </c>
      <c r="J3953">
        <v>828.8</v>
      </c>
      <c r="K3953">
        <v>1243.2</v>
      </c>
    </row>
    <row r="3954" spans="1:11" x14ac:dyDescent="0.25">
      <c r="A3954" t="s">
        <v>3994</v>
      </c>
      <c r="B3954" s="1">
        <v>45830.791365740741</v>
      </c>
      <c r="C3954" s="2" t="s">
        <v>41</v>
      </c>
      <c r="D3954" t="s">
        <v>13</v>
      </c>
      <c r="E3954">
        <v>7500</v>
      </c>
      <c r="F3954" t="s">
        <v>14</v>
      </c>
      <c r="G3954" t="s">
        <v>58</v>
      </c>
      <c r="H3954" t="s">
        <v>16</v>
      </c>
      <c r="I3954">
        <v>138.75</v>
      </c>
      <c r="J3954">
        <v>55.5</v>
      </c>
      <c r="K3954">
        <v>83.25</v>
      </c>
    </row>
    <row r="3955" spans="1:11" x14ac:dyDescent="0.25">
      <c r="A3955" t="s">
        <v>3995</v>
      </c>
      <c r="B3955" s="1">
        <v>45812.908831018518</v>
      </c>
      <c r="C3955" s="2" t="s">
        <v>18</v>
      </c>
      <c r="D3955" t="s">
        <v>45</v>
      </c>
      <c r="E3955">
        <v>96444</v>
      </c>
      <c r="F3955" t="s">
        <v>14</v>
      </c>
      <c r="G3955" t="s">
        <v>58</v>
      </c>
      <c r="H3955" t="s">
        <v>59</v>
      </c>
      <c r="I3955">
        <v>964.44</v>
      </c>
      <c r="J3955">
        <v>0</v>
      </c>
      <c r="K3955">
        <v>964.44</v>
      </c>
    </row>
    <row r="3956" spans="1:11" x14ac:dyDescent="0.25">
      <c r="A3956" t="s">
        <v>3996</v>
      </c>
      <c r="B3956" s="1">
        <v>45912.436666666668</v>
      </c>
      <c r="C3956" s="2" t="s">
        <v>41</v>
      </c>
      <c r="D3956" t="s">
        <v>33</v>
      </c>
      <c r="E3956">
        <v>59148</v>
      </c>
      <c r="F3956" t="s">
        <v>99</v>
      </c>
      <c r="G3956" t="s">
        <v>30</v>
      </c>
      <c r="H3956" t="s">
        <v>16</v>
      </c>
      <c r="I3956">
        <v>0</v>
      </c>
      <c r="J3956">
        <v>0</v>
      </c>
      <c r="K3956">
        <v>0</v>
      </c>
    </row>
    <row r="3957" spans="1:11" x14ac:dyDescent="0.25">
      <c r="A3957" t="s">
        <v>3997</v>
      </c>
      <c r="B3957" s="1">
        <v>46132.921597222223</v>
      </c>
      <c r="C3957" s="2" t="s">
        <v>18</v>
      </c>
      <c r="D3957" t="s">
        <v>13</v>
      </c>
      <c r="E3957">
        <v>215500</v>
      </c>
      <c r="F3957" t="s">
        <v>14</v>
      </c>
      <c r="G3957" t="s">
        <v>84</v>
      </c>
      <c r="H3957" t="s">
        <v>16</v>
      </c>
      <c r="I3957">
        <v>3986.75</v>
      </c>
      <c r="J3957">
        <v>1594.7</v>
      </c>
      <c r="K3957">
        <v>2392.0500000000002</v>
      </c>
    </row>
    <row r="3958" spans="1:11" x14ac:dyDescent="0.25">
      <c r="A3958" t="s">
        <v>3998</v>
      </c>
      <c r="B3958" s="1">
        <v>45949.713483796295</v>
      </c>
      <c r="C3958" s="2" t="s">
        <v>41</v>
      </c>
      <c r="D3958" t="s">
        <v>33</v>
      </c>
      <c r="E3958">
        <v>137760</v>
      </c>
      <c r="F3958" t="s">
        <v>14</v>
      </c>
      <c r="G3958" t="s">
        <v>15</v>
      </c>
      <c r="H3958" t="s">
        <v>16</v>
      </c>
      <c r="I3958">
        <v>0</v>
      </c>
      <c r="J3958">
        <v>0</v>
      </c>
      <c r="K3958">
        <v>0</v>
      </c>
    </row>
    <row r="3959" spans="1:11" x14ac:dyDescent="0.25">
      <c r="A3959" t="s">
        <v>3999</v>
      </c>
      <c r="B3959" s="1">
        <v>45972.404849537037</v>
      </c>
      <c r="C3959" s="2" t="s">
        <v>22</v>
      </c>
      <c r="D3959" t="s">
        <v>33</v>
      </c>
      <c r="E3959">
        <v>12340</v>
      </c>
      <c r="F3959" t="s">
        <v>14</v>
      </c>
      <c r="G3959" t="s">
        <v>34</v>
      </c>
      <c r="H3959" t="s">
        <v>16</v>
      </c>
      <c r="I3959">
        <v>0</v>
      </c>
      <c r="J3959">
        <v>0</v>
      </c>
      <c r="K3959">
        <v>0</v>
      </c>
    </row>
    <row r="3960" spans="1:11" x14ac:dyDescent="0.25">
      <c r="A3960" t="s">
        <v>4000</v>
      </c>
      <c r="B3960" s="1">
        <v>46108.604305555556</v>
      </c>
      <c r="C3960" s="2" t="s">
        <v>39</v>
      </c>
      <c r="D3960" t="s">
        <v>13</v>
      </c>
      <c r="E3960">
        <v>58500</v>
      </c>
      <c r="F3960" t="s">
        <v>14</v>
      </c>
      <c r="G3960" t="s">
        <v>15</v>
      </c>
      <c r="H3960" t="s">
        <v>16</v>
      </c>
      <c r="I3960">
        <v>1082.25</v>
      </c>
      <c r="J3960">
        <v>432.9</v>
      </c>
      <c r="K3960">
        <v>649.35</v>
      </c>
    </row>
    <row r="3961" spans="1:11" x14ac:dyDescent="0.25">
      <c r="A3961" t="s">
        <v>4001</v>
      </c>
      <c r="B3961" s="1">
        <v>45858.37840277778</v>
      </c>
      <c r="C3961" s="2" t="s">
        <v>39</v>
      </c>
      <c r="D3961" t="s">
        <v>19</v>
      </c>
      <c r="E3961">
        <v>146091</v>
      </c>
      <c r="F3961" t="s">
        <v>14</v>
      </c>
      <c r="G3961" t="s">
        <v>30</v>
      </c>
      <c r="H3961" t="s">
        <v>16</v>
      </c>
      <c r="I3961">
        <v>5</v>
      </c>
      <c r="J3961">
        <v>0</v>
      </c>
      <c r="K3961">
        <v>5</v>
      </c>
    </row>
    <row r="3962" spans="1:11" x14ac:dyDescent="0.25">
      <c r="A3962" t="s">
        <v>4002</v>
      </c>
      <c r="B3962" s="1">
        <v>46103.440289351849</v>
      </c>
      <c r="C3962" s="2" t="s">
        <v>29</v>
      </c>
      <c r="D3962" t="s">
        <v>33</v>
      </c>
      <c r="E3962">
        <v>54706</v>
      </c>
      <c r="F3962" t="s">
        <v>14</v>
      </c>
      <c r="G3962" t="s">
        <v>51</v>
      </c>
      <c r="H3962" t="s">
        <v>16</v>
      </c>
      <c r="I3962">
        <v>0</v>
      </c>
      <c r="J3962">
        <v>0</v>
      </c>
      <c r="K3962">
        <v>0</v>
      </c>
    </row>
    <row r="3963" spans="1:11" x14ac:dyDescent="0.25">
      <c r="A3963" t="s">
        <v>4003</v>
      </c>
      <c r="B3963" s="1">
        <v>45986.261620370373</v>
      </c>
      <c r="C3963" s="2" t="s">
        <v>29</v>
      </c>
      <c r="D3963" t="s">
        <v>13</v>
      </c>
      <c r="E3963">
        <v>140000</v>
      </c>
      <c r="F3963" t="s">
        <v>14</v>
      </c>
      <c r="G3963" t="s">
        <v>58</v>
      </c>
      <c r="H3963" t="s">
        <v>16</v>
      </c>
      <c r="I3963">
        <v>2590</v>
      </c>
      <c r="J3963">
        <v>1036</v>
      </c>
      <c r="K3963">
        <v>1554</v>
      </c>
    </row>
    <row r="3964" spans="1:11" x14ac:dyDescent="0.25">
      <c r="A3964" t="s">
        <v>4004</v>
      </c>
      <c r="B3964" s="1">
        <v>46114.063043981485</v>
      </c>
      <c r="C3964" s="2" t="s">
        <v>39</v>
      </c>
      <c r="D3964" t="s">
        <v>19</v>
      </c>
      <c r="E3964">
        <v>137757</v>
      </c>
      <c r="F3964" t="s">
        <v>14</v>
      </c>
      <c r="G3964" t="s">
        <v>58</v>
      </c>
      <c r="H3964" t="s">
        <v>16</v>
      </c>
      <c r="I3964">
        <v>5</v>
      </c>
      <c r="J3964">
        <v>0</v>
      </c>
      <c r="K3964">
        <v>5</v>
      </c>
    </row>
    <row r="3965" spans="1:11" x14ac:dyDescent="0.25">
      <c r="A3965" t="s">
        <v>4005</v>
      </c>
      <c r="B3965" s="1">
        <v>45845.696064814816</v>
      </c>
      <c r="C3965" s="2" t="s">
        <v>26</v>
      </c>
      <c r="D3965" t="s">
        <v>45</v>
      </c>
      <c r="E3965">
        <v>85594</v>
      </c>
      <c r="F3965" t="s">
        <v>14</v>
      </c>
      <c r="G3965" t="s">
        <v>58</v>
      </c>
      <c r="H3965" t="s">
        <v>178</v>
      </c>
      <c r="I3965">
        <v>855.94</v>
      </c>
      <c r="J3965">
        <v>0</v>
      </c>
      <c r="K3965">
        <v>855.94</v>
      </c>
    </row>
    <row r="3966" spans="1:11" x14ac:dyDescent="0.25">
      <c r="A3966" t="s">
        <v>4006</v>
      </c>
      <c r="B3966" s="1">
        <v>45903.876006944447</v>
      </c>
      <c r="C3966" s="2" t="s">
        <v>32</v>
      </c>
      <c r="D3966" t="s">
        <v>33</v>
      </c>
      <c r="E3966">
        <v>111511</v>
      </c>
      <c r="F3966" t="s">
        <v>14</v>
      </c>
      <c r="G3966" t="s">
        <v>20</v>
      </c>
      <c r="H3966" t="s">
        <v>16</v>
      </c>
      <c r="I3966">
        <v>0</v>
      </c>
      <c r="J3966">
        <v>0</v>
      </c>
      <c r="K3966">
        <v>0</v>
      </c>
    </row>
    <row r="3967" spans="1:11" x14ac:dyDescent="0.25">
      <c r="A3967" t="s">
        <v>4007</v>
      </c>
      <c r="B3967" s="1">
        <v>45990.285624999997</v>
      </c>
      <c r="C3967" s="2" t="s">
        <v>32</v>
      </c>
      <c r="D3967" t="s">
        <v>19</v>
      </c>
      <c r="E3967">
        <v>78084</v>
      </c>
      <c r="F3967" t="s">
        <v>14</v>
      </c>
      <c r="G3967" t="s">
        <v>58</v>
      </c>
      <c r="H3967" t="s">
        <v>16</v>
      </c>
      <c r="I3967">
        <v>5</v>
      </c>
      <c r="J3967">
        <v>0</v>
      </c>
      <c r="K3967">
        <v>5</v>
      </c>
    </row>
    <row r="3968" spans="1:11" x14ac:dyDescent="0.25">
      <c r="A3968" t="s">
        <v>4008</v>
      </c>
      <c r="B3968" s="1">
        <v>45882.561122685183</v>
      </c>
      <c r="C3968" s="2" t="s">
        <v>29</v>
      </c>
      <c r="D3968" t="s">
        <v>33</v>
      </c>
      <c r="E3968">
        <v>22064</v>
      </c>
      <c r="F3968" t="s">
        <v>14</v>
      </c>
      <c r="G3968" t="s">
        <v>34</v>
      </c>
      <c r="H3968" t="s">
        <v>16</v>
      </c>
      <c r="I3968">
        <v>0</v>
      </c>
      <c r="J3968">
        <v>0</v>
      </c>
      <c r="K3968">
        <v>0</v>
      </c>
    </row>
    <row r="3969" spans="1:11" x14ac:dyDescent="0.25">
      <c r="A3969" t="s">
        <v>4009</v>
      </c>
      <c r="B3969" s="1">
        <v>46015.764224537037</v>
      </c>
      <c r="C3969" s="2" t="s">
        <v>32</v>
      </c>
      <c r="D3969" t="s">
        <v>23</v>
      </c>
      <c r="E3969">
        <v>1792</v>
      </c>
      <c r="F3969" t="s">
        <v>50</v>
      </c>
      <c r="G3969" t="s">
        <v>20</v>
      </c>
      <c r="H3969" t="s">
        <v>16</v>
      </c>
      <c r="I3969">
        <v>0</v>
      </c>
      <c r="J3969">
        <v>0</v>
      </c>
      <c r="K3969">
        <v>0</v>
      </c>
    </row>
    <row r="3970" spans="1:11" x14ac:dyDescent="0.25">
      <c r="A3970" t="s">
        <v>4010</v>
      </c>
      <c r="B3970" s="1">
        <v>45940.975972222222</v>
      </c>
      <c r="C3970" s="2" t="s">
        <v>39</v>
      </c>
      <c r="D3970" t="s">
        <v>23</v>
      </c>
      <c r="E3970">
        <v>3556</v>
      </c>
      <c r="F3970" t="s">
        <v>14</v>
      </c>
      <c r="G3970" t="s">
        <v>58</v>
      </c>
      <c r="H3970" t="s">
        <v>16</v>
      </c>
      <c r="I3970">
        <v>0</v>
      </c>
      <c r="J3970">
        <v>0</v>
      </c>
      <c r="K3970">
        <v>0</v>
      </c>
    </row>
    <row r="3971" spans="1:11" x14ac:dyDescent="0.25">
      <c r="A3971" t="s">
        <v>4011</v>
      </c>
      <c r="B3971" s="1">
        <v>45917.221412037034</v>
      </c>
      <c r="C3971" s="2" t="s">
        <v>29</v>
      </c>
      <c r="D3971" t="s">
        <v>33</v>
      </c>
      <c r="E3971">
        <v>108905</v>
      </c>
      <c r="F3971" t="s">
        <v>99</v>
      </c>
      <c r="G3971" t="s">
        <v>51</v>
      </c>
      <c r="H3971" t="s">
        <v>16</v>
      </c>
      <c r="I3971">
        <v>0</v>
      </c>
      <c r="J3971">
        <v>0</v>
      </c>
      <c r="K3971">
        <v>0</v>
      </c>
    </row>
    <row r="3972" spans="1:11" x14ac:dyDescent="0.25">
      <c r="A3972" t="s">
        <v>4012</v>
      </c>
      <c r="B3972" s="1">
        <v>45825.950775462959</v>
      </c>
      <c r="C3972" s="2" t="s">
        <v>32</v>
      </c>
      <c r="D3972" t="s">
        <v>19</v>
      </c>
      <c r="E3972">
        <v>21505</v>
      </c>
      <c r="F3972" t="s">
        <v>14</v>
      </c>
      <c r="G3972" t="s">
        <v>51</v>
      </c>
      <c r="H3972" t="s">
        <v>16</v>
      </c>
      <c r="I3972">
        <v>5</v>
      </c>
      <c r="J3972">
        <v>0</v>
      </c>
      <c r="K3972">
        <v>5</v>
      </c>
    </row>
    <row r="3973" spans="1:11" x14ac:dyDescent="0.25">
      <c r="A3973" t="s">
        <v>4013</v>
      </c>
      <c r="B3973" s="1">
        <v>46136.622303240743</v>
      </c>
      <c r="C3973" s="2" t="s">
        <v>41</v>
      </c>
      <c r="D3973" t="s">
        <v>13</v>
      </c>
      <c r="E3973">
        <v>157000</v>
      </c>
      <c r="F3973" t="s">
        <v>14</v>
      </c>
      <c r="G3973" t="s">
        <v>27</v>
      </c>
      <c r="H3973" t="s">
        <v>16</v>
      </c>
      <c r="I3973">
        <v>2904.5</v>
      </c>
      <c r="J3973">
        <v>1161.8</v>
      </c>
      <c r="K3973">
        <v>1742.7</v>
      </c>
    </row>
    <row r="3974" spans="1:11" x14ac:dyDescent="0.25">
      <c r="A3974" t="s">
        <v>4014</v>
      </c>
      <c r="B3974" s="1">
        <v>46020.726157407407</v>
      </c>
      <c r="C3974" s="2" t="s">
        <v>12</v>
      </c>
      <c r="D3974" t="s">
        <v>19</v>
      </c>
      <c r="E3974">
        <v>2984</v>
      </c>
      <c r="F3974" t="s">
        <v>14</v>
      </c>
      <c r="G3974" t="s">
        <v>27</v>
      </c>
      <c r="H3974" t="s">
        <v>16</v>
      </c>
      <c r="I3974">
        <v>5</v>
      </c>
      <c r="J3974">
        <v>0</v>
      </c>
      <c r="K3974">
        <v>5</v>
      </c>
    </row>
    <row r="3975" spans="1:11" x14ac:dyDescent="0.25">
      <c r="A3975" t="s">
        <v>4015</v>
      </c>
      <c r="B3975" s="1">
        <v>46034.347719907404</v>
      </c>
      <c r="C3975" s="2" t="s">
        <v>32</v>
      </c>
      <c r="D3975" t="s">
        <v>13</v>
      </c>
      <c r="E3975">
        <v>247000</v>
      </c>
      <c r="F3975" t="s">
        <v>14</v>
      </c>
      <c r="G3975" t="s">
        <v>24</v>
      </c>
      <c r="H3975" t="s">
        <v>16</v>
      </c>
      <c r="I3975">
        <v>4569.5</v>
      </c>
      <c r="J3975">
        <v>1827.8</v>
      </c>
      <c r="K3975">
        <v>2741.7</v>
      </c>
    </row>
    <row r="3976" spans="1:11" x14ac:dyDescent="0.25">
      <c r="A3976" t="s">
        <v>4016</v>
      </c>
      <c r="B3976" s="1">
        <v>46080.340798611112</v>
      </c>
      <c r="C3976" s="2" t="s">
        <v>39</v>
      </c>
      <c r="D3976" t="s">
        <v>45</v>
      </c>
      <c r="E3976">
        <v>144176</v>
      </c>
      <c r="F3976" t="s">
        <v>14</v>
      </c>
      <c r="G3976" t="s">
        <v>84</v>
      </c>
      <c r="H3976" t="s">
        <v>178</v>
      </c>
      <c r="I3976">
        <v>1441.76</v>
      </c>
      <c r="J3976">
        <v>0</v>
      </c>
      <c r="K3976">
        <v>1441.76</v>
      </c>
    </row>
    <row r="3977" spans="1:11" x14ac:dyDescent="0.25">
      <c r="A3977" t="s">
        <v>4017</v>
      </c>
      <c r="B3977" s="1">
        <v>46128.891134259262</v>
      </c>
      <c r="C3977" s="2" t="s">
        <v>12</v>
      </c>
      <c r="D3977" t="s">
        <v>13</v>
      </c>
      <c r="E3977">
        <v>6000</v>
      </c>
      <c r="F3977" t="s">
        <v>14</v>
      </c>
      <c r="G3977" t="s">
        <v>34</v>
      </c>
      <c r="H3977" t="s">
        <v>16</v>
      </c>
      <c r="I3977">
        <v>111</v>
      </c>
      <c r="J3977">
        <v>44.4</v>
      </c>
      <c r="K3977">
        <v>66.599999999999994</v>
      </c>
    </row>
    <row r="3978" spans="1:11" x14ac:dyDescent="0.25">
      <c r="A3978" t="s">
        <v>4018</v>
      </c>
      <c r="B3978" s="1">
        <v>45778.682939814818</v>
      </c>
      <c r="C3978" s="2" t="s">
        <v>29</v>
      </c>
      <c r="D3978" t="s">
        <v>45</v>
      </c>
      <c r="E3978">
        <v>85138</v>
      </c>
      <c r="F3978" t="s">
        <v>14</v>
      </c>
      <c r="G3978" t="s">
        <v>30</v>
      </c>
      <c r="H3978" t="s">
        <v>56</v>
      </c>
      <c r="I3978">
        <v>851.38</v>
      </c>
      <c r="J3978">
        <v>0</v>
      </c>
      <c r="K3978">
        <v>851.38</v>
      </c>
    </row>
    <row r="3979" spans="1:11" x14ac:dyDescent="0.25">
      <c r="A3979" t="s">
        <v>4019</v>
      </c>
      <c r="B3979" s="1">
        <v>46074.037233796298</v>
      </c>
      <c r="C3979" s="2" t="s">
        <v>12</v>
      </c>
      <c r="D3979" t="s">
        <v>23</v>
      </c>
      <c r="E3979">
        <v>3383</v>
      </c>
      <c r="F3979" t="s">
        <v>99</v>
      </c>
      <c r="G3979" t="s">
        <v>34</v>
      </c>
      <c r="H3979" t="s">
        <v>16</v>
      </c>
      <c r="I3979">
        <v>0</v>
      </c>
      <c r="J3979">
        <v>0</v>
      </c>
      <c r="K3979">
        <v>0</v>
      </c>
    </row>
    <row r="3980" spans="1:11" x14ac:dyDescent="0.25">
      <c r="A3980" t="s">
        <v>4020</v>
      </c>
      <c r="B3980" s="1">
        <v>45974.767129629632</v>
      </c>
      <c r="C3980" s="2" t="s">
        <v>41</v>
      </c>
      <c r="D3980" t="s">
        <v>19</v>
      </c>
      <c r="E3980">
        <v>53752</v>
      </c>
      <c r="F3980" t="s">
        <v>14</v>
      </c>
      <c r="G3980" t="s">
        <v>34</v>
      </c>
      <c r="H3980" t="s">
        <v>16</v>
      </c>
      <c r="I3980">
        <v>5</v>
      </c>
      <c r="J3980">
        <v>0</v>
      </c>
      <c r="K3980">
        <v>5</v>
      </c>
    </row>
    <row r="3981" spans="1:11" x14ac:dyDescent="0.25">
      <c r="A3981" t="s">
        <v>4021</v>
      </c>
      <c r="B3981" s="1">
        <v>45806.710625</v>
      </c>
      <c r="C3981" s="2" t="s">
        <v>12</v>
      </c>
      <c r="D3981" t="s">
        <v>45</v>
      </c>
      <c r="E3981">
        <v>85665</v>
      </c>
      <c r="F3981" t="s">
        <v>14</v>
      </c>
      <c r="G3981" t="s">
        <v>27</v>
      </c>
      <c r="H3981" t="s">
        <v>56</v>
      </c>
      <c r="I3981">
        <v>856.65</v>
      </c>
      <c r="J3981">
        <v>0</v>
      </c>
      <c r="K3981">
        <v>856.65</v>
      </c>
    </row>
    <row r="3982" spans="1:11" x14ac:dyDescent="0.25">
      <c r="A3982" t="s">
        <v>4022</v>
      </c>
      <c r="B3982" s="1">
        <v>45795.9141087963</v>
      </c>
      <c r="C3982" s="2" t="s">
        <v>22</v>
      </c>
      <c r="D3982" t="s">
        <v>45</v>
      </c>
      <c r="E3982">
        <v>62235</v>
      </c>
      <c r="F3982" t="s">
        <v>14</v>
      </c>
      <c r="G3982" t="s">
        <v>15</v>
      </c>
      <c r="H3982" t="s">
        <v>56</v>
      </c>
      <c r="I3982">
        <v>622.35</v>
      </c>
      <c r="J3982">
        <v>0</v>
      </c>
      <c r="K3982">
        <v>622.35</v>
      </c>
    </row>
    <row r="3983" spans="1:11" x14ac:dyDescent="0.25">
      <c r="A3983" t="s">
        <v>4023</v>
      </c>
      <c r="B3983" s="1">
        <v>45841.320555555554</v>
      </c>
      <c r="C3983" s="2" t="s">
        <v>29</v>
      </c>
      <c r="D3983" t="s">
        <v>19</v>
      </c>
      <c r="E3983">
        <v>28133</v>
      </c>
      <c r="F3983" t="s">
        <v>14</v>
      </c>
      <c r="G3983" t="s">
        <v>15</v>
      </c>
      <c r="H3983" t="s">
        <v>16</v>
      </c>
      <c r="I3983">
        <v>5</v>
      </c>
      <c r="J3983">
        <v>0</v>
      </c>
      <c r="K3983">
        <v>5</v>
      </c>
    </row>
    <row r="3984" spans="1:11" x14ac:dyDescent="0.25">
      <c r="A3984" t="s">
        <v>4024</v>
      </c>
      <c r="B3984" s="1">
        <v>45846.225601851853</v>
      </c>
      <c r="C3984" s="2" t="s">
        <v>12</v>
      </c>
      <c r="D3984" t="s">
        <v>33</v>
      </c>
      <c r="E3984">
        <v>118297</v>
      </c>
      <c r="F3984" t="s">
        <v>14</v>
      </c>
      <c r="G3984" t="s">
        <v>34</v>
      </c>
      <c r="H3984" t="s">
        <v>16</v>
      </c>
      <c r="I3984">
        <v>0</v>
      </c>
      <c r="J3984">
        <v>0</v>
      </c>
      <c r="K3984">
        <v>0</v>
      </c>
    </row>
    <row r="3985" spans="1:11" x14ac:dyDescent="0.25">
      <c r="A3985" t="s">
        <v>4025</v>
      </c>
      <c r="B3985" s="1">
        <v>45844.548819444448</v>
      </c>
      <c r="C3985" s="2" t="s">
        <v>39</v>
      </c>
      <c r="D3985" t="s">
        <v>33</v>
      </c>
      <c r="E3985">
        <v>93968</v>
      </c>
      <c r="F3985" t="s">
        <v>14</v>
      </c>
      <c r="G3985" t="s">
        <v>84</v>
      </c>
      <c r="H3985" t="s">
        <v>16</v>
      </c>
      <c r="I3985">
        <v>0</v>
      </c>
      <c r="J3985">
        <v>0</v>
      </c>
      <c r="K3985">
        <v>0</v>
      </c>
    </row>
    <row r="3986" spans="1:11" x14ac:dyDescent="0.25">
      <c r="A3986" t="s">
        <v>4026</v>
      </c>
      <c r="B3986" s="1">
        <v>45781.816921296297</v>
      </c>
      <c r="C3986" s="2" t="s">
        <v>26</v>
      </c>
      <c r="D3986" t="s">
        <v>13</v>
      </c>
      <c r="E3986">
        <v>129000</v>
      </c>
      <c r="F3986" t="s">
        <v>14</v>
      </c>
      <c r="G3986" t="s">
        <v>24</v>
      </c>
      <c r="H3986" t="s">
        <v>16</v>
      </c>
      <c r="I3986">
        <v>2386.5</v>
      </c>
      <c r="J3986">
        <v>954.6</v>
      </c>
      <c r="K3986">
        <v>1431.9</v>
      </c>
    </row>
    <row r="3987" spans="1:11" x14ac:dyDescent="0.25">
      <c r="A3987" t="s">
        <v>4027</v>
      </c>
      <c r="B3987" s="1">
        <v>45979.605011574073</v>
      </c>
      <c r="C3987" s="2" t="s">
        <v>29</v>
      </c>
      <c r="D3987" t="s">
        <v>45</v>
      </c>
      <c r="E3987">
        <v>109535</v>
      </c>
      <c r="F3987" t="s">
        <v>14</v>
      </c>
      <c r="G3987" t="s">
        <v>30</v>
      </c>
      <c r="H3987" t="s">
        <v>59</v>
      </c>
      <c r="I3987">
        <v>1095.3499999999999</v>
      </c>
      <c r="J3987">
        <v>0</v>
      </c>
      <c r="K3987">
        <v>1095.3499999999999</v>
      </c>
    </row>
    <row r="3988" spans="1:11" x14ac:dyDescent="0.25">
      <c r="A3988" t="s">
        <v>4028</v>
      </c>
      <c r="B3988" s="1">
        <v>45978.077349537038</v>
      </c>
      <c r="C3988" s="2" t="s">
        <v>12</v>
      </c>
      <c r="D3988" t="s">
        <v>19</v>
      </c>
      <c r="E3988">
        <v>33914</v>
      </c>
      <c r="F3988" t="s">
        <v>14</v>
      </c>
      <c r="G3988" t="s">
        <v>15</v>
      </c>
      <c r="H3988" t="s">
        <v>16</v>
      </c>
      <c r="I3988">
        <v>5</v>
      </c>
      <c r="J3988">
        <v>0</v>
      </c>
      <c r="K3988">
        <v>5</v>
      </c>
    </row>
    <row r="3989" spans="1:11" x14ac:dyDescent="0.25">
      <c r="A3989" t="s">
        <v>4029</v>
      </c>
      <c r="B3989" s="1">
        <v>46083.791273148148</v>
      </c>
      <c r="C3989" s="2" t="s">
        <v>29</v>
      </c>
      <c r="D3989" t="s">
        <v>45</v>
      </c>
      <c r="E3989">
        <v>87381</v>
      </c>
      <c r="F3989" t="s">
        <v>14</v>
      </c>
      <c r="G3989" t="s">
        <v>27</v>
      </c>
      <c r="H3989" t="s">
        <v>59</v>
      </c>
      <c r="I3989">
        <v>873.81</v>
      </c>
      <c r="J3989">
        <v>0</v>
      </c>
      <c r="K3989">
        <v>873.81</v>
      </c>
    </row>
    <row r="3990" spans="1:11" x14ac:dyDescent="0.25">
      <c r="A3990" t="s">
        <v>4030</v>
      </c>
      <c r="B3990" s="1">
        <v>45792.250127314815</v>
      </c>
      <c r="C3990" s="2" t="s">
        <v>22</v>
      </c>
      <c r="D3990" t="s">
        <v>19</v>
      </c>
      <c r="E3990">
        <v>68698</v>
      </c>
      <c r="F3990" t="s">
        <v>14</v>
      </c>
      <c r="G3990" t="s">
        <v>24</v>
      </c>
      <c r="H3990" t="s">
        <v>16</v>
      </c>
      <c r="I3990">
        <v>5</v>
      </c>
      <c r="J3990">
        <v>0</v>
      </c>
      <c r="K3990">
        <v>5</v>
      </c>
    </row>
    <row r="3991" spans="1:11" x14ac:dyDescent="0.25">
      <c r="A3991" t="s">
        <v>4031</v>
      </c>
      <c r="B3991" s="1">
        <v>46027.639374999999</v>
      </c>
      <c r="C3991" s="2" t="s">
        <v>18</v>
      </c>
      <c r="D3991" t="s">
        <v>23</v>
      </c>
      <c r="E3991">
        <v>3887</v>
      </c>
      <c r="F3991" t="s">
        <v>14</v>
      </c>
      <c r="G3991" t="s">
        <v>58</v>
      </c>
      <c r="H3991" t="s">
        <v>16</v>
      </c>
      <c r="I3991">
        <v>0</v>
      </c>
      <c r="J3991">
        <v>0</v>
      </c>
      <c r="K3991">
        <v>0</v>
      </c>
    </row>
    <row r="3992" spans="1:11" x14ac:dyDescent="0.25">
      <c r="A3992" t="s">
        <v>4032</v>
      </c>
      <c r="B3992" s="1">
        <v>45804.442685185182</v>
      </c>
      <c r="C3992" s="2" t="s">
        <v>18</v>
      </c>
      <c r="D3992" t="s">
        <v>45</v>
      </c>
      <c r="E3992">
        <v>90027</v>
      </c>
      <c r="F3992" t="s">
        <v>14</v>
      </c>
      <c r="G3992" t="s">
        <v>15</v>
      </c>
      <c r="H3992" t="s">
        <v>71</v>
      </c>
      <c r="I3992">
        <v>900.27</v>
      </c>
      <c r="J3992">
        <v>0</v>
      </c>
      <c r="K3992">
        <v>900.27</v>
      </c>
    </row>
    <row r="3993" spans="1:11" x14ac:dyDescent="0.25">
      <c r="A3993" t="s">
        <v>4033</v>
      </c>
      <c r="B3993" s="1">
        <v>45833.688171296293</v>
      </c>
      <c r="C3993" s="2" t="s">
        <v>32</v>
      </c>
      <c r="D3993" t="s">
        <v>33</v>
      </c>
      <c r="E3993">
        <v>41376</v>
      </c>
      <c r="F3993" t="s">
        <v>14</v>
      </c>
      <c r="G3993" t="s">
        <v>27</v>
      </c>
      <c r="H3993" t="s">
        <v>16</v>
      </c>
      <c r="I3993">
        <v>0</v>
      </c>
      <c r="J3993">
        <v>0</v>
      </c>
      <c r="K3993">
        <v>0</v>
      </c>
    </row>
    <row r="3994" spans="1:11" x14ac:dyDescent="0.25">
      <c r="A3994" t="s">
        <v>4034</v>
      </c>
      <c r="B3994" s="1">
        <v>46114.18917824074</v>
      </c>
      <c r="C3994" s="2" t="s">
        <v>32</v>
      </c>
      <c r="D3994" t="s">
        <v>13</v>
      </c>
      <c r="E3994">
        <v>213000</v>
      </c>
      <c r="F3994" t="s">
        <v>14</v>
      </c>
      <c r="G3994" t="s">
        <v>34</v>
      </c>
      <c r="H3994" t="s">
        <v>16</v>
      </c>
      <c r="I3994">
        <v>3940.5</v>
      </c>
      <c r="J3994">
        <v>1576.2</v>
      </c>
      <c r="K3994">
        <v>2364.3000000000002</v>
      </c>
    </row>
    <row r="3995" spans="1:11" x14ac:dyDescent="0.25">
      <c r="A3995" t="s">
        <v>4035</v>
      </c>
      <c r="B3995" s="1">
        <v>46128.688831018517</v>
      </c>
      <c r="C3995" s="2" t="s">
        <v>29</v>
      </c>
      <c r="D3995" t="s">
        <v>33</v>
      </c>
      <c r="E3995">
        <v>123407</v>
      </c>
      <c r="F3995" t="s">
        <v>14</v>
      </c>
      <c r="G3995" t="s">
        <v>84</v>
      </c>
      <c r="H3995" t="s">
        <v>16</v>
      </c>
      <c r="I3995">
        <v>0</v>
      </c>
      <c r="J3995">
        <v>0</v>
      </c>
      <c r="K3995">
        <v>0</v>
      </c>
    </row>
    <row r="3996" spans="1:11" x14ac:dyDescent="0.25">
      <c r="A3996" t="s">
        <v>4036</v>
      </c>
      <c r="B3996" s="1">
        <v>46044.312627314815</v>
      </c>
      <c r="C3996" s="2" t="s">
        <v>39</v>
      </c>
      <c r="D3996" t="s">
        <v>23</v>
      </c>
      <c r="E3996">
        <v>3567</v>
      </c>
      <c r="F3996" t="s">
        <v>14</v>
      </c>
      <c r="G3996" t="s">
        <v>15</v>
      </c>
      <c r="H3996" t="s">
        <v>16</v>
      </c>
      <c r="I3996">
        <v>0</v>
      </c>
      <c r="J3996">
        <v>0</v>
      </c>
      <c r="K3996">
        <v>0</v>
      </c>
    </row>
    <row r="3997" spans="1:11" x14ac:dyDescent="0.25">
      <c r="A3997" t="s">
        <v>4037</v>
      </c>
      <c r="B3997" s="1">
        <v>46075.708425925928</v>
      </c>
      <c r="C3997" s="2" t="s">
        <v>29</v>
      </c>
      <c r="D3997" t="s">
        <v>13</v>
      </c>
      <c r="E3997">
        <v>25500</v>
      </c>
      <c r="F3997" t="s">
        <v>14</v>
      </c>
      <c r="G3997" t="s">
        <v>58</v>
      </c>
      <c r="H3997" t="s">
        <v>16</v>
      </c>
      <c r="I3997">
        <v>471.75</v>
      </c>
      <c r="J3997">
        <v>188.7</v>
      </c>
      <c r="K3997">
        <v>283.05</v>
      </c>
    </row>
    <row r="3998" spans="1:11" x14ac:dyDescent="0.25">
      <c r="A3998" t="s">
        <v>4038</v>
      </c>
      <c r="B3998" s="1">
        <v>46028.136608796296</v>
      </c>
      <c r="C3998" s="2" t="s">
        <v>18</v>
      </c>
      <c r="D3998" t="s">
        <v>23</v>
      </c>
      <c r="E3998">
        <v>1229</v>
      </c>
      <c r="F3998" t="s">
        <v>14</v>
      </c>
      <c r="G3998" t="s">
        <v>34</v>
      </c>
      <c r="H3998" t="s">
        <v>16</v>
      </c>
      <c r="I3998">
        <v>0</v>
      </c>
      <c r="J3998">
        <v>0</v>
      </c>
      <c r="K3998">
        <v>0</v>
      </c>
    </row>
    <row r="3999" spans="1:11" x14ac:dyDescent="0.25">
      <c r="A3999" t="s">
        <v>4039</v>
      </c>
      <c r="B3999" s="1">
        <v>45884.06045138889</v>
      </c>
      <c r="C3999" s="2" t="s">
        <v>26</v>
      </c>
      <c r="D3999" t="s">
        <v>19</v>
      </c>
      <c r="E3999">
        <v>1662</v>
      </c>
      <c r="F3999" t="s">
        <v>50</v>
      </c>
      <c r="G3999" t="s">
        <v>24</v>
      </c>
      <c r="H3999" t="s">
        <v>16</v>
      </c>
      <c r="I3999">
        <v>5</v>
      </c>
      <c r="J3999">
        <v>0</v>
      </c>
      <c r="K3999">
        <v>5</v>
      </c>
    </row>
    <row r="4000" spans="1:11" x14ac:dyDescent="0.25">
      <c r="A4000" t="s">
        <v>4040</v>
      </c>
      <c r="B4000" s="1">
        <v>45947.49318287037</v>
      </c>
      <c r="C4000" s="2" t="s">
        <v>29</v>
      </c>
      <c r="D4000" t="s">
        <v>45</v>
      </c>
      <c r="E4000">
        <v>105065</v>
      </c>
      <c r="F4000" t="s">
        <v>14</v>
      </c>
      <c r="G4000" t="s">
        <v>30</v>
      </c>
      <c r="H4000" t="s">
        <v>178</v>
      </c>
      <c r="I4000">
        <v>1050.6500000000001</v>
      </c>
      <c r="J4000">
        <v>0</v>
      </c>
      <c r="K4000">
        <v>1050.6500000000001</v>
      </c>
    </row>
    <row r="4001" spans="1:11" x14ac:dyDescent="0.25">
      <c r="A4001" t="s">
        <v>4041</v>
      </c>
      <c r="B4001" s="1">
        <v>46023.356319444443</v>
      </c>
      <c r="C4001" s="2" t="s">
        <v>39</v>
      </c>
      <c r="D4001" t="s">
        <v>33</v>
      </c>
      <c r="E4001">
        <v>146651</v>
      </c>
      <c r="F4001" t="s">
        <v>14</v>
      </c>
      <c r="G4001" t="s">
        <v>34</v>
      </c>
      <c r="H4001" t="s">
        <v>16</v>
      </c>
      <c r="I4001">
        <v>0</v>
      </c>
      <c r="J4001">
        <v>0</v>
      </c>
      <c r="K4001">
        <v>0</v>
      </c>
    </row>
    <row r="4002" spans="1:11" x14ac:dyDescent="0.25">
      <c r="A4002" t="s">
        <v>4042</v>
      </c>
      <c r="B4002" s="1">
        <v>46055.529432870368</v>
      </c>
      <c r="C4002" s="2" t="s">
        <v>22</v>
      </c>
      <c r="D4002" t="s">
        <v>33</v>
      </c>
      <c r="E4002">
        <v>113032</v>
      </c>
      <c r="F4002" t="s">
        <v>14</v>
      </c>
      <c r="G4002" t="s">
        <v>27</v>
      </c>
      <c r="H4002" t="s">
        <v>16</v>
      </c>
      <c r="I4002">
        <v>0</v>
      </c>
      <c r="J4002">
        <v>0</v>
      </c>
      <c r="K4002">
        <v>0</v>
      </c>
    </row>
    <row r="4003" spans="1:11" x14ac:dyDescent="0.25">
      <c r="A4003" t="s">
        <v>4043</v>
      </c>
      <c r="B4003" s="1">
        <v>45823.282847222225</v>
      </c>
      <c r="C4003" s="2" t="s">
        <v>22</v>
      </c>
      <c r="D4003" t="s">
        <v>45</v>
      </c>
      <c r="E4003">
        <v>118349</v>
      </c>
      <c r="F4003" t="s">
        <v>14</v>
      </c>
      <c r="G4003" t="s">
        <v>15</v>
      </c>
      <c r="H4003" t="s">
        <v>56</v>
      </c>
      <c r="I4003">
        <v>1183.49</v>
      </c>
      <c r="J4003">
        <v>0</v>
      </c>
      <c r="K4003">
        <v>1183.49</v>
      </c>
    </row>
    <row r="4004" spans="1:11" x14ac:dyDescent="0.25">
      <c r="A4004" t="s">
        <v>4044</v>
      </c>
      <c r="B4004" s="1">
        <v>45859.986539351848</v>
      </c>
      <c r="C4004" s="2" t="s">
        <v>26</v>
      </c>
      <c r="D4004" t="s">
        <v>19</v>
      </c>
      <c r="E4004">
        <v>143728</v>
      </c>
      <c r="F4004" t="s">
        <v>14</v>
      </c>
      <c r="G4004" t="s">
        <v>24</v>
      </c>
      <c r="H4004" t="s">
        <v>16</v>
      </c>
      <c r="I4004">
        <v>5</v>
      </c>
      <c r="J4004">
        <v>0</v>
      </c>
      <c r="K4004">
        <v>5</v>
      </c>
    </row>
    <row r="4005" spans="1:11" x14ac:dyDescent="0.25">
      <c r="A4005" t="s">
        <v>4045</v>
      </c>
      <c r="B4005" s="1">
        <v>45825.457696759258</v>
      </c>
      <c r="C4005" s="2" t="s">
        <v>32</v>
      </c>
      <c r="D4005" t="s">
        <v>33</v>
      </c>
      <c r="E4005">
        <v>73138</v>
      </c>
      <c r="F4005" t="s">
        <v>14</v>
      </c>
      <c r="G4005" t="s">
        <v>27</v>
      </c>
      <c r="H4005" t="s">
        <v>16</v>
      </c>
      <c r="I4005">
        <v>0</v>
      </c>
      <c r="J4005">
        <v>0</v>
      </c>
      <c r="K4005">
        <v>0</v>
      </c>
    </row>
    <row r="4006" spans="1:11" x14ac:dyDescent="0.25">
      <c r="A4006" t="s">
        <v>4046</v>
      </c>
      <c r="B4006" s="1">
        <v>45994.056562500002</v>
      </c>
      <c r="C4006" s="2" t="s">
        <v>18</v>
      </c>
      <c r="D4006" t="s">
        <v>45</v>
      </c>
      <c r="E4006">
        <v>39588</v>
      </c>
      <c r="F4006" t="s">
        <v>14</v>
      </c>
      <c r="G4006" t="s">
        <v>58</v>
      </c>
      <c r="H4006" t="s">
        <v>56</v>
      </c>
      <c r="I4006">
        <v>395.88</v>
      </c>
      <c r="J4006">
        <v>0</v>
      </c>
      <c r="K4006">
        <v>395.88</v>
      </c>
    </row>
    <row r="4007" spans="1:11" x14ac:dyDescent="0.25">
      <c r="A4007" t="s">
        <v>4047</v>
      </c>
      <c r="B4007" s="1">
        <v>45875.554259259261</v>
      </c>
      <c r="C4007" s="2" t="s">
        <v>22</v>
      </c>
      <c r="D4007" t="s">
        <v>45</v>
      </c>
      <c r="E4007">
        <v>81029</v>
      </c>
      <c r="F4007" t="s">
        <v>99</v>
      </c>
      <c r="G4007" t="s">
        <v>34</v>
      </c>
      <c r="H4007" t="s">
        <v>178</v>
      </c>
      <c r="I4007">
        <v>810.29</v>
      </c>
      <c r="J4007">
        <v>0</v>
      </c>
      <c r="K4007">
        <v>810.29</v>
      </c>
    </row>
    <row r="4008" spans="1:11" x14ac:dyDescent="0.25">
      <c r="A4008" t="s">
        <v>4048</v>
      </c>
      <c r="B4008" s="1">
        <v>46009.31521990741</v>
      </c>
      <c r="C4008" s="2" t="s">
        <v>41</v>
      </c>
      <c r="D4008" t="s">
        <v>23</v>
      </c>
      <c r="E4008">
        <v>2971</v>
      </c>
      <c r="F4008" t="s">
        <v>50</v>
      </c>
      <c r="G4008" t="s">
        <v>20</v>
      </c>
      <c r="H4008" t="s">
        <v>16</v>
      </c>
      <c r="I4008">
        <v>0</v>
      </c>
      <c r="J4008">
        <v>0</v>
      </c>
      <c r="K4008">
        <v>0</v>
      </c>
    </row>
    <row r="4009" spans="1:11" x14ac:dyDescent="0.25">
      <c r="A4009" t="s">
        <v>4049</v>
      </c>
      <c r="B4009" s="1">
        <v>45998.470069444447</v>
      </c>
      <c r="C4009" s="2" t="s">
        <v>41</v>
      </c>
      <c r="D4009" t="s">
        <v>45</v>
      </c>
      <c r="E4009">
        <v>67138</v>
      </c>
      <c r="F4009" t="s">
        <v>14</v>
      </c>
      <c r="G4009" t="s">
        <v>34</v>
      </c>
      <c r="H4009" t="s">
        <v>71</v>
      </c>
      <c r="I4009">
        <v>671.38</v>
      </c>
      <c r="J4009">
        <v>0</v>
      </c>
      <c r="K4009">
        <v>671.38</v>
      </c>
    </row>
    <row r="4010" spans="1:11" x14ac:dyDescent="0.25">
      <c r="A4010" t="s">
        <v>4050</v>
      </c>
      <c r="B4010" s="1">
        <v>45835.834467592591</v>
      </c>
      <c r="C4010" s="2" t="s">
        <v>26</v>
      </c>
      <c r="D4010" t="s">
        <v>13</v>
      </c>
      <c r="E4010">
        <v>108000</v>
      </c>
      <c r="F4010" t="s">
        <v>50</v>
      </c>
      <c r="G4010" t="s">
        <v>24</v>
      </c>
      <c r="H4010" t="s">
        <v>16</v>
      </c>
      <c r="I4010">
        <v>1998</v>
      </c>
      <c r="J4010">
        <v>799.2</v>
      </c>
      <c r="K4010">
        <v>1198.8</v>
      </c>
    </row>
    <row r="4011" spans="1:11" x14ac:dyDescent="0.25">
      <c r="A4011" t="s">
        <v>4051</v>
      </c>
      <c r="B4011" s="1">
        <v>46132.656284722223</v>
      </c>
      <c r="C4011" s="2" t="s">
        <v>18</v>
      </c>
      <c r="D4011" t="s">
        <v>45</v>
      </c>
      <c r="E4011">
        <v>29489</v>
      </c>
      <c r="F4011" t="s">
        <v>14</v>
      </c>
      <c r="G4011" t="s">
        <v>51</v>
      </c>
      <c r="H4011" t="s">
        <v>71</v>
      </c>
      <c r="I4011">
        <v>294.89</v>
      </c>
      <c r="J4011">
        <v>0</v>
      </c>
      <c r="K4011">
        <v>294.89</v>
      </c>
    </row>
    <row r="4012" spans="1:11" x14ac:dyDescent="0.25">
      <c r="A4012" t="s">
        <v>4052</v>
      </c>
      <c r="B4012" s="1">
        <v>46134.553599537037</v>
      </c>
      <c r="C4012" s="2" t="s">
        <v>39</v>
      </c>
      <c r="D4012" t="s">
        <v>33</v>
      </c>
      <c r="E4012">
        <v>145545</v>
      </c>
      <c r="F4012" t="s">
        <v>14</v>
      </c>
      <c r="G4012" t="s">
        <v>30</v>
      </c>
      <c r="H4012" t="s">
        <v>16</v>
      </c>
      <c r="I4012">
        <v>0</v>
      </c>
      <c r="J4012">
        <v>0</v>
      </c>
      <c r="K4012">
        <v>0</v>
      </c>
    </row>
    <row r="4013" spans="1:11" x14ac:dyDescent="0.25">
      <c r="A4013" t="s">
        <v>4053</v>
      </c>
      <c r="B4013" s="1">
        <v>45987.421006944445</v>
      </c>
      <c r="C4013" s="2" t="s">
        <v>18</v>
      </c>
      <c r="D4013" t="s">
        <v>23</v>
      </c>
      <c r="E4013">
        <v>4441</v>
      </c>
      <c r="F4013" t="s">
        <v>50</v>
      </c>
      <c r="G4013" t="s">
        <v>51</v>
      </c>
      <c r="H4013" t="s">
        <v>16</v>
      </c>
      <c r="I4013">
        <v>0</v>
      </c>
      <c r="J4013">
        <v>0</v>
      </c>
      <c r="K4013">
        <v>0</v>
      </c>
    </row>
    <row r="4014" spans="1:11" x14ac:dyDescent="0.25">
      <c r="A4014" t="s">
        <v>4054</v>
      </c>
      <c r="B4014" s="1">
        <v>45959.615474537037</v>
      </c>
      <c r="C4014" s="2" t="s">
        <v>32</v>
      </c>
      <c r="D4014" t="s">
        <v>45</v>
      </c>
      <c r="E4014">
        <v>129613</v>
      </c>
      <c r="F4014" t="s">
        <v>14</v>
      </c>
      <c r="G4014" t="s">
        <v>34</v>
      </c>
      <c r="H4014" t="s">
        <v>178</v>
      </c>
      <c r="I4014">
        <v>1296.1300000000001</v>
      </c>
      <c r="J4014">
        <v>0</v>
      </c>
      <c r="K4014">
        <v>1296.1300000000001</v>
      </c>
    </row>
    <row r="4015" spans="1:11" x14ac:dyDescent="0.25">
      <c r="A4015" t="s">
        <v>4055</v>
      </c>
      <c r="B4015" s="1">
        <v>46020.024456018517</v>
      </c>
      <c r="C4015" s="2" t="s">
        <v>18</v>
      </c>
      <c r="D4015" t="s">
        <v>23</v>
      </c>
      <c r="E4015">
        <v>4361</v>
      </c>
      <c r="F4015" t="s">
        <v>14</v>
      </c>
      <c r="G4015" t="s">
        <v>15</v>
      </c>
      <c r="H4015" t="s">
        <v>16</v>
      </c>
      <c r="I4015">
        <v>0</v>
      </c>
      <c r="J4015">
        <v>0</v>
      </c>
      <c r="K4015">
        <v>0</v>
      </c>
    </row>
    <row r="4016" spans="1:11" x14ac:dyDescent="0.25">
      <c r="A4016" t="s">
        <v>4056</v>
      </c>
      <c r="B4016" s="1">
        <v>45846.616238425922</v>
      </c>
      <c r="C4016" s="2" t="s">
        <v>29</v>
      </c>
      <c r="D4016" t="s">
        <v>13</v>
      </c>
      <c r="E4016">
        <v>78500</v>
      </c>
      <c r="F4016" t="s">
        <v>14</v>
      </c>
      <c r="G4016" t="s">
        <v>51</v>
      </c>
      <c r="H4016" t="s">
        <v>16</v>
      </c>
      <c r="I4016">
        <v>1452.25</v>
      </c>
      <c r="J4016">
        <v>580.9</v>
      </c>
      <c r="K4016">
        <v>871.35</v>
      </c>
    </row>
    <row r="4017" spans="1:11" x14ac:dyDescent="0.25">
      <c r="A4017" t="s">
        <v>4057</v>
      </c>
      <c r="B4017" s="1">
        <v>46045.469884259262</v>
      </c>
      <c r="C4017" s="2" t="s">
        <v>12</v>
      </c>
      <c r="D4017" t="s">
        <v>33</v>
      </c>
      <c r="E4017">
        <v>4300</v>
      </c>
      <c r="F4017" t="s">
        <v>14</v>
      </c>
      <c r="G4017" t="s">
        <v>51</v>
      </c>
      <c r="H4017" t="s">
        <v>16</v>
      </c>
      <c r="I4017">
        <v>0</v>
      </c>
      <c r="J4017">
        <v>0</v>
      </c>
      <c r="K4017">
        <v>0</v>
      </c>
    </row>
    <row r="4018" spans="1:11" x14ac:dyDescent="0.25">
      <c r="A4018" t="s">
        <v>4058</v>
      </c>
      <c r="B4018" s="1">
        <v>45798.194039351853</v>
      </c>
      <c r="C4018" s="2" t="s">
        <v>32</v>
      </c>
      <c r="D4018" t="s">
        <v>45</v>
      </c>
      <c r="E4018">
        <v>52502</v>
      </c>
      <c r="F4018" t="s">
        <v>14</v>
      </c>
      <c r="G4018" t="s">
        <v>84</v>
      </c>
      <c r="H4018" t="s">
        <v>71</v>
      </c>
      <c r="I4018">
        <v>525.02</v>
      </c>
      <c r="J4018">
        <v>0</v>
      </c>
      <c r="K4018">
        <v>525.02</v>
      </c>
    </row>
    <row r="4019" spans="1:11" x14ac:dyDescent="0.25">
      <c r="A4019" t="s">
        <v>4059</v>
      </c>
      <c r="B4019" s="1">
        <v>45880.302534722221</v>
      </c>
      <c r="C4019" s="2" t="s">
        <v>22</v>
      </c>
      <c r="D4019" t="s">
        <v>13</v>
      </c>
      <c r="E4019">
        <v>129500</v>
      </c>
      <c r="F4019" t="s">
        <v>14</v>
      </c>
      <c r="G4019" t="s">
        <v>51</v>
      </c>
      <c r="H4019" t="s">
        <v>16</v>
      </c>
      <c r="I4019">
        <v>2395.75</v>
      </c>
      <c r="J4019">
        <v>958.3</v>
      </c>
      <c r="K4019">
        <v>1437.45</v>
      </c>
    </row>
    <row r="4020" spans="1:11" x14ac:dyDescent="0.25">
      <c r="A4020" t="s">
        <v>4060</v>
      </c>
      <c r="B4020" s="1">
        <v>45928.04346064815</v>
      </c>
      <c r="C4020" s="2" t="s">
        <v>39</v>
      </c>
      <c r="D4020" t="s">
        <v>33</v>
      </c>
      <c r="E4020">
        <v>105221</v>
      </c>
      <c r="F4020" t="s">
        <v>14</v>
      </c>
      <c r="G4020" t="s">
        <v>27</v>
      </c>
      <c r="H4020" t="s">
        <v>16</v>
      </c>
      <c r="I4020">
        <v>0</v>
      </c>
      <c r="J4020">
        <v>0</v>
      </c>
      <c r="K4020">
        <v>0</v>
      </c>
    </row>
    <row r="4021" spans="1:11" x14ac:dyDescent="0.25">
      <c r="A4021" t="s">
        <v>4061</v>
      </c>
      <c r="B4021" s="1">
        <v>46105.633680555555</v>
      </c>
      <c r="C4021" s="2" t="s">
        <v>32</v>
      </c>
      <c r="D4021" t="s">
        <v>33</v>
      </c>
      <c r="E4021">
        <v>102021</v>
      </c>
      <c r="F4021" t="s">
        <v>14</v>
      </c>
      <c r="G4021" t="s">
        <v>24</v>
      </c>
      <c r="H4021" t="s">
        <v>16</v>
      </c>
      <c r="I4021">
        <v>0</v>
      </c>
      <c r="J4021">
        <v>0</v>
      </c>
      <c r="K4021">
        <v>0</v>
      </c>
    </row>
    <row r="4022" spans="1:11" x14ac:dyDescent="0.25">
      <c r="A4022" t="s">
        <v>4062</v>
      </c>
      <c r="B4022" s="1">
        <v>45991.37605324074</v>
      </c>
      <c r="C4022" s="2" t="s">
        <v>18</v>
      </c>
      <c r="D4022" t="s">
        <v>45</v>
      </c>
      <c r="E4022">
        <v>63029</v>
      </c>
      <c r="F4022" t="s">
        <v>99</v>
      </c>
      <c r="G4022" t="s">
        <v>51</v>
      </c>
      <c r="H4022" t="s">
        <v>71</v>
      </c>
      <c r="I4022">
        <v>630.29</v>
      </c>
      <c r="J4022">
        <v>0</v>
      </c>
      <c r="K4022">
        <v>630.29</v>
      </c>
    </row>
    <row r="4023" spans="1:11" x14ac:dyDescent="0.25">
      <c r="A4023" t="s">
        <v>4063</v>
      </c>
      <c r="B4023" s="1">
        <v>46037.080671296295</v>
      </c>
      <c r="C4023" s="2" t="s">
        <v>41</v>
      </c>
      <c r="D4023" t="s">
        <v>45</v>
      </c>
      <c r="E4023">
        <v>47155</v>
      </c>
      <c r="F4023" t="s">
        <v>14</v>
      </c>
      <c r="G4023" t="s">
        <v>20</v>
      </c>
      <c r="H4023" t="s">
        <v>59</v>
      </c>
      <c r="I4023">
        <v>471.55</v>
      </c>
      <c r="J4023">
        <v>0</v>
      </c>
      <c r="K4023">
        <v>471.55</v>
      </c>
    </row>
    <row r="4024" spans="1:11" x14ac:dyDescent="0.25">
      <c r="A4024" t="s">
        <v>4064</v>
      </c>
      <c r="B4024" s="1">
        <v>46047.865694444445</v>
      </c>
      <c r="C4024" s="2" t="s">
        <v>39</v>
      </c>
      <c r="D4024" t="s">
        <v>13</v>
      </c>
      <c r="E4024">
        <v>18000</v>
      </c>
      <c r="F4024" t="s">
        <v>14</v>
      </c>
      <c r="G4024" t="s">
        <v>24</v>
      </c>
      <c r="H4024" t="s">
        <v>16</v>
      </c>
      <c r="I4024">
        <v>333</v>
      </c>
      <c r="J4024">
        <v>133.19999999999999</v>
      </c>
      <c r="K4024">
        <v>199.8</v>
      </c>
    </row>
    <row r="4025" spans="1:11" x14ac:dyDescent="0.25">
      <c r="A4025" t="s">
        <v>4065</v>
      </c>
      <c r="B4025" s="1">
        <v>45875.07949074074</v>
      </c>
      <c r="C4025" s="2" t="s">
        <v>29</v>
      </c>
      <c r="D4025" t="s">
        <v>13</v>
      </c>
      <c r="E4025">
        <v>22500</v>
      </c>
      <c r="F4025" t="s">
        <v>50</v>
      </c>
      <c r="G4025" t="s">
        <v>27</v>
      </c>
      <c r="H4025" t="s">
        <v>16</v>
      </c>
      <c r="I4025">
        <v>416.25</v>
      </c>
      <c r="J4025">
        <v>166.5</v>
      </c>
      <c r="K4025">
        <v>249.75</v>
      </c>
    </row>
    <row r="4026" spans="1:11" x14ac:dyDescent="0.25">
      <c r="A4026" t="s">
        <v>4066</v>
      </c>
      <c r="B4026" s="1">
        <v>45991.835081018522</v>
      </c>
      <c r="C4026" s="2" t="s">
        <v>26</v>
      </c>
      <c r="D4026" t="s">
        <v>13</v>
      </c>
      <c r="E4026">
        <v>118000</v>
      </c>
      <c r="F4026" t="s">
        <v>14</v>
      </c>
      <c r="G4026" t="s">
        <v>30</v>
      </c>
      <c r="H4026" t="s">
        <v>16</v>
      </c>
      <c r="I4026">
        <v>2183</v>
      </c>
      <c r="J4026">
        <v>873.2</v>
      </c>
      <c r="K4026">
        <v>1309.8</v>
      </c>
    </row>
    <row r="4027" spans="1:11" x14ac:dyDescent="0.25">
      <c r="A4027" t="s">
        <v>4067</v>
      </c>
      <c r="B4027" s="1">
        <v>45788.632488425923</v>
      </c>
      <c r="C4027" s="2" t="s">
        <v>32</v>
      </c>
      <c r="D4027" t="s">
        <v>45</v>
      </c>
      <c r="E4027">
        <v>20525</v>
      </c>
      <c r="F4027" t="s">
        <v>14</v>
      </c>
      <c r="G4027" t="s">
        <v>27</v>
      </c>
      <c r="H4027" t="s">
        <v>178</v>
      </c>
      <c r="I4027">
        <v>205.25</v>
      </c>
      <c r="J4027">
        <v>0</v>
      </c>
      <c r="K4027">
        <v>205.25</v>
      </c>
    </row>
    <row r="4028" spans="1:11" x14ac:dyDescent="0.25">
      <c r="A4028" t="s">
        <v>4068</v>
      </c>
      <c r="B4028" s="1">
        <v>46054.125717592593</v>
      </c>
      <c r="C4028" s="2" t="s">
        <v>41</v>
      </c>
      <c r="D4028" t="s">
        <v>45</v>
      </c>
      <c r="E4028">
        <v>97746</v>
      </c>
      <c r="F4028" t="s">
        <v>14</v>
      </c>
      <c r="G4028" t="s">
        <v>15</v>
      </c>
      <c r="H4028" t="s">
        <v>178</v>
      </c>
      <c r="I4028">
        <v>977.46</v>
      </c>
      <c r="J4028">
        <v>0</v>
      </c>
      <c r="K4028">
        <v>977.46</v>
      </c>
    </row>
    <row r="4029" spans="1:11" x14ac:dyDescent="0.25">
      <c r="A4029" t="s">
        <v>4069</v>
      </c>
      <c r="B4029" s="1">
        <v>45909.487881944442</v>
      </c>
      <c r="C4029" s="2" t="s">
        <v>29</v>
      </c>
      <c r="D4029" t="s">
        <v>23</v>
      </c>
      <c r="E4029">
        <v>2811</v>
      </c>
      <c r="F4029" t="s">
        <v>14</v>
      </c>
      <c r="G4029" t="s">
        <v>51</v>
      </c>
      <c r="H4029" t="s">
        <v>16</v>
      </c>
      <c r="I4029">
        <v>0</v>
      </c>
      <c r="J4029">
        <v>0</v>
      </c>
      <c r="K4029">
        <v>0</v>
      </c>
    </row>
    <row r="4030" spans="1:11" x14ac:dyDescent="0.25">
      <c r="A4030" t="s">
        <v>4070</v>
      </c>
      <c r="B4030" s="1">
        <v>45980.167557870373</v>
      </c>
      <c r="C4030" s="2" t="s">
        <v>32</v>
      </c>
      <c r="D4030" t="s">
        <v>13</v>
      </c>
      <c r="E4030">
        <v>188000</v>
      </c>
      <c r="F4030" t="s">
        <v>14</v>
      </c>
      <c r="G4030" t="s">
        <v>51</v>
      </c>
      <c r="H4030" t="s">
        <v>16</v>
      </c>
      <c r="I4030">
        <v>3478</v>
      </c>
      <c r="J4030">
        <v>1391.2</v>
      </c>
      <c r="K4030">
        <v>2086.8000000000002</v>
      </c>
    </row>
    <row r="4031" spans="1:11" x14ac:dyDescent="0.25">
      <c r="A4031" t="s">
        <v>4071</v>
      </c>
      <c r="B4031" s="1">
        <v>45904.168391203704</v>
      </c>
      <c r="C4031" s="2" t="s">
        <v>32</v>
      </c>
      <c r="D4031" t="s">
        <v>19</v>
      </c>
      <c r="E4031">
        <v>107338</v>
      </c>
      <c r="F4031" t="s">
        <v>14</v>
      </c>
      <c r="G4031" t="s">
        <v>15</v>
      </c>
      <c r="H4031" t="s">
        <v>16</v>
      </c>
      <c r="I4031">
        <v>5</v>
      </c>
      <c r="J4031">
        <v>0</v>
      </c>
      <c r="K4031">
        <v>5</v>
      </c>
    </row>
    <row r="4032" spans="1:11" x14ac:dyDescent="0.25">
      <c r="A4032" t="s">
        <v>4072</v>
      </c>
      <c r="B4032" s="1">
        <v>45830.625254629631</v>
      </c>
      <c r="C4032" s="2" t="s">
        <v>22</v>
      </c>
      <c r="D4032" t="s">
        <v>23</v>
      </c>
      <c r="E4032">
        <v>1082</v>
      </c>
      <c r="F4032" t="s">
        <v>50</v>
      </c>
      <c r="G4032" t="s">
        <v>30</v>
      </c>
      <c r="H4032" t="s">
        <v>16</v>
      </c>
      <c r="I4032">
        <v>0</v>
      </c>
      <c r="J4032">
        <v>0</v>
      </c>
      <c r="K4032">
        <v>0</v>
      </c>
    </row>
    <row r="4033" spans="1:11" x14ac:dyDescent="0.25">
      <c r="A4033" t="s">
        <v>4073</v>
      </c>
      <c r="B4033" s="1">
        <v>46096.704513888886</v>
      </c>
      <c r="C4033" s="2" t="s">
        <v>29</v>
      </c>
      <c r="D4033" t="s">
        <v>33</v>
      </c>
      <c r="E4033">
        <v>1055</v>
      </c>
      <c r="F4033" t="s">
        <v>14</v>
      </c>
      <c r="G4033" t="s">
        <v>51</v>
      </c>
      <c r="H4033" t="s">
        <v>16</v>
      </c>
      <c r="I4033">
        <v>0</v>
      </c>
      <c r="J4033">
        <v>0</v>
      </c>
      <c r="K4033">
        <v>0</v>
      </c>
    </row>
    <row r="4034" spans="1:11" x14ac:dyDescent="0.25">
      <c r="A4034" t="s">
        <v>4074</v>
      </c>
      <c r="B4034" s="1">
        <v>45868.259351851855</v>
      </c>
      <c r="C4034" s="2" t="s">
        <v>18</v>
      </c>
      <c r="D4034" t="s">
        <v>19</v>
      </c>
      <c r="E4034">
        <v>35469</v>
      </c>
      <c r="F4034" t="s">
        <v>14</v>
      </c>
      <c r="G4034" t="s">
        <v>24</v>
      </c>
      <c r="H4034" t="s">
        <v>16</v>
      </c>
      <c r="I4034">
        <v>5</v>
      </c>
      <c r="J4034">
        <v>0</v>
      </c>
      <c r="K4034">
        <v>5</v>
      </c>
    </row>
    <row r="4035" spans="1:11" x14ac:dyDescent="0.25">
      <c r="A4035" t="s">
        <v>4075</v>
      </c>
      <c r="B4035" s="1">
        <v>45998.986944444441</v>
      </c>
      <c r="C4035" s="2" t="s">
        <v>12</v>
      </c>
      <c r="D4035" t="s">
        <v>23</v>
      </c>
      <c r="E4035">
        <v>1670</v>
      </c>
      <c r="F4035" t="s">
        <v>14</v>
      </c>
      <c r="G4035" t="s">
        <v>58</v>
      </c>
      <c r="H4035" t="s">
        <v>16</v>
      </c>
      <c r="I4035">
        <v>0</v>
      </c>
      <c r="J4035">
        <v>0</v>
      </c>
      <c r="K4035">
        <v>0</v>
      </c>
    </row>
    <row r="4036" spans="1:11" x14ac:dyDescent="0.25">
      <c r="A4036" t="s">
        <v>4076</v>
      </c>
      <c r="B4036" s="1">
        <v>45864.102731481478</v>
      </c>
      <c r="C4036" s="2" t="s">
        <v>32</v>
      </c>
      <c r="D4036" t="s">
        <v>19</v>
      </c>
      <c r="E4036">
        <v>58203</v>
      </c>
      <c r="F4036" t="s">
        <v>14</v>
      </c>
      <c r="G4036" t="s">
        <v>34</v>
      </c>
      <c r="H4036" t="s">
        <v>16</v>
      </c>
      <c r="I4036">
        <v>5</v>
      </c>
      <c r="J4036">
        <v>0</v>
      </c>
      <c r="K4036">
        <v>5</v>
      </c>
    </row>
    <row r="4037" spans="1:11" x14ac:dyDescent="0.25">
      <c r="A4037" t="s">
        <v>4077</v>
      </c>
      <c r="B4037" s="1">
        <v>45804.576458333337</v>
      </c>
      <c r="C4037" s="2" t="s">
        <v>29</v>
      </c>
      <c r="D4037" t="s">
        <v>19</v>
      </c>
      <c r="E4037">
        <v>29031</v>
      </c>
      <c r="F4037" t="s">
        <v>14</v>
      </c>
      <c r="G4037" t="s">
        <v>15</v>
      </c>
      <c r="H4037" t="s">
        <v>16</v>
      </c>
      <c r="I4037">
        <v>5</v>
      </c>
      <c r="J4037">
        <v>0</v>
      </c>
      <c r="K4037">
        <v>5</v>
      </c>
    </row>
    <row r="4038" spans="1:11" x14ac:dyDescent="0.25">
      <c r="A4038" t="s">
        <v>4078</v>
      </c>
      <c r="B4038" s="1">
        <v>46049.495011574072</v>
      </c>
      <c r="C4038" s="2" t="s">
        <v>32</v>
      </c>
      <c r="D4038" t="s">
        <v>33</v>
      </c>
      <c r="E4038">
        <v>109321</v>
      </c>
      <c r="F4038" t="s">
        <v>14</v>
      </c>
      <c r="G4038" t="s">
        <v>20</v>
      </c>
      <c r="H4038" t="s">
        <v>16</v>
      </c>
      <c r="I4038">
        <v>0</v>
      </c>
      <c r="J4038">
        <v>0</v>
      </c>
      <c r="K4038">
        <v>0</v>
      </c>
    </row>
    <row r="4039" spans="1:11" x14ac:dyDescent="0.25">
      <c r="A4039" t="s">
        <v>4079</v>
      </c>
      <c r="B4039" s="1">
        <v>45967.497650462959</v>
      </c>
      <c r="C4039" s="2" t="s">
        <v>32</v>
      </c>
      <c r="D4039" t="s">
        <v>33</v>
      </c>
      <c r="E4039">
        <v>56491</v>
      </c>
      <c r="F4039" t="s">
        <v>14</v>
      </c>
      <c r="G4039" t="s">
        <v>20</v>
      </c>
      <c r="H4039" t="s">
        <v>16</v>
      </c>
      <c r="I4039">
        <v>0</v>
      </c>
      <c r="J4039">
        <v>0</v>
      </c>
      <c r="K4039">
        <v>0</v>
      </c>
    </row>
    <row r="4040" spans="1:11" x14ac:dyDescent="0.25">
      <c r="A4040" t="s">
        <v>4080</v>
      </c>
      <c r="B4040" s="1">
        <v>45800.266921296294</v>
      </c>
      <c r="C4040" s="2" t="s">
        <v>32</v>
      </c>
      <c r="D4040" t="s">
        <v>19</v>
      </c>
      <c r="E4040">
        <v>141052</v>
      </c>
      <c r="F4040" t="s">
        <v>14</v>
      </c>
      <c r="G4040" t="s">
        <v>34</v>
      </c>
      <c r="H4040" t="s">
        <v>16</v>
      </c>
      <c r="I4040">
        <v>5</v>
      </c>
      <c r="J4040">
        <v>0</v>
      </c>
      <c r="K4040">
        <v>5</v>
      </c>
    </row>
    <row r="4041" spans="1:11" x14ac:dyDescent="0.25">
      <c r="A4041" t="s">
        <v>4081</v>
      </c>
      <c r="B4041" s="1">
        <v>45923.976585648146</v>
      </c>
      <c r="C4041" s="2" t="s">
        <v>39</v>
      </c>
      <c r="D4041" t="s">
        <v>23</v>
      </c>
      <c r="E4041">
        <v>2506</v>
      </c>
      <c r="F4041" t="s">
        <v>50</v>
      </c>
      <c r="G4041" t="s">
        <v>20</v>
      </c>
      <c r="H4041" t="s">
        <v>16</v>
      </c>
      <c r="I4041">
        <v>0</v>
      </c>
      <c r="J4041">
        <v>0</v>
      </c>
      <c r="K4041">
        <v>0</v>
      </c>
    </row>
    <row r="4042" spans="1:11" x14ac:dyDescent="0.25">
      <c r="A4042" t="s">
        <v>4082</v>
      </c>
      <c r="B4042" s="1">
        <v>45782.882789351854</v>
      </c>
      <c r="C4042" s="2" t="s">
        <v>12</v>
      </c>
      <c r="D4042" t="s">
        <v>45</v>
      </c>
      <c r="E4042">
        <v>47431</v>
      </c>
      <c r="F4042" t="s">
        <v>50</v>
      </c>
      <c r="G4042" t="s">
        <v>24</v>
      </c>
      <c r="H4042" t="s">
        <v>56</v>
      </c>
      <c r="I4042">
        <v>474.31</v>
      </c>
      <c r="J4042">
        <v>0</v>
      </c>
      <c r="K4042">
        <v>474.31</v>
      </c>
    </row>
    <row r="4043" spans="1:11" x14ac:dyDescent="0.25">
      <c r="A4043" t="s">
        <v>4083</v>
      </c>
      <c r="B4043" s="1">
        <v>45956.73028935185</v>
      </c>
      <c r="C4043" s="2" t="s">
        <v>26</v>
      </c>
      <c r="D4043" t="s">
        <v>13</v>
      </c>
      <c r="E4043">
        <v>92500</v>
      </c>
      <c r="F4043" t="s">
        <v>14</v>
      </c>
      <c r="G4043" t="s">
        <v>30</v>
      </c>
      <c r="H4043" t="s">
        <v>16</v>
      </c>
      <c r="I4043">
        <v>1711.25</v>
      </c>
      <c r="J4043">
        <v>684.5</v>
      </c>
      <c r="K4043">
        <v>1026.75</v>
      </c>
    </row>
    <row r="4044" spans="1:11" x14ac:dyDescent="0.25">
      <c r="A4044" t="s">
        <v>4084</v>
      </c>
      <c r="B4044" s="1">
        <v>46062.990856481483</v>
      </c>
      <c r="C4044" s="2" t="s">
        <v>32</v>
      </c>
      <c r="D4044" t="s">
        <v>13</v>
      </c>
      <c r="E4044">
        <v>14500</v>
      </c>
      <c r="F4044" t="s">
        <v>99</v>
      </c>
      <c r="G4044" t="s">
        <v>24</v>
      </c>
      <c r="H4044" t="s">
        <v>16</v>
      </c>
      <c r="I4044">
        <v>268.25</v>
      </c>
      <c r="J4044">
        <v>107.3</v>
      </c>
      <c r="K4044">
        <v>160.94999999999999</v>
      </c>
    </row>
    <row r="4045" spans="1:11" x14ac:dyDescent="0.25">
      <c r="A4045" t="s">
        <v>4085</v>
      </c>
      <c r="B4045" s="1">
        <v>46091.504328703704</v>
      </c>
      <c r="C4045" s="2" t="s">
        <v>32</v>
      </c>
      <c r="D4045" t="s">
        <v>23</v>
      </c>
      <c r="E4045">
        <v>1811</v>
      </c>
      <c r="F4045" t="s">
        <v>14</v>
      </c>
      <c r="G4045" t="s">
        <v>30</v>
      </c>
      <c r="H4045" t="s">
        <v>16</v>
      </c>
      <c r="I4045">
        <v>0</v>
      </c>
      <c r="J4045">
        <v>0</v>
      </c>
      <c r="K4045">
        <v>0</v>
      </c>
    </row>
    <row r="4046" spans="1:11" x14ac:dyDescent="0.25">
      <c r="A4046" t="s">
        <v>4086</v>
      </c>
      <c r="B4046" s="1">
        <v>45904.77202546296</v>
      </c>
      <c r="C4046" s="2" t="s">
        <v>29</v>
      </c>
      <c r="D4046" t="s">
        <v>13</v>
      </c>
      <c r="E4046">
        <v>107500</v>
      </c>
      <c r="F4046" t="s">
        <v>50</v>
      </c>
      <c r="G4046" t="s">
        <v>51</v>
      </c>
      <c r="H4046" t="s">
        <v>16</v>
      </c>
      <c r="I4046">
        <v>1988.75</v>
      </c>
      <c r="J4046">
        <v>795.5</v>
      </c>
      <c r="K4046">
        <v>1193.25</v>
      </c>
    </row>
    <row r="4047" spans="1:11" x14ac:dyDescent="0.25">
      <c r="A4047" t="s">
        <v>4087</v>
      </c>
      <c r="B4047" s="1">
        <v>46082.147615740738</v>
      </c>
      <c r="C4047" s="2" t="s">
        <v>41</v>
      </c>
      <c r="D4047" t="s">
        <v>19</v>
      </c>
      <c r="E4047">
        <v>109503</v>
      </c>
      <c r="F4047" t="s">
        <v>14</v>
      </c>
      <c r="G4047" t="s">
        <v>58</v>
      </c>
      <c r="H4047" t="s">
        <v>16</v>
      </c>
      <c r="I4047">
        <v>5</v>
      </c>
      <c r="J4047">
        <v>0</v>
      </c>
      <c r="K4047">
        <v>5</v>
      </c>
    </row>
    <row r="4048" spans="1:11" x14ac:dyDescent="0.25">
      <c r="A4048" t="s">
        <v>4088</v>
      </c>
      <c r="B4048" s="1">
        <v>45821.189386574071</v>
      </c>
      <c r="C4048" s="2" t="s">
        <v>26</v>
      </c>
      <c r="D4048" t="s">
        <v>13</v>
      </c>
      <c r="E4048">
        <v>82000</v>
      </c>
      <c r="F4048" t="s">
        <v>14</v>
      </c>
      <c r="G4048" t="s">
        <v>20</v>
      </c>
      <c r="H4048" t="s">
        <v>16</v>
      </c>
      <c r="I4048">
        <v>1517</v>
      </c>
      <c r="J4048">
        <v>606.79999999999995</v>
      </c>
      <c r="K4048">
        <v>910.2</v>
      </c>
    </row>
    <row r="4049" spans="1:11" x14ac:dyDescent="0.25">
      <c r="A4049" t="s">
        <v>4089</v>
      </c>
      <c r="B4049" s="1">
        <v>45817.529039351852</v>
      </c>
      <c r="C4049" s="2" t="s">
        <v>18</v>
      </c>
      <c r="D4049" t="s">
        <v>45</v>
      </c>
      <c r="E4049">
        <v>19424</v>
      </c>
      <c r="F4049" t="s">
        <v>14</v>
      </c>
      <c r="G4049" t="s">
        <v>20</v>
      </c>
      <c r="H4049" t="s">
        <v>59</v>
      </c>
      <c r="I4049">
        <v>194.24</v>
      </c>
      <c r="J4049">
        <v>0</v>
      </c>
      <c r="K4049">
        <v>194.24</v>
      </c>
    </row>
    <row r="4050" spans="1:11" x14ac:dyDescent="0.25">
      <c r="A4050" t="s">
        <v>4090</v>
      </c>
      <c r="B4050" s="1">
        <v>45860.327349537038</v>
      </c>
      <c r="C4050" s="2" t="s">
        <v>29</v>
      </c>
      <c r="D4050" t="s">
        <v>19</v>
      </c>
      <c r="E4050">
        <v>146095</v>
      </c>
      <c r="F4050" t="s">
        <v>99</v>
      </c>
      <c r="G4050" t="s">
        <v>58</v>
      </c>
      <c r="H4050" t="s">
        <v>16</v>
      </c>
      <c r="I4050">
        <v>5</v>
      </c>
      <c r="J4050">
        <v>0</v>
      </c>
      <c r="K4050">
        <v>5</v>
      </c>
    </row>
    <row r="4051" spans="1:11" x14ac:dyDescent="0.25">
      <c r="A4051" t="s">
        <v>4091</v>
      </c>
      <c r="B4051" s="1">
        <v>46054.680625000001</v>
      </c>
      <c r="C4051" s="2" t="s">
        <v>26</v>
      </c>
      <c r="D4051" t="s">
        <v>45</v>
      </c>
      <c r="E4051">
        <v>142024</v>
      </c>
      <c r="F4051" t="s">
        <v>14</v>
      </c>
      <c r="G4051" t="s">
        <v>51</v>
      </c>
      <c r="H4051" t="s">
        <v>59</v>
      </c>
      <c r="I4051">
        <v>1420.24</v>
      </c>
      <c r="J4051">
        <v>0</v>
      </c>
      <c r="K4051">
        <v>1420.24</v>
      </c>
    </row>
    <row r="4052" spans="1:11" x14ac:dyDescent="0.25">
      <c r="A4052" t="s">
        <v>4092</v>
      </c>
      <c r="B4052" s="1">
        <v>45968.08520833333</v>
      </c>
      <c r="C4052" s="2" t="s">
        <v>12</v>
      </c>
      <c r="D4052" t="s">
        <v>13</v>
      </c>
      <c r="E4052">
        <v>22000</v>
      </c>
      <c r="F4052" t="s">
        <v>14</v>
      </c>
      <c r="G4052" t="s">
        <v>84</v>
      </c>
      <c r="H4052" t="s">
        <v>16</v>
      </c>
      <c r="I4052">
        <v>407</v>
      </c>
      <c r="J4052">
        <v>162.80000000000001</v>
      </c>
      <c r="K4052">
        <v>244.2</v>
      </c>
    </row>
    <row r="4053" spans="1:11" x14ac:dyDescent="0.25">
      <c r="A4053" t="s">
        <v>4093</v>
      </c>
      <c r="B4053" s="1">
        <v>45970.303796296299</v>
      </c>
      <c r="C4053" s="2" t="s">
        <v>32</v>
      </c>
      <c r="D4053" t="s">
        <v>33</v>
      </c>
      <c r="E4053">
        <v>63086</v>
      </c>
      <c r="F4053" t="s">
        <v>50</v>
      </c>
      <c r="G4053" t="s">
        <v>34</v>
      </c>
      <c r="H4053" t="s">
        <v>16</v>
      </c>
      <c r="I4053">
        <v>0</v>
      </c>
      <c r="J4053">
        <v>0</v>
      </c>
      <c r="K4053">
        <v>0</v>
      </c>
    </row>
    <row r="4054" spans="1:11" x14ac:dyDescent="0.25">
      <c r="A4054" t="s">
        <v>4094</v>
      </c>
      <c r="B4054" s="1">
        <v>45975.099120370367</v>
      </c>
      <c r="C4054" s="2" t="s">
        <v>26</v>
      </c>
      <c r="D4054" t="s">
        <v>19</v>
      </c>
      <c r="E4054">
        <v>74779</v>
      </c>
      <c r="F4054" t="s">
        <v>14</v>
      </c>
      <c r="G4054" t="s">
        <v>34</v>
      </c>
      <c r="H4054" t="s">
        <v>16</v>
      </c>
      <c r="I4054">
        <v>5</v>
      </c>
      <c r="J4054">
        <v>0</v>
      </c>
      <c r="K4054">
        <v>5</v>
      </c>
    </row>
    <row r="4055" spans="1:11" x14ac:dyDescent="0.25">
      <c r="A4055" t="s">
        <v>4095</v>
      </c>
      <c r="B4055" s="1">
        <v>46108.596504629626</v>
      </c>
      <c r="C4055" s="2" t="s">
        <v>32</v>
      </c>
      <c r="D4055" t="s">
        <v>13</v>
      </c>
      <c r="E4055">
        <v>23000</v>
      </c>
      <c r="F4055" t="s">
        <v>14</v>
      </c>
      <c r="G4055" t="s">
        <v>51</v>
      </c>
      <c r="H4055" t="s">
        <v>16</v>
      </c>
      <c r="I4055">
        <v>425.5</v>
      </c>
      <c r="J4055">
        <v>170.2</v>
      </c>
      <c r="K4055">
        <v>255.3</v>
      </c>
    </row>
    <row r="4056" spans="1:11" x14ac:dyDescent="0.25">
      <c r="A4056" t="s">
        <v>4096</v>
      </c>
      <c r="B4056" s="1">
        <v>45988.795277777775</v>
      </c>
      <c r="C4056" s="2" t="s">
        <v>18</v>
      </c>
      <c r="D4056" t="s">
        <v>33</v>
      </c>
      <c r="E4056">
        <v>126951</v>
      </c>
      <c r="F4056" t="s">
        <v>14</v>
      </c>
      <c r="G4056" t="s">
        <v>15</v>
      </c>
      <c r="H4056" t="s">
        <v>16</v>
      </c>
      <c r="I4056">
        <v>0</v>
      </c>
      <c r="J4056">
        <v>0</v>
      </c>
      <c r="K4056">
        <v>0</v>
      </c>
    </row>
    <row r="4057" spans="1:11" x14ac:dyDescent="0.25">
      <c r="A4057" t="s">
        <v>4097</v>
      </c>
      <c r="B4057" s="1">
        <v>45802.965370370373</v>
      </c>
      <c r="C4057" s="2" t="s">
        <v>26</v>
      </c>
      <c r="D4057" t="s">
        <v>45</v>
      </c>
      <c r="E4057">
        <v>66545</v>
      </c>
      <c r="F4057" t="s">
        <v>14</v>
      </c>
      <c r="G4057" t="s">
        <v>51</v>
      </c>
      <c r="H4057" t="s">
        <v>56</v>
      </c>
      <c r="I4057">
        <v>665.45</v>
      </c>
      <c r="J4057">
        <v>0</v>
      </c>
      <c r="K4057">
        <v>665.45</v>
      </c>
    </row>
    <row r="4058" spans="1:11" x14ac:dyDescent="0.25">
      <c r="A4058" t="s">
        <v>4098</v>
      </c>
      <c r="B4058" s="1">
        <v>45796.361111111109</v>
      </c>
      <c r="C4058" s="2" t="s">
        <v>41</v>
      </c>
      <c r="D4058" t="s">
        <v>19</v>
      </c>
      <c r="E4058">
        <v>5972</v>
      </c>
      <c r="F4058" t="s">
        <v>14</v>
      </c>
      <c r="G4058" t="s">
        <v>20</v>
      </c>
      <c r="H4058" t="s">
        <v>16</v>
      </c>
      <c r="I4058">
        <v>5</v>
      </c>
      <c r="J4058">
        <v>0</v>
      </c>
      <c r="K4058">
        <v>5</v>
      </c>
    </row>
    <row r="4059" spans="1:11" x14ac:dyDescent="0.25">
      <c r="A4059" t="s">
        <v>4099</v>
      </c>
      <c r="B4059" s="1">
        <v>45862.605729166666</v>
      </c>
      <c r="C4059" s="2" t="s">
        <v>26</v>
      </c>
      <c r="D4059" t="s">
        <v>23</v>
      </c>
      <c r="E4059">
        <v>2464</v>
      </c>
      <c r="F4059" t="s">
        <v>99</v>
      </c>
      <c r="G4059" t="s">
        <v>34</v>
      </c>
      <c r="H4059" t="s">
        <v>16</v>
      </c>
      <c r="I4059">
        <v>0</v>
      </c>
      <c r="J4059">
        <v>0</v>
      </c>
      <c r="K4059">
        <v>0</v>
      </c>
    </row>
    <row r="4060" spans="1:11" x14ac:dyDescent="0.25">
      <c r="A4060" t="s">
        <v>4100</v>
      </c>
      <c r="B4060" s="1">
        <v>45933.553854166668</v>
      </c>
      <c r="C4060" s="2" t="s">
        <v>22</v>
      </c>
      <c r="D4060" t="s">
        <v>23</v>
      </c>
      <c r="E4060">
        <v>785</v>
      </c>
      <c r="F4060" t="s">
        <v>14</v>
      </c>
      <c r="G4060" t="s">
        <v>58</v>
      </c>
      <c r="H4060" t="s">
        <v>16</v>
      </c>
      <c r="I4060">
        <v>0</v>
      </c>
      <c r="J4060">
        <v>0</v>
      </c>
      <c r="K4060">
        <v>0</v>
      </c>
    </row>
    <row r="4061" spans="1:11" x14ac:dyDescent="0.25">
      <c r="A4061" t="s">
        <v>4101</v>
      </c>
      <c r="B4061" s="1">
        <v>45896.283067129632</v>
      </c>
      <c r="C4061" s="2" t="s">
        <v>29</v>
      </c>
      <c r="D4061" t="s">
        <v>23</v>
      </c>
      <c r="E4061">
        <v>2724</v>
      </c>
      <c r="F4061" t="s">
        <v>50</v>
      </c>
      <c r="G4061" t="s">
        <v>34</v>
      </c>
      <c r="H4061" t="s">
        <v>16</v>
      </c>
      <c r="I4061">
        <v>0</v>
      </c>
      <c r="J4061">
        <v>0</v>
      </c>
      <c r="K4061">
        <v>0</v>
      </c>
    </row>
    <row r="4062" spans="1:11" x14ac:dyDescent="0.25">
      <c r="A4062" t="s">
        <v>4102</v>
      </c>
      <c r="B4062" s="1">
        <v>45873.344004629631</v>
      </c>
      <c r="C4062" s="2" t="s">
        <v>12</v>
      </c>
      <c r="D4062" t="s">
        <v>23</v>
      </c>
      <c r="E4062">
        <v>1949</v>
      </c>
      <c r="F4062" t="s">
        <v>14</v>
      </c>
      <c r="G4062" t="s">
        <v>34</v>
      </c>
      <c r="H4062" t="s">
        <v>16</v>
      </c>
      <c r="I4062">
        <v>0</v>
      </c>
      <c r="J4062">
        <v>0</v>
      </c>
      <c r="K4062">
        <v>0</v>
      </c>
    </row>
    <row r="4063" spans="1:11" x14ac:dyDescent="0.25">
      <c r="A4063" t="s">
        <v>4103</v>
      </c>
      <c r="B4063" s="1">
        <v>46038.62096064815</v>
      </c>
      <c r="C4063" s="2" t="s">
        <v>29</v>
      </c>
      <c r="D4063" t="s">
        <v>33</v>
      </c>
      <c r="E4063">
        <v>21431</v>
      </c>
      <c r="F4063" t="s">
        <v>14</v>
      </c>
      <c r="G4063" t="s">
        <v>27</v>
      </c>
      <c r="H4063" t="s">
        <v>16</v>
      </c>
      <c r="I4063">
        <v>0</v>
      </c>
      <c r="J4063">
        <v>0</v>
      </c>
      <c r="K4063">
        <v>0</v>
      </c>
    </row>
    <row r="4064" spans="1:11" x14ac:dyDescent="0.25">
      <c r="A4064" t="s">
        <v>4104</v>
      </c>
      <c r="B4064" s="1">
        <v>45806.944895833331</v>
      </c>
      <c r="C4064" s="2" t="s">
        <v>12</v>
      </c>
      <c r="D4064" t="s">
        <v>13</v>
      </c>
      <c r="E4064">
        <v>210000</v>
      </c>
      <c r="F4064" t="s">
        <v>14</v>
      </c>
      <c r="G4064" t="s">
        <v>84</v>
      </c>
      <c r="H4064" t="s">
        <v>16</v>
      </c>
      <c r="I4064">
        <v>3885</v>
      </c>
      <c r="J4064">
        <v>1554</v>
      </c>
      <c r="K4064">
        <v>2331</v>
      </c>
    </row>
    <row r="4065" spans="1:11" x14ac:dyDescent="0.25">
      <c r="A4065" t="s">
        <v>4105</v>
      </c>
      <c r="B4065" s="1">
        <v>45843.066342592596</v>
      </c>
      <c r="C4065" s="2" t="s">
        <v>39</v>
      </c>
      <c r="D4065" t="s">
        <v>19</v>
      </c>
      <c r="E4065">
        <v>116353</v>
      </c>
      <c r="F4065" t="s">
        <v>14</v>
      </c>
      <c r="G4065" t="s">
        <v>15</v>
      </c>
      <c r="H4065" t="s">
        <v>16</v>
      </c>
      <c r="I4065">
        <v>5</v>
      </c>
      <c r="J4065">
        <v>0</v>
      </c>
      <c r="K4065">
        <v>5</v>
      </c>
    </row>
    <row r="4066" spans="1:11" x14ac:dyDescent="0.25">
      <c r="A4066" t="s">
        <v>4106</v>
      </c>
      <c r="B4066" s="1">
        <v>45826.826018518521</v>
      </c>
      <c r="C4066" s="2" t="s">
        <v>22</v>
      </c>
      <c r="D4066" t="s">
        <v>45</v>
      </c>
      <c r="E4066">
        <v>60711</v>
      </c>
      <c r="F4066" t="s">
        <v>14</v>
      </c>
      <c r="G4066" t="s">
        <v>58</v>
      </c>
      <c r="H4066" t="s">
        <v>59</v>
      </c>
      <c r="I4066">
        <v>607.11</v>
      </c>
      <c r="J4066">
        <v>0</v>
      </c>
      <c r="K4066">
        <v>607.11</v>
      </c>
    </row>
    <row r="4067" spans="1:11" x14ac:dyDescent="0.25">
      <c r="A4067" t="s">
        <v>4107</v>
      </c>
      <c r="B4067" s="1">
        <v>45828.182800925926</v>
      </c>
      <c r="C4067" s="2" t="s">
        <v>32</v>
      </c>
      <c r="D4067" t="s">
        <v>45</v>
      </c>
      <c r="E4067">
        <v>29010</v>
      </c>
      <c r="F4067" t="s">
        <v>14</v>
      </c>
      <c r="G4067" t="s">
        <v>27</v>
      </c>
      <c r="H4067" t="s">
        <v>56</v>
      </c>
      <c r="I4067">
        <v>290.10000000000002</v>
      </c>
      <c r="J4067">
        <v>0</v>
      </c>
      <c r="K4067">
        <v>290.10000000000002</v>
      </c>
    </row>
    <row r="4068" spans="1:11" x14ac:dyDescent="0.25">
      <c r="A4068" t="s">
        <v>4108</v>
      </c>
      <c r="B4068" s="1">
        <v>46025.186284722222</v>
      </c>
      <c r="C4068" s="2" t="s">
        <v>22</v>
      </c>
      <c r="D4068" t="s">
        <v>19</v>
      </c>
      <c r="E4068">
        <v>73631</v>
      </c>
      <c r="F4068" t="s">
        <v>14</v>
      </c>
      <c r="G4068" t="s">
        <v>20</v>
      </c>
      <c r="H4068" t="s">
        <v>16</v>
      </c>
      <c r="I4068">
        <v>5</v>
      </c>
      <c r="J4068">
        <v>0</v>
      </c>
      <c r="K4068">
        <v>5</v>
      </c>
    </row>
    <row r="4069" spans="1:11" x14ac:dyDescent="0.25">
      <c r="A4069" t="s">
        <v>4109</v>
      </c>
      <c r="B4069" s="1">
        <v>45780.804201388892</v>
      </c>
      <c r="C4069" s="2" t="s">
        <v>26</v>
      </c>
      <c r="D4069" t="s">
        <v>13</v>
      </c>
      <c r="E4069">
        <v>132000</v>
      </c>
      <c r="F4069" t="s">
        <v>14</v>
      </c>
      <c r="G4069" t="s">
        <v>24</v>
      </c>
      <c r="H4069" t="s">
        <v>16</v>
      </c>
      <c r="I4069">
        <v>2442</v>
      </c>
      <c r="J4069">
        <v>976.8</v>
      </c>
      <c r="K4069">
        <v>1465.2</v>
      </c>
    </row>
    <row r="4070" spans="1:11" x14ac:dyDescent="0.25">
      <c r="A4070" t="s">
        <v>4110</v>
      </c>
      <c r="B4070" s="1">
        <v>46076.301006944443</v>
      </c>
      <c r="C4070" s="2" t="s">
        <v>18</v>
      </c>
      <c r="D4070" t="s">
        <v>45</v>
      </c>
      <c r="E4070">
        <v>21917</v>
      </c>
      <c r="F4070" t="s">
        <v>14</v>
      </c>
      <c r="G4070" t="s">
        <v>34</v>
      </c>
      <c r="H4070" t="s">
        <v>59</v>
      </c>
      <c r="I4070">
        <v>219.17</v>
      </c>
      <c r="J4070">
        <v>0</v>
      </c>
      <c r="K4070">
        <v>219.17</v>
      </c>
    </row>
    <row r="4071" spans="1:11" x14ac:dyDescent="0.25">
      <c r="A4071" t="s">
        <v>4111</v>
      </c>
      <c r="B4071" s="1">
        <v>45907.789722222224</v>
      </c>
      <c r="C4071" s="2" t="s">
        <v>26</v>
      </c>
      <c r="D4071" t="s">
        <v>19</v>
      </c>
      <c r="E4071">
        <v>112274</v>
      </c>
      <c r="F4071" t="s">
        <v>14</v>
      </c>
      <c r="G4071" t="s">
        <v>27</v>
      </c>
      <c r="H4071" t="s">
        <v>16</v>
      </c>
      <c r="I4071">
        <v>5</v>
      </c>
      <c r="J4071">
        <v>0</v>
      </c>
      <c r="K4071">
        <v>5</v>
      </c>
    </row>
    <row r="4072" spans="1:11" x14ac:dyDescent="0.25">
      <c r="A4072" t="s">
        <v>4112</v>
      </c>
      <c r="B4072" s="1">
        <v>46076.178148148145</v>
      </c>
      <c r="C4072" s="2" t="s">
        <v>22</v>
      </c>
      <c r="D4072" t="s">
        <v>13</v>
      </c>
      <c r="E4072">
        <v>34000</v>
      </c>
      <c r="F4072" t="s">
        <v>14</v>
      </c>
      <c r="G4072" t="s">
        <v>20</v>
      </c>
      <c r="H4072" t="s">
        <v>16</v>
      </c>
      <c r="I4072">
        <v>629</v>
      </c>
      <c r="J4072">
        <v>251.6</v>
      </c>
      <c r="K4072">
        <v>377.4</v>
      </c>
    </row>
    <row r="4073" spans="1:11" x14ac:dyDescent="0.25">
      <c r="A4073" t="s">
        <v>4113</v>
      </c>
      <c r="B4073" s="1">
        <v>45862.123923611114</v>
      </c>
      <c r="C4073" s="2" t="s">
        <v>41</v>
      </c>
      <c r="D4073" t="s">
        <v>13</v>
      </c>
      <c r="E4073">
        <v>51500</v>
      </c>
      <c r="F4073" t="s">
        <v>14</v>
      </c>
      <c r="G4073" t="s">
        <v>27</v>
      </c>
      <c r="H4073" t="s">
        <v>16</v>
      </c>
      <c r="I4073">
        <v>952.75</v>
      </c>
      <c r="J4073">
        <v>381.1</v>
      </c>
      <c r="K4073">
        <v>571.65</v>
      </c>
    </row>
    <row r="4074" spans="1:11" x14ac:dyDescent="0.25">
      <c r="A4074" t="s">
        <v>4114</v>
      </c>
      <c r="B4074" s="1">
        <v>45804.848541666666</v>
      </c>
      <c r="C4074" s="2" t="s">
        <v>39</v>
      </c>
      <c r="D4074" t="s">
        <v>13</v>
      </c>
      <c r="E4074">
        <v>163500</v>
      </c>
      <c r="F4074" t="s">
        <v>14</v>
      </c>
      <c r="G4074" t="s">
        <v>27</v>
      </c>
      <c r="H4074" t="s">
        <v>16</v>
      </c>
      <c r="I4074">
        <v>3024.75</v>
      </c>
      <c r="J4074">
        <v>1209.9000000000001</v>
      </c>
      <c r="K4074">
        <v>1814.85</v>
      </c>
    </row>
    <row r="4075" spans="1:11" x14ac:dyDescent="0.25">
      <c r="A4075" t="s">
        <v>4115</v>
      </c>
      <c r="B4075" s="1">
        <v>45801.353587962964</v>
      </c>
      <c r="C4075" s="2" t="s">
        <v>32</v>
      </c>
      <c r="D4075" t="s">
        <v>45</v>
      </c>
      <c r="E4075">
        <v>119213</v>
      </c>
      <c r="F4075" t="s">
        <v>14</v>
      </c>
      <c r="G4075" t="s">
        <v>84</v>
      </c>
      <c r="H4075" t="s">
        <v>59</v>
      </c>
      <c r="I4075">
        <v>1192.1300000000001</v>
      </c>
      <c r="J4075">
        <v>0</v>
      </c>
      <c r="K4075">
        <v>1192.1300000000001</v>
      </c>
    </row>
    <row r="4076" spans="1:11" x14ac:dyDescent="0.25">
      <c r="A4076" t="s">
        <v>4116</v>
      </c>
      <c r="B4076" s="1">
        <v>46030.894270833334</v>
      </c>
      <c r="C4076" s="2" t="s">
        <v>32</v>
      </c>
      <c r="D4076" t="s">
        <v>19</v>
      </c>
      <c r="E4076">
        <v>144165</v>
      </c>
      <c r="F4076" t="s">
        <v>99</v>
      </c>
      <c r="G4076" t="s">
        <v>15</v>
      </c>
      <c r="H4076" t="s">
        <v>16</v>
      </c>
      <c r="I4076">
        <v>5</v>
      </c>
      <c r="J4076">
        <v>0</v>
      </c>
      <c r="K4076">
        <v>5</v>
      </c>
    </row>
    <row r="4077" spans="1:11" x14ac:dyDescent="0.25">
      <c r="A4077" t="s">
        <v>4117</v>
      </c>
      <c r="B4077" s="1">
        <v>46004.698877314811</v>
      </c>
      <c r="C4077" s="2" t="s">
        <v>29</v>
      </c>
      <c r="D4077" t="s">
        <v>13</v>
      </c>
      <c r="E4077">
        <v>242000</v>
      </c>
      <c r="F4077" t="s">
        <v>50</v>
      </c>
      <c r="G4077" t="s">
        <v>20</v>
      </c>
      <c r="H4077" t="s">
        <v>16</v>
      </c>
      <c r="I4077">
        <v>4477</v>
      </c>
      <c r="J4077">
        <v>1790.8</v>
      </c>
      <c r="K4077">
        <v>2686.2</v>
      </c>
    </row>
    <row r="4078" spans="1:11" x14ac:dyDescent="0.25">
      <c r="A4078" t="s">
        <v>4118</v>
      </c>
      <c r="B4078" s="1">
        <v>46044.411400462966</v>
      </c>
      <c r="C4078" s="2" t="s">
        <v>32</v>
      </c>
      <c r="D4078" t="s">
        <v>19</v>
      </c>
      <c r="E4078">
        <v>59333</v>
      </c>
      <c r="F4078" t="s">
        <v>14</v>
      </c>
      <c r="G4078" t="s">
        <v>24</v>
      </c>
      <c r="H4078" t="s">
        <v>16</v>
      </c>
      <c r="I4078">
        <v>5</v>
      </c>
      <c r="J4078">
        <v>0</v>
      </c>
      <c r="K4078">
        <v>5</v>
      </c>
    </row>
    <row r="4079" spans="1:11" x14ac:dyDescent="0.25">
      <c r="A4079" t="s">
        <v>4119</v>
      </c>
      <c r="B4079" s="1">
        <v>46114.900451388887</v>
      </c>
      <c r="C4079" s="2" t="s">
        <v>29</v>
      </c>
      <c r="D4079" t="s">
        <v>13</v>
      </c>
      <c r="E4079">
        <v>14500</v>
      </c>
      <c r="F4079" t="s">
        <v>14</v>
      </c>
      <c r="G4079" t="s">
        <v>51</v>
      </c>
      <c r="H4079" t="s">
        <v>16</v>
      </c>
      <c r="I4079">
        <v>268.25</v>
      </c>
      <c r="J4079">
        <v>107.3</v>
      </c>
      <c r="K4079">
        <v>160.94999999999999</v>
      </c>
    </row>
    <row r="4080" spans="1:11" x14ac:dyDescent="0.25">
      <c r="A4080" t="s">
        <v>4120</v>
      </c>
      <c r="B4080" s="1">
        <v>45988.276782407411</v>
      </c>
      <c r="C4080" s="2" t="s">
        <v>12</v>
      </c>
      <c r="D4080" t="s">
        <v>33</v>
      </c>
      <c r="E4080">
        <v>66413</v>
      </c>
      <c r="F4080" t="s">
        <v>14</v>
      </c>
      <c r="G4080" t="s">
        <v>34</v>
      </c>
      <c r="H4080" t="s">
        <v>16</v>
      </c>
      <c r="I4080">
        <v>0</v>
      </c>
      <c r="J4080">
        <v>0</v>
      </c>
      <c r="K4080">
        <v>0</v>
      </c>
    </row>
    <row r="4081" spans="1:11" x14ac:dyDescent="0.25">
      <c r="A4081" t="s">
        <v>4121</v>
      </c>
      <c r="B4081" s="1">
        <v>46058.213622685187</v>
      </c>
      <c r="C4081" s="2" t="s">
        <v>41</v>
      </c>
      <c r="D4081" t="s">
        <v>13</v>
      </c>
      <c r="E4081">
        <v>73000</v>
      </c>
      <c r="F4081" t="s">
        <v>50</v>
      </c>
      <c r="G4081" t="s">
        <v>30</v>
      </c>
      <c r="H4081" t="s">
        <v>16</v>
      </c>
      <c r="I4081">
        <v>1350.5</v>
      </c>
      <c r="J4081">
        <v>540.20000000000005</v>
      </c>
      <c r="K4081">
        <v>810.3</v>
      </c>
    </row>
    <row r="4082" spans="1:11" x14ac:dyDescent="0.25">
      <c r="A4082" t="s">
        <v>4122</v>
      </c>
      <c r="B4082" s="1">
        <v>45803.961412037039</v>
      </c>
      <c r="C4082" s="2" t="s">
        <v>26</v>
      </c>
      <c r="D4082" t="s">
        <v>13</v>
      </c>
      <c r="E4082">
        <v>197000</v>
      </c>
      <c r="F4082" t="s">
        <v>99</v>
      </c>
      <c r="G4082" t="s">
        <v>20</v>
      </c>
      <c r="H4082" t="s">
        <v>16</v>
      </c>
      <c r="I4082">
        <v>3644.5</v>
      </c>
      <c r="J4082">
        <v>1457.8</v>
      </c>
      <c r="K4082">
        <v>2186.6999999999998</v>
      </c>
    </row>
    <row r="4083" spans="1:11" x14ac:dyDescent="0.25">
      <c r="A4083" t="s">
        <v>4123</v>
      </c>
      <c r="B4083" s="1">
        <v>45849.481562499997</v>
      </c>
      <c r="C4083" s="2" t="s">
        <v>26</v>
      </c>
      <c r="D4083" t="s">
        <v>23</v>
      </c>
      <c r="E4083">
        <v>3431</v>
      </c>
      <c r="F4083" t="s">
        <v>14</v>
      </c>
      <c r="G4083" t="s">
        <v>34</v>
      </c>
      <c r="H4083" t="s">
        <v>16</v>
      </c>
      <c r="I4083">
        <v>0</v>
      </c>
      <c r="J4083">
        <v>0</v>
      </c>
      <c r="K4083">
        <v>0</v>
      </c>
    </row>
    <row r="4084" spans="1:11" x14ac:dyDescent="0.25">
      <c r="A4084" t="s">
        <v>4124</v>
      </c>
      <c r="B4084" s="1">
        <v>46022.408842592595</v>
      </c>
      <c r="C4084" s="2" t="s">
        <v>41</v>
      </c>
      <c r="D4084" t="s">
        <v>33</v>
      </c>
      <c r="E4084">
        <v>46630</v>
      </c>
      <c r="F4084" t="s">
        <v>14</v>
      </c>
      <c r="G4084" t="s">
        <v>51</v>
      </c>
      <c r="H4084" t="s">
        <v>16</v>
      </c>
      <c r="I4084">
        <v>0</v>
      </c>
      <c r="J4084">
        <v>0</v>
      </c>
      <c r="K4084">
        <v>0</v>
      </c>
    </row>
    <row r="4085" spans="1:11" x14ac:dyDescent="0.25">
      <c r="A4085" t="s">
        <v>4125</v>
      </c>
      <c r="B4085" s="1">
        <v>46044.678333333337</v>
      </c>
      <c r="C4085" s="2" t="s">
        <v>32</v>
      </c>
      <c r="D4085" t="s">
        <v>13</v>
      </c>
      <c r="E4085">
        <v>96500</v>
      </c>
      <c r="F4085" t="s">
        <v>50</v>
      </c>
      <c r="G4085" t="s">
        <v>58</v>
      </c>
      <c r="H4085" t="s">
        <v>16</v>
      </c>
      <c r="I4085">
        <v>1785.25</v>
      </c>
      <c r="J4085">
        <v>714.1</v>
      </c>
      <c r="K4085">
        <v>1071.1500000000001</v>
      </c>
    </row>
    <row r="4086" spans="1:11" x14ac:dyDescent="0.25">
      <c r="A4086" t="s">
        <v>4126</v>
      </c>
      <c r="B4086" s="1">
        <v>46070.985891203702</v>
      </c>
      <c r="C4086" s="2" t="s">
        <v>41</v>
      </c>
      <c r="D4086" t="s">
        <v>23</v>
      </c>
      <c r="E4086">
        <v>3028</v>
      </c>
      <c r="F4086" t="s">
        <v>14</v>
      </c>
      <c r="G4086" t="s">
        <v>24</v>
      </c>
      <c r="H4086" t="s">
        <v>16</v>
      </c>
      <c r="I4086">
        <v>0</v>
      </c>
      <c r="J4086">
        <v>0</v>
      </c>
      <c r="K4086">
        <v>0</v>
      </c>
    </row>
    <row r="4087" spans="1:11" x14ac:dyDescent="0.25">
      <c r="A4087" t="s">
        <v>4127</v>
      </c>
      <c r="B4087" s="1">
        <v>45944.714629629627</v>
      </c>
      <c r="C4087" s="2" t="s">
        <v>22</v>
      </c>
      <c r="D4087" t="s">
        <v>23</v>
      </c>
      <c r="E4087">
        <v>686</v>
      </c>
      <c r="F4087" t="s">
        <v>14</v>
      </c>
      <c r="G4087" t="s">
        <v>15</v>
      </c>
      <c r="H4087" t="s">
        <v>16</v>
      </c>
      <c r="I4087">
        <v>0</v>
      </c>
      <c r="J4087">
        <v>0</v>
      </c>
      <c r="K4087">
        <v>0</v>
      </c>
    </row>
    <row r="4088" spans="1:11" x14ac:dyDescent="0.25">
      <c r="A4088" t="s">
        <v>4128</v>
      </c>
      <c r="B4088" s="1">
        <v>46044.224189814813</v>
      </c>
      <c r="C4088" s="2" t="s">
        <v>26</v>
      </c>
      <c r="D4088" t="s">
        <v>19</v>
      </c>
      <c r="E4088">
        <v>69450</v>
      </c>
      <c r="F4088" t="s">
        <v>50</v>
      </c>
      <c r="G4088" t="s">
        <v>15</v>
      </c>
      <c r="H4088" t="s">
        <v>16</v>
      </c>
      <c r="I4088">
        <v>5</v>
      </c>
      <c r="J4088">
        <v>0</v>
      </c>
      <c r="K4088">
        <v>5</v>
      </c>
    </row>
    <row r="4089" spans="1:11" x14ac:dyDescent="0.25">
      <c r="A4089" t="s">
        <v>4129</v>
      </c>
      <c r="B4089" s="1">
        <v>46020.513877314814</v>
      </c>
      <c r="C4089" s="2" t="s">
        <v>32</v>
      </c>
      <c r="D4089" t="s">
        <v>23</v>
      </c>
      <c r="E4089">
        <v>3187</v>
      </c>
      <c r="F4089" t="s">
        <v>14</v>
      </c>
      <c r="G4089" t="s">
        <v>34</v>
      </c>
      <c r="H4089" t="s">
        <v>16</v>
      </c>
      <c r="I4089">
        <v>0</v>
      </c>
      <c r="J4089">
        <v>0</v>
      </c>
      <c r="K4089">
        <v>0</v>
      </c>
    </row>
    <row r="4090" spans="1:11" x14ac:dyDescent="0.25">
      <c r="A4090" t="s">
        <v>4130</v>
      </c>
      <c r="B4090" s="1">
        <v>45783.428530092591</v>
      </c>
      <c r="C4090" s="2" t="s">
        <v>22</v>
      </c>
      <c r="D4090" t="s">
        <v>23</v>
      </c>
      <c r="E4090">
        <v>2779</v>
      </c>
      <c r="F4090" t="s">
        <v>14</v>
      </c>
      <c r="G4090" t="s">
        <v>20</v>
      </c>
      <c r="H4090" t="s">
        <v>16</v>
      </c>
      <c r="I4090">
        <v>0</v>
      </c>
      <c r="J4090">
        <v>0</v>
      </c>
      <c r="K4090">
        <v>0</v>
      </c>
    </row>
    <row r="4091" spans="1:11" x14ac:dyDescent="0.25">
      <c r="A4091" t="s">
        <v>4131</v>
      </c>
      <c r="B4091" s="1">
        <v>45904.890462962961</v>
      </c>
      <c r="C4091" s="2" t="s">
        <v>32</v>
      </c>
      <c r="D4091" t="s">
        <v>45</v>
      </c>
      <c r="E4091">
        <v>127235</v>
      </c>
      <c r="F4091" t="s">
        <v>14</v>
      </c>
      <c r="G4091" t="s">
        <v>20</v>
      </c>
      <c r="H4091" t="s">
        <v>46</v>
      </c>
      <c r="I4091">
        <v>1272.3499999999999</v>
      </c>
      <c r="J4091">
        <v>0</v>
      </c>
      <c r="K4091">
        <v>1272.3499999999999</v>
      </c>
    </row>
    <row r="4092" spans="1:11" x14ac:dyDescent="0.25">
      <c r="A4092" t="s">
        <v>4132</v>
      </c>
      <c r="B4092" s="1">
        <v>45951.914629629631</v>
      </c>
      <c r="C4092" s="2" t="s">
        <v>39</v>
      </c>
      <c r="D4092" t="s">
        <v>45</v>
      </c>
      <c r="E4092">
        <v>81984</v>
      </c>
      <c r="F4092" t="s">
        <v>14</v>
      </c>
      <c r="G4092" t="s">
        <v>30</v>
      </c>
      <c r="H4092" t="s">
        <v>56</v>
      </c>
      <c r="I4092">
        <v>819.84</v>
      </c>
      <c r="J4092">
        <v>0</v>
      </c>
      <c r="K4092">
        <v>819.84</v>
      </c>
    </row>
    <row r="4093" spans="1:11" x14ac:dyDescent="0.25">
      <c r="A4093" t="s">
        <v>4133</v>
      </c>
      <c r="B4093" s="1">
        <v>46066.540439814817</v>
      </c>
      <c r="C4093" s="2" t="s">
        <v>12</v>
      </c>
      <c r="D4093" t="s">
        <v>45</v>
      </c>
      <c r="E4093">
        <v>84153</v>
      </c>
      <c r="F4093" t="s">
        <v>14</v>
      </c>
      <c r="G4093" t="s">
        <v>20</v>
      </c>
      <c r="H4093" t="s">
        <v>56</v>
      </c>
      <c r="I4093">
        <v>841.53</v>
      </c>
      <c r="J4093">
        <v>0</v>
      </c>
      <c r="K4093">
        <v>841.53</v>
      </c>
    </row>
    <row r="4094" spans="1:11" x14ac:dyDescent="0.25">
      <c r="A4094" t="s">
        <v>4134</v>
      </c>
      <c r="B4094" s="1">
        <v>46064.456435185188</v>
      </c>
      <c r="C4094" s="2" t="s">
        <v>32</v>
      </c>
      <c r="D4094" t="s">
        <v>13</v>
      </c>
      <c r="E4094">
        <v>126000</v>
      </c>
      <c r="F4094" t="s">
        <v>14</v>
      </c>
      <c r="G4094" t="s">
        <v>24</v>
      </c>
      <c r="H4094" t="s">
        <v>16</v>
      </c>
      <c r="I4094">
        <v>2331</v>
      </c>
      <c r="J4094">
        <v>932.4</v>
      </c>
      <c r="K4094">
        <v>1398.6</v>
      </c>
    </row>
    <row r="4095" spans="1:11" x14ac:dyDescent="0.25">
      <c r="A4095" t="s">
        <v>4135</v>
      </c>
      <c r="B4095" s="1">
        <v>45866.138506944444</v>
      </c>
      <c r="C4095" s="2" t="s">
        <v>26</v>
      </c>
      <c r="D4095" t="s">
        <v>33</v>
      </c>
      <c r="E4095">
        <v>77292</v>
      </c>
      <c r="F4095" t="s">
        <v>14</v>
      </c>
      <c r="G4095" t="s">
        <v>34</v>
      </c>
      <c r="H4095" t="s">
        <v>16</v>
      </c>
      <c r="I4095">
        <v>0</v>
      </c>
      <c r="J4095">
        <v>0</v>
      </c>
      <c r="K4095">
        <v>0</v>
      </c>
    </row>
    <row r="4096" spans="1:11" x14ac:dyDescent="0.25">
      <c r="A4096" t="s">
        <v>4136</v>
      </c>
      <c r="B4096" s="1">
        <v>45803.368888888886</v>
      </c>
      <c r="C4096" s="2" t="s">
        <v>18</v>
      </c>
      <c r="D4096" t="s">
        <v>13</v>
      </c>
      <c r="E4096">
        <v>181000</v>
      </c>
      <c r="F4096" t="s">
        <v>50</v>
      </c>
      <c r="G4096" t="s">
        <v>27</v>
      </c>
      <c r="H4096" t="s">
        <v>16</v>
      </c>
      <c r="I4096">
        <v>3348.5</v>
      </c>
      <c r="J4096">
        <v>1339.4</v>
      </c>
      <c r="K4096">
        <v>2009.1</v>
      </c>
    </row>
    <row r="4097" spans="1:11" x14ac:dyDescent="0.25">
      <c r="A4097" t="s">
        <v>4137</v>
      </c>
      <c r="B4097" s="1">
        <v>45965.238206018519</v>
      </c>
      <c r="C4097" s="2" t="s">
        <v>22</v>
      </c>
      <c r="D4097" t="s">
        <v>19</v>
      </c>
      <c r="E4097">
        <v>89718</v>
      </c>
      <c r="F4097" t="s">
        <v>50</v>
      </c>
      <c r="G4097" t="s">
        <v>15</v>
      </c>
      <c r="H4097" t="s">
        <v>16</v>
      </c>
      <c r="I4097">
        <v>5</v>
      </c>
      <c r="J4097">
        <v>0</v>
      </c>
      <c r="K4097">
        <v>5</v>
      </c>
    </row>
    <row r="4098" spans="1:11" x14ac:dyDescent="0.25">
      <c r="A4098" t="s">
        <v>4138</v>
      </c>
      <c r="B4098" s="1">
        <v>46058.656875000001</v>
      </c>
      <c r="C4098" s="2" t="s">
        <v>26</v>
      </c>
      <c r="D4098" t="s">
        <v>23</v>
      </c>
      <c r="E4098">
        <v>4985</v>
      </c>
      <c r="F4098" t="s">
        <v>14</v>
      </c>
      <c r="G4098" t="s">
        <v>84</v>
      </c>
      <c r="H4098" t="s">
        <v>16</v>
      </c>
      <c r="I4098">
        <v>0</v>
      </c>
      <c r="J4098">
        <v>0</v>
      </c>
      <c r="K4098">
        <v>0</v>
      </c>
    </row>
    <row r="4099" spans="1:11" x14ac:dyDescent="0.25">
      <c r="A4099" t="s">
        <v>4139</v>
      </c>
      <c r="B4099" s="1">
        <v>46021.672881944447</v>
      </c>
      <c r="C4099" s="2" t="s">
        <v>26</v>
      </c>
      <c r="D4099" t="s">
        <v>33</v>
      </c>
      <c r="E4099">
        <v>132460</v>
      </c>
      <c r="F4099" t="s">
        <v>14</v>
      </c>
      <c r="G4099" t="s">
        <v>24</v>
      </c>
      <c r="H4099" t="s">
        <v>16</v>
      </c>
      <c r="I4099">
        <v>0</v>
      </c>
      <c r="J4099">
        <v>0</v>
      </c>
      <c r="K4099">
        <v>0</v>
      </c>
    </row>
    <row r="4100" spans="1:11" x14ac:dyDescent="0.25">
      <c r="A4100" t="s">
        <v>4140</v>
      </c>
      <c r="B4100" s="1">
        <v>45869.292974537035</v>
      </c>
      <c r="C4100" s="2" t="s">
        <v>12</v>
      </c>
      <c r="D4100" t="s">
        <v>13</v>
      </c>
      <c r="E4100">
        <v>169500</v>
      </c>
      <c r="F4100" t="s">
        <v>14</v>
      </c>
      <c r="G4100" t="s">
        <v>34</v>
      </c>
      <c r="H4100" t="s">
        <v>16</v>
      </c>
      <c r="I4100">
        <v>3135.75</v>
      </c>
      <c r="J4100">
        <v>1254.3</v>
      </c>
      <c r="K4100">
        <v>1881.45</v>
      </c>
    </row>
    <row r="4101" spans="1:11" x14ac:dyDescent="0.25">
      <c r="A4101" t="s">
        <v>4141</v>
      </c>
      <c r="B4101" s="1">
        <v>46089.667430555557</v>
      </c>
      <c r="C4101" s="2" t="s">
        <v>41</v>
      </c>
      <c r="D4101" t="s">
        <v>13</v>
      </c>
      <c r="E4101">
        <v>112500</v>
      </c>
      <c r="F4101" t="s">
        <v>14</v>
      </c>
      <c r="G4101" t="s">
        <v>34</v>
      </c>
      <c r="H4101" t="s">
        <v>16</v>
      </c>
      <c r="I4101">
        <v>2081.25</v>
      </c>
      <c r="J4101">
        <v>832.5</v>
      </c>
      <c r="K4101">
        <v>1248.75</v>
      </c>
    </row>
    <row r="4102" spans="1:11" x14ac:dyDescent="0.25">
      <c r="A4102" t="s">
        <v>4142</v>
      </c>
      <c r="B4102" s="1">
        <v>45784.59103009259</v>
      </c>
      <c r="C4102" s="2" t="s">
        <v>26</v>
      </c>
      <c r="D4102" t="s">
        <v>23</v>
      </c>
      <c r="E4102">
        <v>2293</v>
      </c>
      <c r="F4102" t="s">
        <v>14</v>
      </c>
      <c r="G4102" t="s">
        <v>27</v>
      </c>
      <c r="H4102" t="s">
        <v>16</v>
      </c>
      <c r="I4102">
        <v>0</v>
      </c>
      <c r="J4102">
        <v>0</v>
      </c>
      <c r="K4102">
        <v>0</v>
      </c>
    </row>
    <row r="4103" spans="1:11" x14ac:dyDescent="0.25">
      <c r="A4103" t="s">
        <v>4143</v>
      </c>
      <c r="B4103" s="1">
        <v>45920.315844907411</v>
      </c>
      <c r="C4103" s="2" t="s">
        <v>26</v>
      </c>
      <c r="D4103" t="s">
        <v>33</v>
      </c>
      <c r="E4103">
        <v>37842</v>
      </c>
      <c r="F4103" t="s">
        <v>14</v>
      </c>
      <c r="G4103" t="s">
        <v>34</v>
      </c>
      <c r="H4103" t="s">
        <v>16</v>
      </c>
      <c r="I4103">
        <v>0</v>
      </c>
      <c r="J4103">
        <v>0</v>
      </c>
      <c r="K4103">
        <v>0</v>
      </c>
    </row>
    <row r="4104" spans="1:11" x14ac:dyDescent="0.25">
      <c r="A4104" t="s">
        <v>4144</v>
      </c>
      <c r="B4104" s="1">
        <v>45910.407384259262</v>
      </c>
      <c r="C4104" s="2" t="s">
        <v>22</v>
      </c>
      <c r="D4104" t="s">
        <v>33</v>
      </c>
      <c r="E4104">
        <v>103340</v>
      </c>
      <c r="F4104" t="s">
        <v>99</v>
      </c>
      <c r="G4104" t="s">
        <v>34</v>
      </c>
      <c r="H4104" t="s">
        <v>16</v>
      </c>
      <c r="I4104">
        <v>0</v>
      </c>
      <c r="J4104">
        <v>0</v>
      </c>
      <c r="K4104">
        <v>0</v>
      </c>
    </row>
    <row r="4105" spans="1:11" x14ac:dyDescent="0.25">
      <c r="A4105" t="s">
        <v>4145</v>
      </c>
      <c r="B4105" s="1">
        <v>46008.915266203701</v>
      </c>
      <c r="C4105" s="2" t="s">
        <v>29</v>
      </c>
      <c r="D4105" t="s">
        <v>19</v>
      </c>
      <c r="E4105">
        <v>38326</v>
      </c>
      <c r="F4105" t="s">
        <v>14</v>
      </c>
      <c r="G4105" t="s">
        <v>20</v>
      </c>
      <c r="H4105" t="s">
        <v>16</v>
      </c>
      <c r="I4105">
        <v>5</v>
      </c>
      <c r="J4105">
        <v>0</v>
      </c>
      <c r="K4105">
        <v>5</v>
      </c>
    </row>
    <row r="4106" spans="1:11" x14ac:dyDescent="0.25">
      <c r="A4106" t="s">
        <v>4146</v>
      </c>
      <c r="B4106" s="1">
        <v>45950.302719907406</v>
      </c>
      <c r="C4106" s="2" t="s">
        <v>22</v>
      </c>
      <c r="D4106" t="s">
        <v>19</v>
      </c>
      <c r="E4106">
        <v>135325</v>
      </c>
      <c r="F4106" t="s">
        <v>14</v>
      </c>
      <c r="G4106" t="s">
        <v>20</v>
      </c>
      <c r="H4106" t="s">
        <v>16</v>
      </c>
      <c r="I4106">
        <v>5</v>
      </c>
      <c r="J4106">
        <v>0</v>
      </c>
      <c r="K4106">
        <v>5</v>
      </c>
    </row>
    <row r="4107" spans="1:11" x14ac:dyDescent="0.25">
      <c r="A4107" t="s">
        <v>4147</v>
      </c>
      <c r="B4107" s="1">
        <v>45886.538530092592</v>
      </c>
      <c r="C4107" s="2" t="s">
        <v>32</v>
      </c>
      <c r="D4107" t="s">
        <v>23</v>
      </c>
      <c r="E4107">
        <v>3237</v>
      </c>
      <c r="F4107" t="s">
        <v>14</v>
      </c>
      <c r="G4107" t="s">
        <v>30</v>
      </c>
      <c r="H4107" t="s">
        <v>16</v>
      </c>
      <c r="I4107">
        <v>0</v>
      </c>
      <c r="J4107">
        <v>0</v>
      </c>
      <c r="K4107">
        <v>0</v>
      </c>
    </row>
    <row r="4108" spans="1:11" x14ac:dyDescent="0.25">
      <c r="A4108" t="s">
        <v>4148</v>
      </c>
      <c r="B4108" s="1">
        <v>46011.325972222221</v>
      </c>
      <c r="C4108" s="2" t="s">
        <v>39</v>
      </c>
      <c r="D4108" t="s">
        <v>19</v>
      </c>
      <c r="E4108">
        <v>71144</v>
      </c>
      <c r="F4108" t="s">
        <v>14</v>
      </c>
      <c r="G4108" t="s">
        <v>58</v>
      </c>
      <c r="H4108" t="s">
        <v>16</v>
      </c>
      <c r="I4108">
        <v>5</v>
      </c>
      <c r="J4108">
        <v>0</v>
      </c>
      <c r="K4108">
        <v>5</v>
      </c>
    </row>
    <row r="4109" spans="1:11" x14ac:dyDescent="0.25">
      <c r="A4109" t="s">
        <v>4149</v>
      </c>
      <c r="B4109" s="1">
        <v>46014.70140046296</v>
      </c>
      <c r="C4109" s="2" t="s">
        <v>41</v>
      </c>
      <c r="D4109" t="s">
        <v>45</v>
      </c>
      <c r="E4109">
        <v>109610</v>
      </c>
      <c r="F4109" t="s">
        <v>50</v>
      </c>
      <c r="G4109" t="s">
        <v>27</v>
      </c>
      <c r="H4109" t="s">
        <v>56</v>
      </c>
      <c r="I4109">
        <v>1096.0999999999999</v>
      </c>
      <c r="J4109">
        <v>0</v>
      </c>
      <c r="K4109">
        <v>1096.0999999999999</v>
      </c>
    </row>
    <row r="4110" spans="1:11" x14ac:dyDescent="0.25">
      <c r="A4110" t="s">
        <v>4150</v>
      </c>
      <c r="B4110" s="1">
        <v>45790.950381944444</v>
      </c>
      <c r="C4110" s="2" t="s">
        <v>12</v>
      </c>
      <c r="D4110" t="s">
        <v>33</v>
      </c>
      <c r="E4110">
        <v>123689</v>
      </c>
      <c r="F4110" t="s">
        <v>14</v>
      </c>
      <c r="G4110" t="s">
        <v>20</v>
      </c>
      <c r="H4110" t="s">
        <v>16</v>
      </c>
      <c r="I4110">
        <v>0</v>
      </c>
      <c r="J4110">
        <v>0</v>
      </c>
      <c r="K4110">
        <v>0</v>
      </c>
    </row>
    <row r="4111" spans="1:11" x14ac:dyDescent="0.25">
      <c r="A4111" t="s">
        <v>4151</v>
      </c>
      <c r="B4111" s="1">
        <v>45883.180150462962</v>
      </c>
      <c r="C4111" s="2" t="s">
        <v>29</v>
      </c>
      <c r="D4111" t="s">
        <v>45</v>
      </c>
      <c r="E4111">
        <v>133113</v>
      </c>
      <c r="F4111" t="s">
        <v>14</v>
      </c>
      <c r="G4111" t="s">
        <v>34</v>
      </c>
      <c r="H4111" t="s">
        <v>56</v>
      </c>
      <c r="I4111">
        <v>1331.13</v>
      </c>
      <c r="J4111">
        <v>0</v>
      </c>
      <c r="K4111">
        <v>1331.13</v>
      </c>
    </row>
    <row r="4112" spans="1:11" x14ac:dyDescent="0.25">
      <c r="A4112" t="s">
        <v>4152</v>
      </c>
      <c r="B4112" s="1">
        <v>46126.354780092595</v>
      </c>
      <c r="C4112" s="2" t="s">
        <v>32</v>
      </c>
      <c r="D4112" t="s">
        <v>33</v>
      </c>
      <c r="E4112">
        <v>127761</v>
      </c>
      <c r="F4112" t="s">
        <v>14</v>
      </c>
      <c r="G4112" t="s">
        <v>15</v>
      </c>
      <c r="H4112" t="s">
        <v>16</v>
      </c>
      <c r="I4112">
        <v>0</v>
      </c>
      <c r="J4112">
        <v>0</v>
      </c>
      <c r="K4112">
        <v>0</v>
      </c>
    </row>
    <row r="4113" spans="1:11" x14ac:dyDescent="0.25">
      <c r="A4113" t="s">
        <v>4153</v>
      </c>
      <c r="B4113" s="1">
        <v>45782.618125000001</v>
      </c>
      <c r="C4113" s="2" t="s">
        <v>29</v>
      </c>
      <c r="D4113" t="s">
        <v>45</v>
      </c>
      <c r="E4113">
        <v>126480</v>
      </c>
      <c r="F4113" t="s">
        <v>50</v>
      </c>
      <c r="G4113" t="s">
        <v>34</v>
      </c>
      <c r="H4113" t="s">
        <v>56</v>
      </c>
      <c r="I4113">
        <v>1264.8</v>
      </c>
      <c r="J4113">
        <v>0</v>
      </c>
      <c r="K4113">
        <v>1264.8</v>
      </c>
    </row>
    <row r="4114" spans="1:11" x14ac:dyDescent="0.25">
      <c r="A4114" t="s">
        <v>4154</v>
      </c>
      <c r="B4114" s="1">
        <v>46128.897905092592</v>
      </c>
      <c r="C4114" s="2" t="s">
        <v>41</v>
      </c>
      <c r="D4114" t="s">
        <v>33</v>
      </c>
      <c r="E4114">
        <v>80317</v>
      </c>
      <c r="F4114" t="s">
        <v>14</v>
      </c>
      <c r="G4114" t="s">
        <v>34</v>
      </c>
      <c r="H4114" t="s">
        <v>16</v>
      </c>
      <c r="I4114">
        <v>0</v>
      </c>
      <c r="J4114">
        <v>0</v>
      </c>
      <c r="K4114">
        <v>0</v>
      </c>
    </row>
    <row r="4115" spans="1:11" x14ac:dyDescent="0.25">
      <c r="A4115" t="s">
        <v>4155</v>
      </c>
      <c r="B4115" s="1">
        <v>46044.602326388886</v>
      </c>
      <c r="C4115" s="2" t="s">
        <v>29</v>
      </c>
      <c r="D4115" t="s">
        <v>33</v>
      </c>
      <c r="E4115">
        <v>147852</v>
      </c>
      <c r="F4115" t="s">
        <v>14</v>
      </c>
      <c r="G4115" t="s">
        <v>34</v>
      </c>
      <c r="H4115" t="s">
        <v>16</v>
      </c>
      <c r="I4115">
        <v>0</v>
      </c>
      <c r="J4115">
        <v>0</v>
      </c>
      <c r="K4115">
        <v>0</v>
      </c>
    </row>
    <row r="4116" spans="1:11" x14ac:dyDescent="0.25">
      <c r="A4116" t="s">
        <v>4156</v>
      </c>
      <c r="B4116" s="1">
        <v>46033.972349537034</v>
      </c>
      <c r="C4116" s="2" t="s">
        <v>41</v>
      </c>
      <c r="D4116" t="s">
        <v>13</v>
      </c>
      <c r="E4116">
        <v>220500</v>
      </c>
      <c r="F4116" t="s">
        <v>14</v>
      </c>
      <c r="G4116" t="s">
        <v>84</v>
      </c>
      <c r="H4116" t="s">
        <v>16</v>
      </c>
      <c r="I4116">
        <v>4079.25</v>
      </c>
      <c r="J4116">
        <v>1631.7</v>
      </c>
      <c r="K4116">
        <v>2447.5500000000002</v>
      </c>
    </row>
    <row r="4117" spans="1:11" x14ac:dyDescent="0.25">
      <c r="A4117" t="s">
        <v>4157</v>
      </c>
      <c r="B4117" s="1">
        <v>46054.482997685183</v>
      </c>
      <c r="C4117" s="2" t="s">
        <v>41</v>
      </c>
      <c r="D4117" t="s">
        <v>33</v>
      </c>
      <c r="E4117">
        <v>3100</v>
      </c>
      <c r="F4117" t="s">
        <v>14</v>
      </c>
      <c r="G4117" t="s">
        <v>27</v>
      </c>
      <c r="H4117" t="s">
        <v>16</v>
      </c>
      <c r="I4117">
        <v>0</v>
      </c>
      <c r="J4117">
        <v>0</v>
      </c>
      <c r="K4117">
        <v>0</v>
      </c>
    </row>
    <row r="4118" spans="1:11" x14ac:dyDescent="0.25">
      <c r="A4118" t="s">
        <v>4158</v>
      </c>
      <c r="B4118" s="1">
        <v>45950.277557870373</v>
      </c>
      <c r="C4118" s="2" t="s">
        <v>12</v>
      </c>
      <c r="D4118" t="s">
        <v>33</v>
      </c>
      <c r="E4118">
        <v>68281</v>
      </c>
      <c r="F4118" t="s">
        <v>50</v>
      </c>
      <c r="G4118" t="s">
        <v>27</v>
      </c>
      <c r="H4118" t="s">
        <v>16</v>
      </c>
      <c r="I4118">
        <v>0</v>
      </c>
      <c r="J4118">
        <v>0</v>
      </c>
      <c r="K4118">
        <v>0</v>
      </c>
    </row>
    <row r="4119" spans="1:11" x14ac:dyDescent="0.25">
      <c r="A4119" t="s">
        <v>4159</v>
      </c>
      <c r="B4119" s="1">
        <v>45856.997719907406</v>
      </c>
      <c r="C4119" s="2" t="s">
        <v>26</v>
      </c>
      <c r="D4119" t="s">
        <v>33</v>
      </c>
      <c r="E4119">
        <v>19083</v>
      </c>
      <c r="F4119" t="s">
        <v>99</v>
      </c>
      <c r="G4119" t="s">
        <v>58</v>
      </c>
      <c r="H4119" t="s">
        <v>16</v>
      </c>
      <c r="I4119">
        <v>0</v>
      </c>
      <c r="J4119">
        <v>0</v>
      </c>
      <c r="K4119">
        <v>0</v>
      </c>
    </row>
    <row r="4120" spans="1:11" x14ac:dyDescent="0.25">
      <c r="A4120" t="s">
        <v>4160</v>
      </c>
      <c r="B4120" s="1">
        <v>46062.498912037037</v>
      </c>
      <c r="C4120" s="2" t="s">
        <v>26</v>
      </c>
      <c r="D4120" t="s">
        <v>33</v>
      </c>
      <c r="E4120">
        <v>103696</v>
      </c>
      <c r="F4120" t="s">
        <v>14</v>
      </c>
      <c r="G4120" t="s">
        <v>34</v>
      </c>
      <c r="H4120" t="s">
        <v>16</v>
      </c>
      <c r="I4120">
        <v>0</v>
      </c>
      <c r="J4120">
        <v>0</v>
      </c>
      <c r="K4120">
        <v>0</v>
      </c>
    </row>
    <row r="4121" spans="1:11" x14ac:dyDescent="0.25">
      <c r="A4121" t="s">
        <v>4161</v>
      </c>
      <c r="B4121" s="1">
        <v>45841.656053240738</v>
      </c>
      <c r="C4121" s="2" t="s">
        <v>41</v>
      </c>
      <c r="D4121" t="s">
        <v>13</v>
      </c>
      <c r="E4121">
        <v>142500</v>
      </c>
      <c r="F4121" t="s">
        <v>14</v>
      </c>
      <c r="G4121" t="s">
        <v>20</v>
      </c>
      <c r="H4121" t="s">
        <v>16</v>
      </c>
      <c r="I4121">
        <v>2636.25</v>
      </c>
      <c r="J4121">
        <v>1054.5</v>
      </c>
      <c r="K4121">
        <v>1581.75</v>
      </c>
    </row>
    <row r="4122" spans="1:11" x14ac:dyDescent="0.25">
      <c r="A4122" t="s">
        <v>4162</v>
      </c>
      <c r="B4122" s="1">
        <v>45871.665717592594</v>
      </c>
      <c r="C4122" s="2" t="s">
        <v>18</v>
      </c>
      <c r="D4122" t="s">
        <v>13</v>
      </c>
      <c r="E4122">
        <v>148000</v>
      </c>
      <c r="F4122" t="s">
        <v>14</v>
      </c>
      <c r="G4122" t="s">
        <v>84</v>
      </c>
      <c r="H4122" t="s">
        <v>16</v>
      </c>
      <c r="I4122">
        <v>2738</v>
      </c>
      <c r="J4122">
        <v>1095.2</v>
      </c>
      <c r="K4122">
        <v>1642.8</v>
      </c>
    </row>
    <row r="4123" spans="1:11" x14ac:dyDescent="0.25">
      <c r="A4123" t="s">
        <v>4163</v>
      </c>
      <c r="B4123" s="1">
        <v>46134.111655092594</v>
      </c>
      <c r="C4123" s="2" t="s">
        <v>32</v>
      </c>
      <c r="D4123" t="s">
        <v>23</v>
      </c>
      <c r="E4123">
        <v>1007</v>
      </c>
      <c r="F4123" t="s">
        <v>14</v>
      </c>
      <c r="G4123" t="s">
        <v>51</v>
      </c>
      <c r="H4123" t="s">
        <v>16</v>
      </c>
      <c r="I4123">
        <v>0</v>
      </c>
      <c r="J4123">
        <v>0</v>
      </c>
      <c r="K4123">
        <v>0</v>
      </c>
    </row>
    <row r="4124" spans="1:11" x14ac:dyDescent="0.25">
      <c r="A4124" t="s">
        <v>4164</v>
      </c>
      <c r="B4124" s="1">
        <v>46006.996099537035</v>
      </c>
      <c r="C4124" s="2" t="s">
        <v>12</v>
      </c>
      <c r="D4124" t="s">
        <v>19</v>
      </c>
      <c r="E4124">
        <v>35277</v>
      </c>
      <c r="F4124" t="s">
        <v>50</v>
      </c>
      <c r="G4124" t="s">
        <v>27</v>
      </c>
      <c r="H4124" t="s">
        <v>16</v>
      </c>
      <c r="I4124">
        <v>5</v>
      </c>
      <c r="J4124">
        <v>0</v>
      </c>
      <c r="K4124">
        <v>5</v>
      </c>
    </row>
    <row r="4125" spans="1:11" x14ac:dyDescent="0.25">
      <c r="A4125" t="s">
        <v>4165</v>
      </c>
      <c r="B4125" s="1">
        <v>46046.777199074073</v>
      </c>
      <c r="C4125" s="2" t="s">
        <v>26</v>
      </c>
      <c r="D4125" t="s">
        <v>45</v>
      </c>
      <c r="E4125">
        <v>23013</v>
      </c>
      <c r="F4125" t="s">
        <v>14</v>
      </c>
      <c r="G4125" t="s">
        <v>20</v>
      </c>
      <c r="H4125" t="s">
        <v>71</v>
      </c>
      <c r="I4125">
        <v>230.13</v>
      </c>
      <c r="J4125">
        <v>0</v>
      </c>
      <c r="K4125">
        <v>230.13</v>
      </c>
    </row>
    <row r="4126" spans="1:11" x14ac:dyDescent="0.25">
      <c r="A4126" t="s">
        <v>4166</v>
      </c>
      <c r="B4126" s="1">
        <v>45996.233402777776</v>
      </c>
      <c r="C4126" s="2" t="s">
        <v>18</v>
      </c>
      <c r="D4126" t="s">
        <v>45</v>
      </c>
      <c r="E4126">
        <v>145809</v>
      </c>
      <c r="F4126" t="s">
        <v>14</v>
      </c>
      <c r="G4126" t="s">
        <v>24</v>
      </c>
      <c r="H4126" t="s">
        <v>46</v>
      </c>
      <c r="I4126">
        <v>1458.09</v>
      </c>
      <c r="J4126">
        <v>0</v>
      </c>
      <c r="K4126">
        <v>1458.09</v>
      </c>
    </row>
    <row r="4127" spans="1:11" x14ac:dyDescent="0.25">
      <c r="A4127" t="s">
        <v>4167</v>
      </c>
      <c r="B4127" s="1">
        <v>45995.930648148147</v>
      </c>
      <c r="C4127" s="2" t="s">
        <v>32</v>
      </c>
      <c r="D4127" t="s">
        <v>45</v>
      </c>
      <c r="E4127">
        <v>32784</v>
      </c>
      <c r="F4127" t="s">
        <v>50</v>
      </c>
      <c r="G4127" t="s">
        <v>27</v>
      </c>
      <c r="H4127" t="s">
        <v>56</v>
      </c>
      <c r="I4127">
        <v>327.84</v>
      </c>
      <c r="J4127">
        <v>0</v>
      </c>
      <c r="K4127">
        <v>327.84</v>
      </c>
    </row>
    <row r="4128" spans="1:11" x14ac:dyDescent="0.25">
      <c r="A4128" t="s">
        <v>4168</v>
      </c>
      <c r="B4128" s="1">
        <v>45955.860601851855</v>
      </c>
      <c r="C4128" s="2" t="s">
        <v>26</v>
      </c>
      <c r="D4128" t="s">
        <v>33</v>
      </c>
      <c r="E4128">
        <v>119888</v>
      </c>
      <c r="F4128" t="s">
        <v>14</v>
      </c>
      <c r="G4128" t="s">
        <v>27</v>
      </c>
      <c r="H4128" t="s">
        <v>16</v>
      </c>
      <c r="I4128">
        <v>0</v>
      </c>
      <c r="J4128">
        <v>0</v>
      </c>
      <c r="K4128">
        <v>0</v>
      </c>
    </row>
    <row r="4129" spans="1:11" x14ac:dyDescent="0.25">
      <c r="A4129" t="s">
        <v>4169</v>
      </c>
      <c r="B4129" s="1">
        <v>46015.811712962961</v>
      </c>
      <c r="C4129" s="2" t="s">
        <v>18</v>
      </c>
      <c r="D4129" t="s">
        <v>23</v>
      </c>
      <c r="E4129">
        <v>1388</v>
      </c>
      <c r="F4129" t="s">
        <v>50</v>
      </c>
      <c r="G4129" t="s">
        <v>58</v>
      </c>
      <c r="H4129" t="s">
        <v>16</v>
      </c>
      <c r="I4129">
        <v>0</v>
      </c>
      <c r="J4129">
        <v>0</v>
      </c>
      <c r="K4129">
        <v>0</v>
      </c>
    </row>
    <row r="4130" spans="1:11" x14ac:dyDescent="0.25">
      <c r="A4130" t="s">
        <v>4170</v>
      </c>
      <c r="B4130" s="1">
        <v>45963.819930555554</v>
      </c>
      <c r="C4130" s="2" t="s">
        <v>39</v>
      </c>
      <c r="D4130" t="s">
        <v>13</v>
      </c>
      <c r="E4130">
        <v>247500</v>
      </c>
      <c r="F4130" t="s">
        <v>14</v>
      </c>
      <c r="G4130" t="s">
        <v>84</v>
      </c>
      <c r="H4130" t="s">
        <v>16</v>
      </c>
      <c r="I4130">
        <v>4578.75</v>
      </c>
      <c r="J4130">
        <v>1831.5</v>
      </c>
      <c r="K4130">
        <v>2747.25</v>
      </c>
    </row>
    <row r="4131" spans="1:11" x14ac:dyDescent="0.25">
      <c r="A4131" t="s">
        <v>4171</v>
      </c>
      <c r="B4131" s="1">
        <v>45883.033275462964</v>
      </c>
      <c r="C4131" s="2" t="s">
        <v>22</v>
      </c>
      <c r="D4131" t="s">
        <v>33</v>
      </c>
      <c r="E4131">
        <v>68179</v>
      </c>
      <c r="F4131" t="s">
        <v>14</v>
      </c>
      <c r="G4131" t="s">
        <v>15</v>
      </c>
      <c r="H4131" t="s">
        <v>16</v>
      </c>
      <c r="I4131">
        <v>0</v>
      </c>
      <c r="J4131">
        <v>0</v>
      </c>
      <c r="K4131">
        <v>0</v>
      </c>
    </row>
    <row r="4132" spans="1:11" x14ac:dyDescent="0.25">
      <c r="A4132" t="s">
        <v>4172</v>
      </c>
      <c r="B4132" s="1">
        <v>46092.235555555555</v>
      </c>
      <c r="C4132" s="2" t="s">
        <v>12</v>
      </c>
      <c r="D4132" t="s">
        <v>19</v>
      </c>
      <c r="E4132">
        <v>1042</v>
      </c>
      <c r="F4132" t="s">
        <v>50</v>
      </c>
      <c r="G4132" t="s">
        <v>30</v>
      </c>
      <c r="H4132" t="s">
        <v>16</v>
      </c>
      <c r="I4132">
        <v>5</v>
      </c>
      <c r="J4132">
        <v>0</v>
      </c>
      <c r="K4132">
        <v>5</v>
      </c>
    </row>
    <row r="4133" spans="1:11" x14ac:dyDescent="0.25">
      <c r="A4133" t="s">
        <v>4173</v>
      </c>
      <c r="B4133" s="1">
        <v>45852.882939814815</v>
      </c>
      <c r="C4133" s="2" t="s">
        <v>29</v>
      </c>
      <c r="D4133" t="s">
        <v>45</v>
      </c>
      <c r="E4133">
        <v>125209</v>
      </c>
      <c r="F4133" t="s">
        <v>14</v>
      </c>
      <c r="G4133" t="s">
        <v>20</v>
      </c>
      <c r="H4133" t="s">
        <v>178</v>
      </c>
      <c r="I4133">
        <v>1252.0899999999999</v>
      </c>
      <c r="J4133">
        <v>0</v>
      </c>
      <c r="K4133">
        <v>1252.0899999999999</v>
      </c>
    </row>
    <row r="4134" spans="1:11" x14ac:dyDescent="0.25">
      <c r="A4134" t="s">
        <v>4174</v>
      </c>
      <c r="B4134" s="1">
        <v>45838.581331018519</v>
      </c>
      <c r="C4134" s="2" t="s">
        <v>26</v>
      </c>
      <c r="D4134" t="s">
        <v>23</v>
      </c>
      <c r="E4134">
        <v>4648</v>
      </c>
      <c r="F4134" t="s">
        <v>14</v>
      </c>
      <c r="G4134" t="s">
        <v>34</v>
      </c>
      <c r="H4134" t="s">
        <v>16</v>
      </c>
      <c r="I4134">
        <v>0</v>
      </c>
      <c r="J4134">
        <v>0</v>
      </c>
      <c r="K4134">
        <v>0</v>
      </c>
    </row>
    <row r="4135" spans="1:11" x14ac:dyDescent="0.25">
      <c r="A4135" t="s">
        <v>4175</v>
      </c>
      <c r="B4135" s="1">
        <v>45783.738020833334</v>
      </c>
      <c r="C4135" s="2" t="s">
        <v>39</v>
      </c>
      <c r="D4135" t="s">
        <v>13</v>
      </c>
      <c r="E4135">
        <v>191500</v>
      </c>
      <c r="F4135" t="s">
        <v>14</v>
      </c>
      <c r="G4135" t="s">
        <v>84</v>
      </c>
      <c r="H4135" t="s">
        <v>16</v>
      </c>
      <c r="I4135">
        <v>3542.75</v>
      </c>
      <c r="J4135">
        <v>1417.1</v>
      </c>
      <c r="K4135">
        <v>2125.65</v>
      </c>
    </row>
    <row r="4136" spans="1:11" x14ac:dyDescent="0.25">
      <c r="A4136" t="s">
        <v>4176</v>
      </c>
      <c r="B4136" s="1">
        <v>45806.862824074073</v>
      </c>
      <c r="C4136" s="2" t="s">
        <v>39</v>
      </c>
      <c r="D4136" t="s">
        <v>33</v>
      </c>
      <c r="E4136">
        <v>17142</v>
      </c>
      <c r="F4136" t="s">
        <v>99</v>
      </c>
      <c r="G4136" t="s">
        <v>20</v>
      </c>
      <c r="H4136" t="s">
        <v>16</v>
      </c>
      <c r="I4136">
        <v>0</v>
      </c>
      <c r="J4136">
        <v>0</v>
      </c>
      <c r="K4136">
        <v>0</v>
      </c>
    </row>
    <row r="4137" spans="1:11" x14ac:dyDescent="0.25">
      <c r="A4137" t="s">
        <v>4177</v>
      </c>
      <c r="B4137" s="1">
        <v>45900.0233912037</v>
      </c>
      <c r="C4137" s="2" t="s">
        <v>18</v>
      </c>
      <c r="D4137" t="s">
        <v>23</v>
      </c>
      <c r="E4137">
        <v>3915</v>
      </c>
      <c r="F4137" t="s">
        <v>14</v>
      </c>
      <c r="G4137" t="s">
        <v>51</v>
      </c>
      <c r="H4137" t="s">
        <v>16</v>
      </c>
      <c r="I4137">
        <v>0</v>
      </c>
      <c r="J4137">
        <v>0</v>
      </c>
      <c r="K4137">
        <v>0</v>
      </c>
    </row>
    <row r="4138" spans="1:11" x14ac:dyDescent="0.25">
      <c r="A4138" t="s">
        <v>4178</v>
      </c>
      <c r="B4138" s="1">
        <v>46051.407581018517</v>
      </c>
      <c r="C4138" s="2" t="s">
        <v>41</v>
      </c>
      <c r="D4138" t="s">
        <v>45</v>
      </c>
      <c r="E4138">
        <v>18938</v>
      </c>
      <c r="F4138" t="s">
        <v>14</v>
      </c>
      <c r="G4138" t="s">
        <v>84</v>
      </c>
      <c r="H4138" t="s">
        <v>56</v>
      </c>
      <c r="I4138">
        <v>189.38</v>
      </c>
      <c r="J4138">
        <v>0</v>
      </c>
      <c r="K4138">
        <v>189.38</v>
      </c>
    </row>
    <row r="4139" spans="1:11" x14ac:dyDescent="0.25">
      <c r="A4139" t="s">
        <v>4179</v>
      </c>
      <c r="B4139" s="1">
        <v>46027.730682870373</v>
      </c>
      <c r="C4139" s="2" t="s">
        <v>29</v>
      </c>
      <c r="D4139" t="s">
        <v>23</v>
      </c>
      <c r="E4139">
        <v>2441</v>
      </c>
      <c r="F4139" t="s">
        <v>14</v>
      </c>
      <c r="G4139" t="s">
        <v>34</v>
      </c>
      <c r="H4139" t="s">
        <v>16</v>
      </c>
      <c r="I4139">
        <v>0</v>
      </c>
      <c r="J4139">
        <v>0</v>
      </c>
      <c r="K4139">
        <v>0</v>
      </c>
    </row>
    <row r="4140" spans="1:11" x14ac:dyDescent="0.25">
      <c r="A4140" t="s">
        <v>4180</v>
      </c>
      <c r="B4140" s="1">
        <v>46138.61986111111</v>
      </c>
      <c r="C4140" s="2" t="s">
        <v>26</v>
      </c>
      <c r="D4140" t="s">
        <v>45</v>
      </c>
      <c r="E4140">
        <v>58591</v>
      </c>
      <c r="F4140" t="s">
        <v>50</v>
      </c>
      <c r="G4140" t="s">
        <v>84</v>
      </c>
      <c r="H4140" t="s">
        <v>46</v>
      </c>
      <c r="I4140">
        <v>585.91</v>
      </c>
      <c r="J4140">
        <v>0</v>
      </c>
      <c r="K4140">
        <v>585.91</v>
      </c>
    </row>
    <row r="4141" spans="1:11" x14ac:dyDescent="0.25">
      <c r="A4141" t="s">
        <v>4181</v>
      </c>
      <c r="B4141" s="1">
        <v>45873.126296296294</v>
      </c>
      <c r="C4141" s="2" t="s">
        <v>18</v>
      </c>
      <c r="D4141" t="s">
        <v>45</v>
      </c>
      <c r="E4141">
        <v>124206</v>
      </c>
      <c r="F4141" t="s">
        <v>14</v>
      </c>
      <c r="G4141" t="s">
        <v>34</v>
      </c>
      <c r="H4141" t="s">
        <v>178</v>
      </c>
      <c r="I4141">
        <v>1242.06</v>
      </c>
      <c r="J4141">
        <v>0</v>
      </c>
      <c r="K4141">
        <v>1242.06</v>
      </c>
    </row>
    <row r="4142" spans="1:11" x14ac:dyDescent="0.25">
      <c r="A4142" t="s">
        <v>4182</v>
      </c>
      <c r="B4142" s="1">
        <v>45794.340381944443</v>
      </c>
      <c r="C4142" s="2" t="s">
        <v>32</v>
      </c>
      <c r="D4142" t="s">
        <v>23</v>
      </c>
      <c r="E4142">
        <v>3786</v>
      </c>
      <c r="F4142" t="s">
        <v>14</v>
      </c>
      <c r="G4142" t="s">
        <v>51</v>
      </c>
      <c r="H4142" t="s">
        <v>16</v>
      </c>
      <c r="I4142">
        <v>0</v>
      </c>
      <c r="J4142">
        <v>0</v>
      </c>
      <c r="K4142">
        <v>0</v>
      </c>
    </row>
    <row r="4143" spans="1:11" x14ac:dyDescent="0.25">
      <c r="A4143" t="s">
        <v>4183</v>
      </c>
      <c r="B4143" s="1">
        <v>45967.255613425928</v>
      </c>
      <c r="C4143" s="2" t="s">
        <v>18</v>
      </c>
      <c r="D4143" t="s">
        <v>13</v>
      </c>
      <c r="E4143">
        <v>56500</v>
      </c>
      <c r="F4143" t="s">
        <v>14</v>
      </c>
      <c r="G4143" t="s">
        <v>24</v>
      </c>
      <c r="H4143" t="s">
        <v>16</v>
      </c>
      <c r="I4143">
        <v>1045.25</v>
      </c>
      <c r="J4143">
        <v>418.1</v>
      </c>
      <c r="K4143">
        <v>627.15</v>
      </c>
    </row>
    <row r="4144" spans="1:11" x14ac:dyDescent="0.25">
      <c r="A4144" t="s">
        <v>4184</v>
      </c>
      <c r="B4144" s="1">
        <v>45799.038541666669</v>
      </c>
      <c r="C4144" s="2" t="s">
        <v>32</v>
      </c>
      <c r="D4144" t="s">
        <v>19</v>
      </c>
      <c r="E4144">
        <v>5079</v>
      </c>
      <c r="F4144" t="s">
        <v>99</v>
      </c>
      <c r="G4144" t="s">
        <v>58</v>
      </c>
      <c r="H4144" t="s">
        <v>16</v>
      </c>
      <c r="I4144">
        <v>5</v>
      </c>
      <c r="J4144">
        <v>0</v>
      </c>
      <c r="K4144">
        <v>5</v>
      </c>
    </row>
    <row r="4145" spans="1:11" x14ac:dyDescent="0.25">
      <c r="A4145" t="s">
        <v>4185</v>
      </c>
      <c r="B4145" s="1">
        <v>46050.366863425923</v>
      </c>
      <c r="C4145" s="2" t="s">
        <v>12</v>
      </c>
      <c r="D4145" t="s">
        <v>13</v>
      </c>
      <c r="E4145">
        <v>162000</v>
      </c>
      <c r="F4145" t="s">
        <v>14</v>
      </c>
      <c r="G4145" t="s">
        <v>15</v>
      </c>
      <c r="H4145" t="s">
        <v>16</v>
      </c>
      <c r="I4145">
        <v>2997</v>
      </c>
      <c r="J4145">
        <v>1198.8</v>
      </c>
      <c r="K4145">
        <v>1798.2</v>
      </c>
    </row>
    <row r="4146" spans="1:11" x14ac:dyDescent="0.25">
      <c r="A4146" t="s">
        <v>4186</v>
      </c>
      <c r="B4146" s="1">
        <v>45974.79241898148</v>
      </c>
      <c r="C4146" s="2" t="s">
        <v>22</v>
      </c>
      <c r="D4146" t="s">
        <v>13</v>
      </c>
      <c r="E4146">
        <v>145000</v>
      </c>
      <c r="F4146" t="s">
        <v>14</v>
      </c>
      <c r="G4146" t="s">
        <v>58</v>
      </c>
      <c r="H4146" t="s">
        <v>16</v>
      </c>
      <c r="I4146">
        <v>2682.5</v>
      </c>
      <c r="J4146">
        <v>1073</v>
      </c>
      <c r="K4146">
        <v>1609.5</v>
      </c>
    </row>
    <row r="4147" spans="1:11" x14ac:dyDescent="0.25">
      <c r="A4147" t="s">
        <v>4187</v>
      </c>
      <c r="B4147" s="1">
        <v>46014.56590277778</v>
      </c>
      <c r="C4147" s="2" t="s">
        <v>41</v>
      </c>
      <c r="D4147" t="s">
        <v>33</v>
      </c>
      <c r="E4147">
        <v>7795</v>
      </c>
      <c r="F4147" t="s">
        <v>14</v>
      </c>
      <c r="G4147" t="s">
        <v>15</v>
      </c>
      <c r="H4147" t="s">
        <v>16</v>
      </c>
      <c r="I4147">
        <v>0</v>
      </c>
      <c r="J4147">
        <v>0</v>
      </c>
      <c r="K4147">
        <v>0</v>
      </c>
    </row>
    <row r="4148" spans="1:11" x14ac:dyDescent="0.25">
      <c r="A4148" t="s">
        <v>4188</v>
      </c>
      <c r="B4148" s="1">
        <v>46128.758125</v>
      </c>
      <c r="C4148" s="2" t="s">
        <v>12</v>
      </c>
      <c r="D4148" t="s">
        <v>19</v>
      </c>
      <c r="E4148">
        <v>68492</v>
      </c>
      <c r="F4148" t="s">
        <v>50</v>
      </c>
      <c r="G4148" t="s">
        <v>27</v>
      </c>
      <c r="H4148" t="s">
        <v>16</v>
      </c>
      <c r="I4148">
        <v>5</v>
      </c>
      <c r="J4148">
        <v>0</v>
      </c>
      <c r="K4148">
        <v>5</v>
      </c>
    </row>
    <row r="4149" spans="1:11" x14ac:dyDescent="0.25">
      <c r="A4149" t="s">
        <v>4189</v>
      </c>
      <c r="B4149" s="1">
        <v>45931.537152777775</v>
      </c>
      <c r="C4149" s="2" t="s">
        <v>39</v>
      </c>
      <c r="D4149" t="s">
        <v>33</v>
      </c>
      <c r="E4149">
        <v>1329</v>
      </c>
      <c r="F4149" t="s">
        <v>14</v>
      </c>
      <c r="G4149" t="s">
        <v>24</v>
      </c>
      <c r="H4149" t="s">
        <v>16</v>
      </c>
      <c r="I4149">
        <v>0</v>
      </c>
      <c r="J4149">
        <v>0</v>
      </c>
      <c r="K4149">
        <v>0</v>
      </c>
    </row>
    <row r="4150" spans="1:11" x14ac:dyDescent="0.25">
      <c r="A4150" t="s">
        <v>4190</v>
      </c>
      <c r="B4150" s="1">
        <v>46049.75885416667</v>
      </c>
      <c r="C4150" s="2" t="s">
        <v>18</v>
      </c>
      <c r="D4150" t="s">
        <v>23</v>
      </c>
      <c r="E4150">
        <v>479</v>
      </c>
      <c r="F4150" t="s">
        <v>14</v>
      </c>
      <c r="G4150" t="s">
        <v>27</v>
      </c>
      <c r="H4150" t="s">
        <v>16</v>
      </c>
      <c r="I4150">
        <v>0</v>
      </c>
      <c r="J4150">
        <v>0</v>
      </c>
      <c r="K4150">
        <v>0</v>
      </c>
    </row>
    <row r="4151" spans="1:11" x14ac:dyDescent="0.25">
      <c r="A4151" t="s">
        <v>4191</v>
      </c>
      <c r="B4151" s="1">
        <v>46079.102638888886</v>
      </c>
      <c r="C4151" s="2" t="s">
        <v>39</v>
      </c>
      <c r="D4151" t="s">
        <v>13</v>
      </c>
      <c r="E4151">
        <v>225500</v>
      </c>
      <c r="F4151" t="s">
        <v>14</v>
      </c>
      <c r="G4151" t="s">
        <v>24</v>
      </c>
      <c r="H4151" t="s">
        <v>16</v>
      </c>
      <c r="I4151">
        <v>4171.75</v>
      </c>
      <c r="J4151">
        <v>1668.7</v>
      </c>
      <c r="K4151">
        <v>2503.0500000000002</v>
      </c>
    </row>
    <row r="4152" spans="1:11" x14ac:dyDescent="0.25">
      <c r="A4152" t="s">
        <v>4192</v>
      </c>
      <c r="B4152" s="1">
        <v>45934.210081018522</v>
      </c>
      <c r="C4152" s="2" t="s">
        <v>26</v>
      </c>
      <c r="D4152" t="s">
        <v>33</v>
      </c>
      <c r="E4152">
        <v>97955</v>
      </c>
      <c r="F4152" t="s">
        <v>14</v>
      </c>
      <c r="G4152" t="s">
        <v>58</v>
      </c>
      <c r="H4152" t="s">
        <v>16</v>
      </c>
      <c r="I4152">
        <v>0</v>
      </c>
      <c r="J4152">
        <v>0</v>
      </c>
      <c r="K4152">
        <v>0</v>
      </c>
    </row>
    <row r="4153" spans="1:11" x14ac:dyDescent="0.25">
      <c r="A4153" t="s">
        <v>4193</v>
      </c>
      <c r="B4153" s="1">
        <v>45950.968854166669</v>
      </c>
      <c r="C4153" s="2" t="s">
        <v>41</v>
      </c>
      <c r="D4153" t="s">
        <v>33</v>
      </c>
      <c r="E4153">
        <v>139437</v>
      </c>
      <c r="F4153" t="s">
        <v>50</v>
      </c>
      <c r="G4153" t="s">
        <v>34</v>
      </c>
      <c r="H4153" t="s">
        <v>16</v>
      </c>
      <c r="I4153">
        <v>0</v>
      </c>
      <c r="J4153">
        <v>0</v>
      </c>
      <c r="K4153">
        <v>0</v>
      </c>
    </row>
    <row r="4154" spans="1:11" x14ac:dyDescent="0.25">
      <c r="A4154" t="s">
        <v>4194</v>
      </c>
      <c r="B4154" s="1">
        <v>45813.862372685187</v>
      </c>
      <c r="C4154" s="2" t="s">
        <v>26</v>
      </c>
      <c r="D4154" t="s">
        <v>19</v>
      </c>
      <c r="E4154">
        <v>128706</v>
      </c>
      <c r="F4154" t="s">
        <v>14</v>
      </c>
      <c r="G4154" t="s">
        <v>51</v>
      </c>
      <c r="H4154" t="s">
        <v>16</v>
      </c>
      <c r="I4154">
        <v>5</v>
      </c>
      <c r="J4154">
        <v>0</v>
      </c>
      <c r="K4154">
        <v>5</v>
      </c>
    </row>
    <row r="4155" spans="1:11" x14ac:dyDescent="0.25">
      <c r="A4155" t="s">
        <v>4195</v>
      </c>
      <c r="B4155" s="1">
        <v>45899.191874999997</v>
      </c>
      <c r="C4155" s="2" t="s">
        <v>12</v>
      </c>
      <c r="D4155" t="s">
        <v>23</v>
      </c>
      <c r="E4155">
        <v>2101</v>
      </c>
      <c r="F4155" t="s">
        <v>14</v>
      </c>
      <c r="G4155" t="s">
        <v>20</v>
      </c>
      <c r="H4155" t="s">
        <v>16</v>
      </c>
      <c r="I4155">
        <v>0</v>
      </c>
      <c r="J4155">
        <v>0</v>
      </c>
      <c r="K4155">
        <v>0</v>
      </c>
    </row>
    <row r="4156" spans="1:11" x14ac:dyDescent="0.25">
      <c r="A4156" t="s">
        <v>4196</v>
      </c>
      <c r="B4156" s="1">
        <v>46094.906435185185</v>
      </c>
      <c r="C4156" s="2" t="s">
        <v>41</v>
      </c>
      <c r="D4156" t="s">
        <v>33</v>
      </c>
      <c r="E4156">
        <v>62357</v>
      </c>
      <c r="F4156" t="s">
        <v>14</v>
      </c>
      <c r="G4156" t="s">
        <v>51</v>
      </c>
      <c r="H4156" t="s">
        <v>16</v>
      </c>
      <c r="I4156">
        <v>0</v>
      </c>
      <c r="J4156">
        <v>0</v>
      </c>
      <c r="K4156">
        <v>0</v>
      </c>
    </row>
    <row r="4157" spans="1:11" x14ac:dyDescent="0.25">
      <c r="A4157" t="s">
        <v>4197</v>
      </c>
      <c r="B4157" s="1">
        <v>45900.118634259263</v>
      </c>
      <c r="C4157" s="2" t="s">
        <v>32</v>
      </c>
      <c r="D4157" t="s">
        <v>23</v>
      </c>
      <c r="E4157">
        <v>4003</v>
      </c>
      <c r="F4157" t="s">
        <v>14</v>
      </c>
      <c r="G4157" t="s">
        <v>58</v>
      </c>
      <c r="H4157" t="s">
        <v>16</v>
      </c>
      <c r="I4157">
        <v>0</v>
      </c>
      <c r="J4157">
        <v>0</v>
      </c>
      <c r="K4157">
        <v>0</v>
      </c>
    </row>
    <row r="4158" spans="1:11" x14ac:dyDescent="0.25">
      <c r="A4158" t="s">
        <v>4198</v>
      </c>
      <c r="B4158" s="1">
        <v>46022.219525462962</v>
      </c>
      <c r="C4158" s="2" t="s">
        <v>39</v>
      </c>
      <c r="D4158" t="s">
        <v>33</v>
      </c>
      <c r="E4158">
        <v>26293</v>
      </c>
      <c r="F4158" t="s">
        <v>14</v>
      </c>
      <c r="G4158" t="s">
        <v>58</v>
      </c>
      <c r="H4158" t="s">
        <v>16</v>
      </c>
      <c r="I4158">
        <v>0</v>
      </c>
      <c r="J4158">
        <v>0</v>
      </c>
      <c r="K4158">
        <v>0</v>
      </c>
    </row>
    <row r="4159" spans="1:11" x14ac:dyDescent="0.25">
      <c r="A4159" t="s">
        <v>4199</v>
      </c>
      <c r="B4159" s="1">
        <v>45826.548761574071</v>
      </c>
      <c r="C4159" s="2" t="s">
        <v>12</v>
      </c>
      <c r="D4159" t="s">
        <v>45</v>
      </c>
      <c r="E4159">
        <v>113158</v>
      </c>
      <c r="F4159" t="s">
        <v>14</v>
      </c>
      <c r="G4159" t="s">
        <v>51</v>
      </c>
      <c r="H4159" t="s">
        <v>178</v>
      </c>
      <c r="I4159">
        <v>1131.58</v>
      </c>
      <c r="J4159">
        <v>0</v>
      </c>
      <c r="K4159">
        <v>1131.58</v>
      </c>
    </row>
    <row r="4160" spans="1:11" x14ac:dyDescent="0.25">
      <c r="A4160" t="s">
        <v>4200</v>
      </c>
      <c r="B4160" s="1">
        <v>45805.357187499998</v>
      </c>
      <c r="C4160" s="2" t="s">
        <v>29</v>
      </c>
      <c r="D4160" t="s">
        <v>33</v>
      </c>
      <c r="E4160">
        <v>114530</v>
      </c>
      <c r="F4160" t="s">
        <v>14</v>
      </c>
      <c r="G4160" t="s">
        <v>51</v>
      </c>
      <c r="H4160" t="s">
        <v>16</v>
      </c>
      <c r="I4160">
        <v>0</v>
      </c>
      <c r="J4160">
        <v>0</v>
      </c>
      <c r="K4160">
        <v>0</v>
      </c>
    </row>
    <row r="4161" spans="1:11" x14ac:dyDescent="0.25">
      <c r="A4161" t="s">
        <v>4201</v>
      </c>
      <c r="B4161" s="1">
        <v>46045.452118055553</v>
      </c>
      <c r="C4161" s="2" t="s">
        <v>22</v>
      </c>
      <c r="D4161" t="s">
        <v>23</v>
      </c>
      <c r="E4161">
        <v>1519</v>
      </c>
      <c r="F4161" t="s">
        <v>14</v>
      </c>
      <c r="G4161" t="s">
        <v>27</v>
      </c>
      <c r="H4161" t="s">
        <v>16</v>
      </c>
      <c r="I4161">
        <v>0</v>
      </c>
      <c r="J4161">
        <v>0</v>
      </c>
      <c r="K4161">
        <v>0</v>
      </c>
    </row>
    <row r="4162" spans="1:11" x14ac:dyDescent="0.25">
      <c r="A4162" t="s">
        <v>4202</v>
      </c>
      <c r="B4162" s="1">
        <v>45949.336296296293</v>
      </c>
      <c r="C4162" s="2" t="s">
        <v>12</v>
      </c>
      <c r="D4162" t="s">
        <v>45</v>
      </c>
      <c r="E4162">
        <v>136578</v>
      </c>
      <c r="F4162" t="s">
        <v>50</v>
      </c>
      <c r="G4162" t="s">
        <v>84</v>
      </c>
      <c r="H4162" t="s">
        <v>56</v>
      </c>
      <c r="I4162">
        <v>1365.78</v>
      </c>
      <c r="J4162">
        <v>0</v>
      </c>
      <c r="K4162">
        <v>1365.78</v>
      </c>
    </row>
    <row r="4163" spans="1:11" x14ac:dyDescent="0.25">
      <c r="A4163" t="s">
        <v>4203</v>
      </c>
      <c r="B4163" s="1">
        <v>46113.85796296296</v>
      </c>
      <c r="C4163" s="2" t="s">
        <v>18</v>
      </c>
      <c r="D4163" t="s">
        <v>33</v>
      </c>
      <c r="E4163">
        <v>113710</v>
      </c>
      <c r="F4163" t="s">
        <v>14</v>
      </c>
      <c r="G4163" t="s">
        <v>51</v>
      </c>
      <c r="H4163" t="s">
        <v>16</v>
      </c>
      <c r="I4163">
        <v>0</v>
      </c>
      <c r="J4163">
        <v>0</v>
      </c>
      <c r="K4163">
        <v>0</v>
      </c>
    </row>
    <row r="4164" spans="1:11" x14ac:dyDescent="0.25">
      <c r="A4164" t="s">
        <v>4204</v>
      </c>
      <c r="B4164" s="1">
        <v>46083.690023148149</v>
      </c>
      <c r="C4164" s="2" t="s">
        <v>39</v>
      </c>
      <c r="D4164" t="s">
        <v>19</v>
      </c>
      <c r="E4164">
        <v>47639</v>
      </c>
      <c r="F4164" t="s">
        <v>14</v>
      </c>
      <c r="G4164" t="s">
        <v>34</v>
      </c>
      <c r="H4164" t="s">
        <v>16</v>
      </c>
      <c r="I4164">
        <v>5</v>
      </c>
      <c r="J4164">
        <v>0</v>
      </c>
      <c r="K4164">
        <v>5</v>
      </c>
    </row>
    <row r="4165" spans="1:11" x14ac:dyDescent="0.25">
      <c r="A4165" t="s">
        <v>4205</v>
      </c>
      <c r="B4165" s="1">
        <v>46103.259652777779</v>
      </c>
      <c r="C4165" s="2" t="s">
        <v>22</v>
      </c>
      <c r="D4165" t="s">
        <v>19</v>
      </c>
      <c r="E4165">
        <v>94558</v>
      </c>
      <c r="F4165" t="s">
        <v>14</v>
      </c>
      <c r="G4165" t="s">
        <v>20</v>
      </c>
      <c r="H4165" t="s">
        <v>16</v>
      </c>
      <c r="I4165">
        <v>5</v>
      </c>
      <c r="J4165">
        <v>0</v>
      </c>
      <c r="K4165">
        <v>5</v>
      </c>
    </row>
    <row r="4166" spans="1:11" x14ac:dyDescent="0.25">
      <c r="A4166" t="s">
        <v>4206</v>
      </c>
      <c r="B4166" s="1">
        <v>45841.014456018522</v>
      </c>
      <c r="C4166" s="2" t="s">
        <v>32</v>
      </c>
      <c r="D4166" t="s">
        <v>23</v>
      </c>
      <c r="E4166">
        <v>1331</v>
      </c>
      <c r="F4166" t="s">
        <v>14</v>
      </c>
      <c r="G4166" t="s">
        <v>84</v>
      </c>
      <c r="H4166" t="s">
        <v>16</v>
      </c>
      <c r="I4166">
        <v>0</v>
      </c>
      <c r="J4166">
        <v>0</v>
      </c>
      <c r="K4166">
        <v>0</v>
      </c>
    </row>
    <row r="4167" spans="1:11" x14ac:dyDescent="0.25">
      <c r="A4167" t="s">
        <v>4207</v>
      </c>
      <c r="B4167" s="1">
        <v>45983.515775462962</v>
      </c>
      <c r="C4167" s="2" t="s">
        <v>18</v>
      </c>
      <c r="D4167" t="s">
        <v>13</v>
      </c>
      <c r="E4167">
        <v>140500</v>
      </c>
      <c r="F4167" t="s">
        <v>14</v>
      </c>
      <c r="G4167" t="s">
        <v>27</v>
      </c>
      <c r="H4167" t="s">
        <v>16</v>
      </c>
      <c r="I4167">
        <v>2599.25</v>
      </c>
      <c r="J4167">
        <v>1039.7</v>
      </c>
      <c r="K4167">
        <v>1559.55</v>
      </c>
    </row>
    <row r="4168" spans="1:11" x14ac:dyDescent="0.25">
      <c r="A4168" t="s">
        <v>4208</v>
      </c>
      <c r="B4168" s="1">
        <v>45882.240335648145</v>
      </c>
      <c r="C4168" s="2" t="s">
        <v>12</v>
      </c>
      <c r="D4168" t="s">
        <v>33</v>
      </c>
      <c r="E4168">
        <v>67413</v>
      </c>
      <c r="F4168" t="s">
        <v>14</v>
      </c>
      <c r="G4168" t="s">
        <v>84</v>
      </c>
      <c r="H4168" t="s">
        <v>16</v>
      </c>
      <c r="I4168">
        <v>0</v>
      </c>
      <c r="J4168">
        <v>0</v>
      </c>
      <c r="K4168">
        <v>0</v>
      </c>
    </row>
    <row r="4169" spans="1:11" x14ac:dyDescent="0.25">
      <c r="A4169" t="s">
        <v>4209</v>
      </c>
      <c r="B4169" s="1">
        <v>45816.967766203707</v>
      </c>
      <c r="C4169" s="2" t="s">
        <v>29</v>
      </c>
      <c r="D4169" t="s">
        <v>23</v>
      </c>
      <c r="E4169">
        <v>2847</v>
      </c>
      <c r="F4169" t="s">
        <v>14</v>
      </c>
      <c r="G4169" t="s">
        <v>15</v>
      </c>
      <c r="H4169" t="s">
        <v>16</v>
      </c>
      <c r="I4169">
        <v>0</v>
      </c>
      <c r="J4169">
        <v>0</v>
      </c>
      <c r="K4169">
        <v>0</v>
      </c>
    </row>
    <row r="4170" spans="1:11" x14ac:dyDescent="0.25">
      <c r="A4170" t="s">
        <v>4210</v>
      </c>
      <c r="B4170" s="1">
        <v>45827.438969907409</v>
      </c>
      <c r="C4170" s="2" t="s">
        <v>12</v>
      </c>
      <c r="D4170" t="s">
        <v>33</v>
      </c>
      <c r="E4170">
        <v>37392</v>
      </c>
      <c r="F4170" t="s">
        <v>50</v>
      </c>
      <c r="G4170" t="s">
        <v>34</v>
      </c>
      <c r="H4170" t="s">
        <v>16</v>
      </c>
      <c r="I4170">
        <v>0</v>
      </c>
      <c r="J4170">
        <v>0</v>
      </c>
      <c r="K4170">
        <v>0</v>
      </c>
    </row>
    <row r="4171" spans="1:11" x14ac:dyDescent="0.25">
      <c r="A4171" t="s">
        <v>4211</v>
      </c>
      <c r="B4171" s="1">
        <v>45798.842835648145</v>
      </c>
      <c r="C4171" s="2" t="s">
        <v>26</v>
      </c>
      <c r="D4171" t="s">
        <v>45</v>
      </c>
      <c r="E4171">
        <v>29836</v>
      </c>
      <c r="F4171" t="s">
        <v>50</v>
      </c>
      <c r="G4171" t="s">
        <v>34</v>
      </c>
      <c r="H4171" t="s">
        <v>46</v>
      </c>
      <c r="I4171">
        <v>298.36</v>
      </c>
      <c r="J4171">
        <v>0</v>
      </c>
      <c r="K4171">
        <v>298.36</v>
      </c>
    </row>
    <row r="4172" spans="1:11" x14ac:dyDescent="0.25">
      <c r="A4172" t="s">
        <v>4212</v>
      </c>
      <c r="B4172" s="1">
        <v>46040.854085648149</v>
      </c>
      <c r="C4172" s="2" t="s">
        <v>39</v>
      </c>
      <c r="D4172" t="s">
        <v>33</v>
      </c>
      <c r="E4172">
        <v>76647</v>
      </c>
      <c r="F4172" t="s">
        <v>14</v>
      </c>
      <c r="G4172" t="s">
        <v>58</v>
      </c>
      <c r="H4172" t="s">
        <v>16</v>
      </c>
      <c r="I4172">
        <v>0</v>
      </c>
      <c r="J4172">
        <v>0</v>
      </c>
      <c r="K4172">
        <v>0</v>
      </c>
    </row>
    <row r="4173" spans="1:11" x14ac:dyDescent="0.25">
      <c r="A4173" t="s">
        <v>4213</v>
      </c>
      <c r="B4173" s="1">
        <v>46096.355300925927</v>
      </c>
      <c r="C4173" s="2" t="s">
        <v>18</v>
      </c>
      <c r="D4173" t="s">
        <v>23</v>
      </c>
      <c r="E4173">
        <v>1312</v>
      </c>
      <c r="F4173" t="s">
        <v>14</v>
      </c>
      <c r="G4173" t="s">
        <v>51</v>
      </c>
      <c r="H4173" t="s">
        <v>16</v>
      </c>
      <c r="I4173">
        <v>0</v>
      </c>
      <c r="J4173">
        <v>0</v>
      </c>
      <c r="K4173">
        <v>0</v>
      </c>
    </row>
    <row r="4174" spans="1:11" x14ac:dyDescent="0.25">
      <c r="A4174" t="s">
        <v>4214</v>
      </c>
      <c r="B4174" s="1">
        <v>45866.57099537037</v>
      </c>
      <c r="C4174" s="2" t="s">
        <v>41</v>
      </c>
      <c r="D4174" t="s">
        <v>45</v>
      </c>
      <c r="E4174">
        <v>116958</v>
      </c>
      <c r="F4174" t="s">
        <v>14</v>
      </c>
      <c r="G4174" t="s">
        <v>20</v>
      </c>
      <c r="H4174" t="s">
        <v>178</v>
      </c>
      <c r="I4174">
        <v>1169.58</v>
      </c>
      <c r="J4174">
        <v>0</v>
      </c>
      <c r="K4174">
        <v>1169.58</v>
      </c>
    </row>
    <row r="4175" spans="1:11" x14ac:dyDescent="0.25">
      <c r="A4175" t="s">
        <v>4215</v>
      </c>
      <c r="B4175" s="1">
        <v>45790.910810185182</v>
      </c>
      <c r="C4175" s="2" t="s">
        <v>32</v>
      </c>
      <c r="D4175" t="s">
        <v>19</v>
      </c>
      <c r="E4175">
        <v>37412</v>
      </c>
      <c r="F4175" t="s">
        <v>14</v>
      </c>
      <c r="G4175" t="s">
        <v>24</v>
      </c>
      <c r="H4175" t="s">
        <v>16</v>
      </c>
      <c r="I4175">
        <v>5</v>
      </c>
      <c r="J4175">
        <v>0</v>
      </c>
      <c r="K4175">
        <v>5</v>
      </c>
    </row>
    <row r="4176" spans="1:11" x14ac:dyDescent="0.25">
      <c r="A4176" t="s">
        <v>4216</v>
      </c>
      <c r="B4176" s="1">
        <v>46099.481458333335</v>
      </c>
      <c r="C4176" s="2" t="s">
        <v>41</v>
      </c>
      <c r="D4176" t="s">
        <v>45</v>
      </c>
      <c r="E4176">
        <v>18213</v>
      </c>
      <c r="F4176" t="s">
        <v>14</v>
      </c>
      <c r="G4176" t="s">
        <v>51</v>
      </c>
      <c r="H4176" t="s">
        <v>71</v>
      </c>
      <c r="I4176">
        <v>182.13</v>
      </c>
      <c r="J4176">
        <v>0</v>
      </c>
      <c r="K4176">
        <v>182.13</v>
      </c>
    </row>
    <row r="4177" spans="1:11" x14ac:dyDescent="0.25">
      <c r="A4177" t="s">
        <v>4217</v>
      </c>
      <c r="B4177" s="1">
        <v>46087.432534722226</v>
      </c>
      <c r="C4177" s="2" t="s">
        <v>22</v>
      </c>
      <c r="D4177" t="s">
        <v>13</v>
      </c>
      <c r="E4177">
        <v>56000</v>
      </c>
      <c r="F4177" t="s">
        <v>14</v>
      </c>
      <c r="G4177" t="s">
        <v>27</v>
      </c>
      <c r="H4177" t="s">
        <v>16</v>
      </c>
      <c r="I4177">
        <v>1036</v>
      </c>
      <c r="J4177">
        <v>414.4</v>
      </c>
      <c r="K4177">
        <v>621.6</v>
      </c>
    </row>
    <row r="4178" spans="1:11" x14ac:dyDescent="0.25">
      <c r="A4178" t="s">
        <v>4218</v>
      </c>
      <c r="B4178" s="1">
        <v>45935.564942129633</v>
      </c>
      <c r="C4178" s="2" t="s">
        <v>29</v>
      </c>
      <c r="D4178" t="s">
        <v>19</v>
      </c>
      <c r="E4178">
        <v>83100</v>
      </c>
      <c r="F4178" t="s">
        <v>14</v>
      </c>
      <c r="G4178" t="s">
        <v>34</v>
      </c>
      <c r="H4178" t="s">
        <v>16</v>
      </c>
      <c r="I4178">
        <v>5</v>
      </c>
      <c r="J4178">
        <v>0</v>
      </c>
      <c r="K4178">
        <v>5</v>
      </c>
    </row>
    <row r="4179" spans="1:11" x14ac:dyDescent="0.25">
      <c r="A4179" t="s">
        <v>4219</v>
      </c>
      <c r="B4179" s="1">
        <v>45841.635659722226</v>
      </c>
      <c r="C4179" s="2" t="s">
        <v>22</v>
      </c>
      <c r="D4179" t="s">
        <v>45</v>
      </c>
      <c r="E4179">
        <v>42403</v>
      </c>
      <c r="F4179" t="s">
        <v>14</v>
      </c>
      <c r="G4179" t="s">
        <v>34</v>
      </c>
      <c r="H4179" t="s">
        <v>56</v>
      </c>
      <c r="I4179">
        <v>424.03</v>
      </c>
      <c r="J4179">
        <v>0</v>
      </c>
      <c r="K4179">
        <v>424.03</v>
      </c>
    </row>
    <row r="4180" spans="1:11" x14ac:dyDescent="0.25">
      <c r="A4180" t="s">
        <v>4220</v>
      </c>
      <c r="B4180" s="1">
        <v>46103.483020833337</v>
      </c>
      <c r="C4180" s="2" t="s">
        <v>26</v>
      </c>
      <c r="D4180" t="s">
        <v>33</v>
      </c>
      <c r="E4180">
        <v>149239</v>
      </c>
      <c r="F4180" t="s">
        <v>14</v>
      </c>
      <c r="G4180" t="s">
        <v>20</v>
      </c>
      <c r="H4180" t="s">
        <v>16</v>
      </c>
      <c r="I4180">
        <v>0</v>
      </c>
      <c r="J4180">
        <v>0</v>
      </c>
      <c r="K4180">
        <v>0</v>
      </c>
    </row>
    <row r="4181" spans="1:11" x14ac:dyDescent="0.25">
      <c r="A4181" t="s">
        <v>4221</v>
      </c>
      <c r="B4181" s="1">
        <v>45971.631180555552</v>
      </c>
      <c r="C4181" s="2" t="s">
        <v>18</v>
      </c>
      <c r="D4181" t="s">
        <v>13</v>
      </c>
      <c r="E4181">
        <v>10500</v>
      </c>
      <c r="F4181" t="s">
        <v>14</v>
      </c>
      <c r="G4181" t="s">
        <v>34</v>
      </c>
      <c r="H4181" t="s">
        <v>16</v>
      </c>
      <c r="I4181">
        <v>194.25</v>
      </c>
      <c r="J4181">
        <v>77.7</v>
      </c>
      <c r="K4181">
        <v>116.55</v>
      </c>
    </row>
    <row r="4182" spans="1:11" x14ac:dyDescent="0.25">
      <c r="A4182" t="s">
        <v>4222</v>
      </c>
      <c r="B4182" s="1">
        <v>45849.550127314818</v>
      </c>
      <c r="C4182" s="2" t="s">
        <v>41</v>
      </c>
      <c r="D4182" t="s">
        <v>23</v>
      </c>
      <c r="E4182">
        <v>2166</v>
      </c>
      <c r="F4182" t="s">
        <v>14</v>
      </c>
      <c r="G4182" t="s">
        <v>34</v>
      </c>
      <c r="H4182" t="s">
        <v>16</v>
      </c>
      <c r="I4182">
        <v>0</v>
      </c>
      <c r="J4182">
        <v>0</v>
      </c>
      <c r="K4182">
        <v>0</v>
      </c>
    </row>
    <row r="4183" spans="1:11" x14ac:dyDescent="0.25">
      <c r="A4183" t="s">
        <v>4223</v>
      </c>
      <c r="B4183" s="1">
        <v>45935.686365740738</v>
      </c>
      <c r="C4183" s="2" t="s">
        <v>29</v>
      </c>
      <c r="D4183" t="s">
        <v>33</v>
      </c>
      <c r="E4183">
        <v>16104</v>
      </c>
      <c r="F4183" t="s">
        <v>14</v>
      </c>
      <c r="G4183" t="s">
        <v>20</v>
      </c>
      <c r="H4183" t="s">
        <v>16</v>
      </c>
      <c r="I4183">
        <v>0</v>
      </c>
      <c r="J4183">
        <v>0</v>
      </c>
      <c r="K4183">
        <v>0</v>
      </c>
    </row>
    <row r="4184" spans="1:11" x14ac:dyDescent="0.25">
      <c r="A4184" t="s">
        <v>4224</v>
      </c>
      <c r="B4184" s="1">
        <v>45954.895509259259</v>
      </c>
      <c r="C4184" s="2" t="s">
        <v>41</v>
      </c>
      <c r="D4184" t="s">
        <v>13</v>
      </c>
      <c r="E4184">
        <v>135000</v>
      </c>
      <c r="F4184" t="s">
        <v>14</v>
      </c>
      <c r="G4184" t="s">
        <v>27</v>
      </c>
      <c r="H4184" t="s">
        <v>16</v>
      </c>
      <c r="I4184">
        <v>2497.5</v>
      </c>
      <c r="J4184">
        <v>999</v>
      </c>
      <c r="K4184">
        <v>1498.5</v>
      </c>
    </row>
    <row r="4185" spans="1:11" x14ac:dyDescent="0.25">
      <c r="A4185" t="s">
        <v>4225</v>
      </c>
      <c r="B4185" s="1">
        <v>45928.113726851851</v>
      </c>
      <c r="C4185" s="2" t="s">
        <v>12</v>
      </c>
      <c r="D4185" t="s">
        <v>45</v>
      </c>
      <c r="E4185">
        <v>55113</v>
      </c>
      <c r="F4185" t="s">
        <v>14</v>
      </c>
      <c r="G4185" t="s">
        <v>30</v>
      </c>
      <c r="H4185" t="s">
        <v>178</v>
      </c>
      <c r="I4185">
        <v>551.13</v>
      </c>
      <c r="J4185">
        <v>0</v>
      </c>
      <c r="K4185">
        <v>551.13</v>
      </c>
    </row>
    <row r="4186" spans="1:11" x14ac:dyDescent="0.25">
      <c r="A4186" t="s">
        <v>4226</v>
      </c>
      <c r="B4186" s="1">
        <v>46114.554976851854</v>
      </c>
      <c r="C4186" s="2" t="s">
        <v>29</v>
      </c>
      <c r="D4186" t="s">
        <v>13</v>
      </c>
      <c r="E4186">
        <v>160000</v>
      </c>
      <c r="F4186" t="s">
        <v>14</v>
      </c>
      <c r="G4186" t="s">
        <v>34</v>
      </c>
      <c r="H4186" t="s">
        <v>16</v>
      </c>
      <c r="I4186">
        <v>2960</v>
      </c>
      <c r="J4186">
        <v>1184</v>
      </c>
      <c r="K4186">
        <v>1776</v>
      </c>
    </row>
    <row r="4187" spans="1:11" x14ac:dyDescent="0.25">
      <c r="A4187" t="s">
        <v>4227</v>
      </c>
      <c r="B4187" s="1">
        <v>46071.4453125</v>
      </c>
      <c r="C4187" s="2" t="s">
        <v>41</v>
      </c>
      <c r="D4187" t="s">
        <v>23</v>
      </c>
      <c r="E4187">
        <v>775</v>
      </c>
      <c r="F4187" t="s">
        <v>14</v>
      </c>
      <c r="G4187" t="s">
        <v>24</v>
      </c>
      <c r="H4187" t="s">
        <v>16</v>
      </c>
      <c r="I4187">
        <v>0</v>
      </c>
      <c r="J4187">
        <v>0</v>
      </c>
      <c r="K4187">
        <v>0</v>
      </c>
    </row>
    <row r="4188" spans="1:11" x14ac:dyDescent="0.25">
      <c r="A4188" t="s">
        <v>4228</v>
      </c>
      <c r="B4188" s="1">
        <v>46110.029583333337</v>
      </c>
      <c r="C4188" s="2" t="s">
        <v>12</v>
      </c>
      <c r="D4188" t="s">
        <v>23</v>
      </c>
      <c r="E4188">
        <v>916</v>
      </c>
      <c r="F4188" t="s">
        <v>14</v>
      </c>
      <c r="G4188" t="s">
        <v>51</v>
      </c>
      <c r="H4188" t="s">
        <v>16</v>
      </c>
      <c r="I4188">
        <v>0</v>
      </c>
      <c r="J4188">
        <v>0</v>
      </c>
      <c r="K4188">
        <v>0</v>
      </c>
    </row>
    <row r="4189" spans="1:11" x14ac:dyDescent="0.25">
      <c r="A4189" t="s">
        <v>4229</v>
      </c>
      <c r="B4189" s="1">
        <v>45778.556585648148</v>
      </c>
      <c r="C4189" s="2" t="s">
        <v>18</v>
      </c>
      <c r="D4189" t="s">
        <v>33</v>
      </c>
      <c r="E4189">
        <v>23545</v>
      </c>
      <c r="F4189" t="s">
        <v>14</v>
      </c>
      <c r="G4189" t="s">
        <v>34</v>
      </c>
      <c r="H4189" t="s">
        <v>16</v>
      </c>
      <c r="I4189">
        <v>0</v>
      </c>
      <c r="J4189">
        <v>0</v>
      </c>
      <c r="K4189">
        <v>0</v>
      </c>
    </row>
    <row r="4190" spans="1:11" x14ac:dyDescent="0.25">
      <c r="A4190" t="s">
        <v>4230</v>
      </c>
      <c r="B4190" s="1">
        <v>45838.429629629631</v>
      </c>
      <c r="C4190" s="2" t="s">
        <v>26</v>
      </c>
      <c r="D4190" t="s">
        <v>23</v>
      </c>
      <c r="E4190">
        <v>1579</v>
      </c>
      <c r="F4190" t="s">
        <v>14</v>
      </c>
      <c r="G4190" t="s">
        <v>30</v>
      </c>
      <c r="H4190" t="s">
        <v>16</v>
      </c>
      <c r="I4190">
        <v>0</v>
      </c>
      <c r="J4190">
        <v>0</v>
      </c>
      <c r="K4190">
        <v>0</v>
      </c>
    </row>
    <row r="4191" spans="1:11" x14ac:dyDescent="0.25">
      <c r="A4191" t="s">
        <v>4231</v>
      </c>
      <c r="B4191" s="1">
        <v>45825.187523148146</v>
      </c>
      <c r="C4191" s="2" t="s">
        <v>29</v>
      </c>
      <c r="D4191" t="s">
        <v>45</v>
      </c>
      <c r="E4191">
        <v>95908</v>
      </c>
      <c r="F4191" t="s">
        <v>14</v>
      </c>
      <c r="G4191" t="s">
        <v>20</v>
      </c>
      <c r="H4191" t="s">
        <v>46</v>
      </c>
      <c r="I4191">
        <v>959.08</v>
      </c>
      <c r="J4191">
        <v>0</v>
      </c>
      <c r="K4191">
        <v>959.08</v>
      </c>
    </row>
    <row r="4192" spans="1:11" x14ac:dyDescent="0.25">
      <c r="A4192" t="s">
        <v>4232</v>
      </c>
      <c r="B4192" s="1">
        <v>45829.207152777781</v>
      </c>
      <c r="C4192" s="2" t="s">
        <v>12</v>
      </c>
      <c r="D4192" t="s">
        <v>45</v>
      </c>
      <c r="E4192">
        <v>99409</v>
      </c>
      <c r="F4192" t="s">
        <v>14</v>
      </c>
      <c r="G4192" t="s">
        <v>34</v>
      </c>
      <c r="H4192" t="s">
        <v>59</v>
      </c>
      <c r="I4192">
        <v>994.09</v>
      </c>
      <c r="J4192">
        <v>0</v>
      </c>
      <c r="K4192">
        <v>994.09</v>
      </c>
    </row>
    <row r="4193" spans="1:11" x14ac:dyDescent="0.25">
      <c r="A4193" t="s">
        <v>4233</v>
      </c>
      <c r="B4193" s="1">
        <v>45903.443819444445</v>
      </c>
      <c r="C4193" s="2" t="s">
        <v>32</v>
      </c>
      <c r="D4193" t="s">
        <v>33</v>
      </c>
      <c r="E4193">
        <v>22335</v>
      </c>
      <c r="F4193" t="s">
        <v>14</v>
      </c>
      <c r="G4193" t="s">
        <v>51</v>
      </c>
      <c r="H4193" t="s">
        <v>16</v>
      </c>
      <c r="I4193">
        <v>0</v>
      </c>
      <c r="J4193">
        <v>0</v>
      </c>
      <c r="K4193">
        <v>0</v>
      </c>
    </row>
    <row r="4194" spans="1:11" x14ac:dyDescent="0.25">
      <c r="A4194" t="s">
        <v>4234</v>
      </c>
      <c r="B4194" s="1">
        <v>46026.428576388891</v>
      </c>
      <c r="C4194" s="2" t="s">
        <v>29</v>
      </c>
      <c r="D4194" t="s">
        <v>45</v>
      </c>
      <c r="E4194">
        <v>62976</v>
      </c>
      <c r="F4194" t="s">
        <v>50</v>
      </c>
      <c r="G4194" t="s">
        <v>30</v>
      </c>
      <c r="H4194" t="s">
        <v>71</v>
      </c>
      <c r="I4194">
        <v>629.76</v>
      </c>
      <c r="J4194">
        <v>0</v>
      </c>
      <c r="K4194">
        <v>629.76</v>
      </c>
    </row>
    <row r="4195" spans="1:11" x14ac:dyDescent="0.25">
      <c r="A4195" t="s">
        <v>4235</v>
      </c>
      <c r="B4195" s="1">
        <v>45818.391863425924</v>
      </c>
      <c r="C4195" s="2" t="s">
        <v>12</v>
      </c>
      <c r="D4195" t="s">
        <v>23</v>
      </c>
      <c r="E4195">
        <v>920</v>
      </c>
      <c r="F4195" t="s">
        <v>50</v>
      </c>
      <c r="G4195" t="s">
        <v>51</v>
      </c>
      <c r="H4195" t="s">
        <v>16</v>
      </c>
      <c r="I4195">
        <v>0</v>
      </c>
      <c r="J4195">
        <v>0</v>
      </c>
      <c r="K4195">
        <v>0</v>
      </c>
    </row>
    <row r="4196" spans="1:11" x14ac:dyDescent="0.25">
      <c r="A4196" t="s">
        <v>4236</v>
      </c>
      <c r="B4196" s="1">
        <v>46081.773252314815</v>
      </c>
      <c r="C4196" s="2" t="s">
        <v>26</v>
      </c>
      <c r="D4196" t="s">
        <v>23</v>
      </c>
      <c r="E4196">
        <v>4315</v>
      </c>
      <c r="F4196" t="s">
        <v>14</v>
      </c>
      <c r="G4196" t="s">
        <v>58</v>
      </c>
      <c r="H4196" t="s">
        <v>16</v>
      </c>
      <c r="I4196">
        <v>0</v>
      </c>
      <c r="J4196">
        <v>0</v>
      </c>
      <c r="K4196">
        <v>0</v>
      </c>
    </row>
    <row r="4197" spans="1:11" x14ac:dyDescent="0.25">
      <c r="A4197" t="s">
        <v>4237</v>
      </c>
      <c r="B4197" s="1">
        <v>45804.339282407411</v>
      </c>
      <c r="C4197" s="2" t="s">
        <v>41</v>
      </c>
      <c r="D4197" t="s">
        <v>13</v>
      </c>
      <c r="E4197">
        <v>121500</v>
      </c>
      <c r="F4197" t="s">
        <v>14</v>
      </c>
      <c r="G4197" t="s">
        <v>34</v>
      </c>
      <c r="H4197" t="s">
        <v>16</v>
      </c>
      <c r="I4197">
        <v>2247.75</v>
      </c>
      <c r="J4197">
        <v>899.1</v>
      </c>
      <c r="K4197">
        <v>1348.65</v>
      </c>
    </row>
    <row r="4198" spans="1:11" x14ac:dyDescent="0.25">
      <c r="A4198" t="s">
        <v>4238</v>
      </c>
      <c r="B4198" s="1">
        <v>45938.911122685182</v>
      </c>
      <c r="C4198" s="2" t="s">
        <v>29</v>
      </c>
      <c r="D4198" t="s">
        <v>13</v>
      </c>
      <c r="E4198">
        <v>44500</v>
      </c>
      <c r="F4198" t="s">
        <v>14</v>
      </c>
      <c r="G4198" t="s">
        <v>24</v>
      </c>
      <c r="H4198" t="s">
        <v>16</v>
      </c>
      <c r="I4198">
        <v>823.25</v>
      </c>
      <c r="J4198">
        <v>329.3</v>
      </c>
      <c r="K4198">
        <v>493.95</v>
      </c>
    </row>
    <row r="4199" spans="1:11" x14ac:dyDescent="0.25">
      <c r="A4199" t="s">
        <v>4239</v>
      </c>
      <c r="B4199" s="1">
        <v>45967.864432870374</v>
      </c>
      <c r="C4199" s="2" t="s">
        <v>39</v>
      </c>
      <c r="D4199" t="s">
        <v>45</v>
      </c>
      <c r="E4199">
        <v>43104</v>
      </c>
      <c r="F4199" t="s">
        <v>14</v>
      </c>
      <c r="G4199" t="s">
        <v>30</v>
      </c>
      <c r="H4199" t="s">
        <v>46</v>
      </c>
      <c r="I4199">
        <v>431.04</v>
      </c>
      <c r="J4199">
        <v>0</v>
      </c>
      <c r="K4199">
        <v>431.04</v>
      </c>
    </row>
    <row r="4200" spans="1:11" x14ac:dyDescent="0.25">
      <c r="A4200" t="s">
        <v>4240</v>
      </c>
      <c r="B4200" s="1">
        <v>46029.061562499999</v>
      </c>
      <c r="C4200" s="2" t="s">
        <v>39</v>
      </c>
      <c r="D4200" t="s">
        <v>33</v>
      </c>
      <c r="E4200">
        <v>119184</v>
      </c>
      <c r="F4200" t="s">
        <v>50</v>
      </c>
      <c r="G4200" t="s">
        <v>34</v>
      </c>
      <c r="H4200" t="s">
        <v>16</v>
      </c>
      <c r="I4200">
        <v>0</v>
      </c>
      <c r="J4200">
        <v>0</v>
      </c>
      <c r="K4200">
        <v>0</v>
      </c>
    </row>
    <row r="4201" spans="1:11" x14ac:dyDescent="0.25">
      <c r="A4201" t="s">
        <v>4241</v>
      </c>
      <c r="B4201" s="1">
        <v>45914.512303240743</v>
      </c>
      <c r="C4201" s="2" t="s">
        <v>22</v>
      </c>
      <c r="D4201" t="s">
        <v>19</v>
      </c>
      <c r="E4201">
        <v>90237</v>
      </c>
      <c r="F4201" t="s">
        <v>14</v>
      </c>
      <c r="G4201" t="s">
        <v>27</v>
      </c>
      <c r="H4201" t="s">
        <v>16</v>
      </c>
      <c r="I4201">
        <v>5</v>
      </c>
      <c r="J4201">
        <v>0</v>
      </c>
      <c r="K4201">
        <v>5</v>
      </c>
    </row>
    <row r="4202" spans="1:11" x14ac:dyDescent="0.25">
      <c r="A4202" t="s">
        <v>4242</v>
      </c>
      <c r="B4202" s="1">
        <v>46046.6093287037</v>
      </c>
      <c r="C4202" s="2" t="s">
        <v>41</v>
      </c>
      <c r="D4202" t="s">
        <v>13</v>
      </c>
      <c r="E4202">
        <v>227000</v>
      </c>
      <c r="F4202" t="s">
        <v>14</v>
      </c>
      <c r="G4202" t="s">
        <v>34</v>
      </c>
      <c r="H4202" t="s">
        <v>16</v>
      </c>
      <c r="I4202">
        <v>4199.5</v>
      </c>
      <c r="J4202">
        <v>1679.8</v>
      </c>
      <c r="K4202">
        <v>2519.6999999999998</v>
      </c>
    </row>
    <row r="4203" spans="1:11" x14ac:dyDescent="0.25">
      <c r="A4203" t="s">
        <v>4243</v>
      </c>
      <c r="B4203" s="1">
        <v>46097.089097222219</v>
      </c>
      <c r="C4203" s="2" t="s">
        <v>12</v>
      </c>
      <c r="D4203" t="s">
        <v>19</v>
      </c>
      <c r="E4203">
        <v>91921</v>
      </c>
      <c r="F4203" t="s">
        <v>14</v>
      </c>
      <c r="G4203" t="s">
        <v>27</v>
      </c>
      <c r="H4203" t="s">
        <v>16</v>
      </c>
      <c r="I4203">
        <v>5</v>
      </c>
      <c r="J4203">
        <v>0</v>
      </c>
      <c r="K4203">
        <v>5</v>
      </c>
    </row>
    <row r="4204" spans="1:11" x14ac:dyDescent="0.25">
      <c r="A4204" t="s">
        <v>4244</v>
      </c>
      <c r="B4204" s="1">
        <v>45837.823437500003</v>
      </c>
      <c r="C4204" s="2" t="s">
        <v>41</v>
      </c>
      <c r="D4204" t="s">
        <v>23</v>
      </c>
      <c r="E4204">
        <v>19</v>
      </c>
      <c r="F4204" t="s">
        <v>14</v>
      </c>
      <c r="G4204" t="s">
        <v>30</v>
      </c>
      <c r="H4204" t="s">
        <v>16</v>
      </c>
      <c r="I4204">
        <v>0</v>
      </c>
      <c r="J4204">
        <v>0</v>
      </c>
      <c r="K4204">
        <v>0</v>
      </c>
    </row>
    <row r="4205" spans="1:11" x14ac:dyDescent="0.25">
      <c r="A4205" t="s">
        <v>4245</v>
      </c>
      <c r="B4205" s="1">
        <v>46097.662939814814</v>
      </c>
      <c r="C4205" s="2" t="s">
        <v>39</v>
      </c>
      <c r="D4205" t="s">
        <v>33</v>
      </c>
      <c r="E4205">
        <v>68238</v>
      </c>
      <c r="F4205" t="s">
        <v>14</v>
      </c>
      <c r="G4205" t="s">
        <v>84</v>
      </c>
      <c r="H4205" t="s">
        <v>16</v>
      </c>
      <c r="I4205">
        <v>0</v>
      </c>
      <c r="J4205">
        <v>0</v>
      </c>
      <c r="K4205">
        <v>0</v>
      </c>
    </row>
    <row r="4206" spans="1:11" x14ac:dyDescent="0.25">
      <c r="A4206" t="s">
        <v>4246</v>
      </c>
      <c r="B4206" s="1">
        <v>45938.430532407408</v>
      </c>
      <c r="C4206" s="2" t="s">
        <v>32</v>
      </c>
      <c r="D4206" t="s">
        <v>13</v>
      </c>
      <c r="E4206">
        <v>3000</v>
      </c>
      <c r="F4206" t="s">
        <v>14</v>
      </c>
      <c r="G4206" t="s">
        <v>24</v>
      </c>
      <c r="H4206" t="s">
        <v>16</v>
      </c>
      <c r="I4206">
        <v>55.5</v>
      </c>
      <c r="J4206">
        <v>22.2</v>
      </c>
      <c r="K4206">
        <v>33.299999999999997</v>
      </c>
    </row>
    <row r="4207" spans="1:11" x14ac:dyDescent="0.25">
      <c r="A4207" t="s">
        <v>4247</v>
      </c>
      <c r="B4207" s="1">
        <v>46028.020671296297</v>
      </c>
      <c r="C4207" s="2" t="s">
        <v>22</v>
      </c>
      <c r="D4207" t="s">
        <v>13</v>
      </c>
      <c r="E4207">
        <v>15500</v>
      </c>
      <c r="F4207" t="s">
        <v>14</v>
      </c>
      <c r="G4207" t="s">
        <v>27</v>
      </c>
      <c r="H4207" t="s">
        <v>16</v>
      </c>
      <c r="I4207">
        <v>286.75</v>
      </c>
      <c r="J4207">
        <v>114.7</v>
      </c>
      <c r="K4207">
        <v>172.05</v>
      </c>
    </row>
    <row r="4208" spans="1:11" x14ac:dyDescent="0.25">
      <c r="A4208" t="s">
        <v>4248</v>
      </c>
      <c r="B4208" s="1">
        <v>46131.512766203705</v>
      </c>
      <c r="C4208" s="2" t="s">
        <v>22</v>
      </c>
      <c r="D4208" t="s">
        <v>45</v>
      </c>
      <c r="E4208">
        <v>33207</v>
      </c>
      <c r="F4208" t="s">
        <v>14</v>
      </c>
      <c r="G4208" t="s">
        <v>84</v>
      </c>
      <c r="H4208" t="s">
        <v>59</v>
      </c>
      <c r="I4208">
        <v>332.07</v>
      </c>
      <c r="J4208">
        <v>0</v>
      </c>
      <c r="K4208">
        <v>332.07</v>
      </c>
    </row>
    <row r="4209" spans="1:11" x14ac:dyDescent="0.25">
      <c r="A4209" t="s">
        <v>4249</v>
      </c>
      <c r="B4209" s="1">
        <v>46033.813819444447</v>
      </c>
      <c r="C4209" s="2" t="s">
        <v>22</v>
      </c>
      <c r="D4209" t="s">
        <v>13</v>
      </c>
      <c r="E4209">
        <v>205500</v>
      </c>
      <c r="F4209" t="s">
        <v>99</v>
      </c>
      <c r="G4209" t="s">
        <v>51</v>
      </c>
      <c r="H4209" t="s">
        <v>16</v>
      </c>
      <c r="I4209">
        <v>3801.75</v>
      </c>
      <c r="J4209">
        <v>1520.7</v>
      </c>
      <c r="K4209">
        <v>2281.0500000000002</v>
      </c>
    </row>
    <row r="4210" spans="1:11" x14ac:dyDescent="0.25">
      <c r="A4210" t="s">
        <v>4250</v>
      </c>
      <c r="B4210" s="1">
        <v>45792.637650462966</v>
      </c>
      <c r="C4210" s="2" t="s">
        <v>41</v>
      </c>
      <c r="D4210" t="s">
        <v>19</v>
      </c>
      <c r="E4210">
        <v>61311</v>
      </c>
      <c r="F4210" t="s">
        <v>14</v>
      </c>
      <c r="G4210" t="s">
        <v>58</v>
      </c>
      <c r="H4210" t="s">
        <v>16</v>
      </c>
      <c r="I4210">
        <v>5</v>
      </c>
      <c r="J4210">
        <v>0</v>
      </c>
      <c r="K4210">
        <v>5</v>
      </c>
    </row>
    <row r="4211" spans="1:11" x14ac:dyDescent="0.25">
      <c r="A4211" t="s">
        <v>4251</v>
      </c>
      <c r="B4211" s="1">
        <v>45935.088703703703</v>
      </c>
      <c r="C4211" s="2" t="s">
        <v>12</v>
      </c>
      <c r="D4211" t="s">
        <v>13</v>
      </c>
      <c r="E4211">
        <v>50500</v>
      </c>
      <c r="F4211" t="s">
        <v>14</v>
      </c>
      <c r="G4211" t="s">
        <v>34</v>
      </c>
      <c r="H4211" t="s">
        <v>16</v>
      </c>
      <c r="I4211">
        <v>934.25</v>
      </c>
      <c r="J4211">
        <v>373.7</v>
      </c>
      <c r="K4211">
        <v>560.54999999999995</v>
      </c>
    </row>
    <row r="4212" spans="1:11" x14ac:dyDescent="0.25">
      <c r="A4212" t="s">
        <v>4252</v>
      </c>
      <c r="B4212" s="1">
        <v>46076.746608796297</v>
      </c>
      <c r="C4212" s="2" t="s">
        <v>18</v>
      </c>
      <c r="D4212" t="s">
        <v>45</v>
      </c>
      <c r="E4212">
        <v>17135</v>
      </c>
      <c r="F4212" t="s">
        <v>50</v>
      </c>
      <c r="G4212" t="s">
        <v>27</v>
      </c>
      <c r="H4212" t="s">
        <v>178</v>
      </c>
      <c r="I4212">
        <v>171.35</v>
      </c>
      <c r="J4212">
        <v>0</v>
      </c>
      <c r="K4212">
        <v>171.35</v>
      </c>
    </row>
    <row r="4213" spans="1:11" x14ac:dyDescent="0.25">
      <c r="A4213" t="s">
        <v>4253</v>
      </c>
      <c r="B4213" s="1">
        <v>45786.919270833336</v>
      </c>
      <c r="C4213" s="2" t="s">
        <v>32</v>
      </c>
      <c r="D4213" t="s">
        <v>23</v>
      </c>
      <c r="E4213">
        <v>4122</v>
      </c>
      <c r="F4213" t="s">
        <v>14</v>
      </c>
      <c r="G4213" t="s">
        <v>34</v>
      </c>
      <c r="H4213" t="s">
        <v>16</v>
      </c>
      <c r="I4213">
        <v>0</v>
      </c>
      <c r="J4213">
        <v>0</v>
      </c>
      <c r="K4213">
        <v>0</v>
      </c>
    </row>
    <row r="4214" spans="1:11" x14ac:dyDescent="0.25">
      <c r="A4214" t="s">
        <v>4254</v>
      </c>
      <c r="B4214" s="1">
        <v>45994.68513888889</v>
      </c>
      <c r="C4214" s="2" t="s">
        <v>12</v>
      </c>
      <c r="D4214" t="s">
        <v>13</v>
      </c>
      <c r="E4214">
        <v>50000</v>
      </c>
      <c r="F4214" t="s">
        <v>14</v>
      </c>
      <c r="G4214" t="s">
        <v>51</v>
      </c>
      <c r="H4214" t="s">
        <v>16</v>
      </c>
      <c r="I4214">
        <v>925</v>
      </c>
      <c r="J4214">
        <v>370</v>
      </c>
      <c r="K4214">
        <v>555</v>
      </c>
    </row>
    <row r="4215" spans="1:11" x14ac:dyDescent="0.25">
      <c r="A4215" t="s">
        <v>4255</v>
      </c>
      <c r="B4215" s="1">
        <v>45902.774699074071</v>
      </c>
      <c r="C4215" s="2" t="s">
        <v>18</v>
      </c>
      <c r="D4215" t="s">
        <v>33</v>
      </c>
      <c r="E4215">
        <v>111871</v>
      </c>
      <c r="F4215" t="s">
        <v>14</v>
      </c>
      <c r="G4215" t="s">
        <v>27</v>
      </c>
      <c r="H4215" t="s">
        <v>16</v>
      </c>
      <c r="I4215">
        <v>0</v>
      </c>
      <c r="J4215">
        <v>0</v>
      </c>
      <c r="K4215">
        <v>0</v>
      </c>
    </row>
    <row r="4216" spans="1:11" x14ac:dyDescent="0.25">
      <c r="A4216" t="s">
        <v>4256</v>
      </c>
      <c r="B4216" s="1">
        <v>45972.925844907404</v>
      </c>
      <c r="C4216" s="2" t="s">
        <v>12</v>
      </c>
      <c r="D4216" t="s">
        <v>13</v>
      </c>
      <c r="E4216">
        <v>54000</v>
      </c>
      <c r="F4216" t="s">
        <v>14</v>
      </c>
      <c r="G4216" t="s">
        <v>34</v>
      </c>
      <c r="H4216" t="s">
        <v>16</v>
      </c>
      <c r="I4216">
        <v>999</v>
      </c>
      <c r="J4216">
        <v>399.6</v>
      </c>
      <c r="K4216">
        <v>599.4</v>
      </c>
    </row>
    <row r="4217" spans="1:11" x14ac:dyDescent="0.25">
      <c r="A4217" t="s">
        <v>4257</v>
      </c>
      <c r="B4217" s="1">
        <v>45934.05332175926</v>
      </c>
      <c r="C4217" s="2" t="s">
        <v>32</v>
      </c>
      <c r="D4217" t="s">
        <v>19</v>
      </c>
      <c r="E4217">
        <v>39586</v>
      </c>
      <c r="F4217" t="s">
        <v>14</v>
      </c>
      <c r="G4217" t="s">
        <v>27</v>
      </c>
      <c r="H4217" t="s">
        <v>16</v>
      </c>
      <c r="I4217">
        <v>5</v>
      </c>
      <c r="J4217">
        <v>0</v>
      </c>
      <c r="K4217">
        <v>5</v>
      </c>
    </row>
    <row r="4218" spans="1:11" x14ac:dyDescent="0.25">
      <c r="A4218" t="s">
        <v>4258</v>
      </c>
      <c r="B4218" s="1">
        <v>45779.184201388889</v>
      </c>
      <c r="C4218" s="2" t="s">
        <v>22</v>
      </c>
      <c r="D4218" t="s">
        <v>33</v>
      </c>
      <c r="E4218">
        <v>68676</v>
      </c>
      <c r="F4218" t="s">
        <v>14</v>
      </c>
      <c r="G4218" t="s">
        <v>30</v>
      </c>
      <c r="H4218" t="s">
        <v>16</v>
      </c>
      <c r="I4218">
        <v>0</v>
      </c>
      <c r="J4218">
        <v>0</v>
      </c>
      <c r="K4218">
        <v>0</v>
      </c>
    </row>
    <row r="4219" spans="1:11" x14ac:dyDescent="0.25">
      <c r="A4219" t="s">
        <v>4259</v>
      </c>
      <c r="B4219" s="1">
        <v>46035.297650462962</v>
      </c>
      <c r="C4219" s="2" t="s">
        <v>26</v>
      </c>
      <c r="D4219" t="s">
        <v>33</v>
      </c>
      <c r="E4219">
        <v>112479</v>
      </c>
      <c r="F4219" t="s">
        <v>14</v>
      </c>
      <c r="G4219" t="s">
        <v>27</v>
      </c>
      <c r="H4219" t="s">
        <v>16</v>
      </c>
      <c r="I4219">
        <v>0</v>
      </c>
      <c r="J4219">
        <v>0</v>
      </c>
      <c r="K4219">
        <v>0</v>
      </c>
    </row>
    <row r="4220" spans="1:11" x14ac:dyDescent="0.25">
      <c r="A4220" t="s">
        <v>4260</v>
      </c>
      <c r="B4220" s="1">
        <v>45852.838842592595</v>
      </c>
      <c r="C4220" s="2" t="s">
        <v>32</v>
      </c>
      <c r="D4220" t="s">
        <v>33</v>
      </c>
      <c r="E4220">
        <v>137186</v>
      </c>
      <c r="F4220" t="s">
        <v>14</v>
      </c>
      <c r="G4220" t="s">
        <v>27</v>
      </c>
      <c r="H4220" t="s">
        <v>16</v>
      </c>
      <c r="I4220">
        <v>0</v>
      </c>
      <c r="J4220">
        <v>0</v>
      </c>
      <c r="K4220">
        <v>0</v>
      </c>
    </row>
    <row r="4221" spans="1:11" x14ac:dyDescent="0.25">
      <c r="A4221" t="s">
        <v>4261</v>
      </c>
      <c r="B4221" s="1">
        <v>45929.645810185182</v>
      </c>
      <c r="C4221" s="2" t="s">
        <v>39</v>
      </c>
      <c r="D4221" t="s">
        <v>33</v>
      </c>
      <c r="E4221">
        <v>141900</v>
      </c>
      <c r="F4221" t="s">
        <v>50</v>
      </c>
      <c r="G4221" t="s">
        <v>15</v>
      </c>
      <c r="H4221" t="s">
        <v>16</v>
      </c>
      <c r="I4221">
        <v>0</v>
      </c>
      <c r="J4221">
        <v>0</v>
      </c>
      <c r="K4221">
        <v>0</v>
      </c>
    </row>
    <row r="4222" spans="1:11" x14ac:dyDescent="0.25">
      <c r="A4222" t="s">
        <v>4262</v>
      </c>
      <c r="B4222" s="1">
        <v>46076.817499999997</v>
      </c>
      <c r="C4222" s="2" t="s">
        <v>18</v>
      </c>
      <c r="D4222" t="s">
        <v>45</v>
      </c>
      <c r="E4222">
        <v>523</v>
      </c>
      <c r="F4222" t="s">
        <v>14</v>
      </c>
      <c r="G4222" t="s">
        <v>34</v>
      </c>
      <c r="H4222" t="s">
        <v>59</v>
      </c>
      <c r="I4222">
        <v>5.23</v>
      </c>
      <c r="J4222">
        <v>0</v>
      </c>
      <c r="K4222">
        <v>5.23</v>
      </c>
    </row>
    <row r="4223" spans="1:11" x14ac:dyDescent="0.25">
      <c r="A4223" t="s">
        <v>4263</v>
      </c>
      <c r="B4223" s="1">
        <v>46141.78670138889</v>
      </c>
      <c r="C4223" s="2" t="s">
        <v>32</v>
      </c>
      <c r="D4223" t="s">
        <v>45</v>
      </c>
      <c r="E4223">
        <v>68890</v>
      </c>
      <c r="F4223" t="s">
        <v>14</v>
      </c>
      <c r="G4223" t="s">
        <v>51</v>
      </c>
      <c r="H4223" t="s">
        <v>71</v>
      </c>
      <c r="I4223">
        <v>688.9</v>
      </c>
      <c r="J4223">
        <v>0</v>
      </c>
      <c r="K4223">
        <v>688.9</v>
      </c>
    </row>
    <row r="4224" spans="1:11" x14ac:dyDescent="0.25">
      <c r="A4224" t="s">
        <v>4264</v>
      </c>
      <c r="B4224" s="1">
        <v>46093.053287037037</v>
      </c>
      <c r="C4224" s="2" t="s">
        <v>41</v>
      </c>
      <c r="D4224" t="s">
        <v>13</v>
      </c>
      <c r="E4224">
        <v>22000</v>
      </c>
      <c r="F4224" t="s">
        <v>14</v>
      </c>
      <c r="G4224" t="s">
        <v>30</v>
      </c>
      <c r="H4224" t="s">
        <v>16</v>
      </c>
      <c r="I4224">
        <v>407</v>
      </c>
      <c r="J4224">
        <v>162.80000000000001</v>
      </c>
      <c r="K4224">
        <v>244.2</v>
      </c>
    </row>
    <row r="4225" spans="1:11" x14ac:dyDescent="0.25">
      <c r="A4225" t="s">
        <v>4265</v>
      </c>
      <c r="B4225" s="1">
        <v>46006.25271990741</v>
      </c>
      <c r="C4225" s="2" t="s">
        <v>32</v>
      </c>
      <c r="D4225" t="s">
        <v>23</v>
      </c>
      <c r="E4225">
        <v>1582</v>
      </c>
      <c r="F4225" t="s">
        <v>14</v>
      </c>
      <c r="G4225" t="s">
        <v>15</v>
      </c>
      <c r="H4225" t="s">
        <v>16</v>
      </c>
      <c r="I4225">
        <v>0</v>
      </c>
      <c r="J4225">
        <v>0</v>
      </c>
      <c r="K4225">
        <v>0</v>
      </c>
    </row>
    <row r="4226" spans="1:11" x14ac:dyDescent="0.25">
      <c r="A4226" t="s">
        <v>4266</v>
      </c>
      <c r="B4226" s="1">
        <v>45830.217048611114</v>
      </c>
      <c r="C4226" s="2" t="s">
        <v>32</v>
      </c>
      <c r="D4226" t="s">
        <v>45</v>
      </c>
      <c r="E4226">
        <v>134412</v>
      </c>
      <c r="F4226" t="s">
        <v>14</v>
      </c>
      <c r="G4226" t="s">
        <v>15</v>
      </c>
      <c r="H4226" t="s">
        <v>56</v>
      </c>
      <c r="I4226">
        <v>1344.12</v>
      </c>
      <c r="J4226">
        <v>0</v>
      </c>
      <c r="K4226">
        <v>1344.12</v>
      </c>
    </row>
    <row r="4227" spans="1:11" x14ac:dyDescent="0.25">
      <c r="A4227" t="s">
        <v>4267</v>
      </c>
      <c r="B4227" s="1">
        <v>45992.727719907409</v>
      </c>
      <c r="C4227" s="2" t="s">
        <v>18</v>
      </c>
      <c r="D4227" t="s">
        <v>13</v>
      </c>
      <c r="E4227">
        <v>152000</v>
      </c>
      <c r="F4227" t="s">
        <v>14</v>
      </c>
      <c r="G4227" t="s">
        <v>20</v>
      </c>
      <c r="H4227" t="s">
        <v>16</v>
      </c>
      <c r="I4227">
        <v>2812</v>
      </c>
      <c r="J4227">
        <v>1124.8</v>
      </c>
      <c r="K4227">
        <v>1687.2</v>
      </c>
    </row>
    <row r="4228" spans="1:11" x14ac:dyDescent="0.25">
      <c r="A4228" t="s">
        <v>4268</v>
      </c>
      <c r="B4228" s="1">
        <v>45996.94021990741</v>
      </c>
      <c r="C4228" s="2" t="s">
        <v>29</v>
      </c>
      <c r="D4228" t="s">
        <v>45</v>
      </c>
      <c r="E4228">
        <v>45334</v>
      </c>
      <c r="F4228" t="s">
        <v>14</v>
      </c>
      <c r="G4228" t="s">
        <v>27</v>
      </c>
      <c r="H4228" t="s">
        <v>71</v>
      </c>
      <c r="I4228">
        <v>453.34</v>
      </c>
      <c r="J4228">
        <v>0</v>
      </c>
      <c r="K4228">
        <v>453.34</v>
      </c>
    </row>
    <row r="4229" spans="1:11" x14ac:dyDescent="0.25">
      <c r="A4229" t="s">
        <v>4269</v>
      </c>
      <c r="B4229" s="1">
        <v>45872.422685185185</v>
      </c>
      <c r="C4229" s="2" t="s">
        <v>41</v>
      </c>
      <c r="D4229" t="s">
        <v>45</v>
      </c>
      <c r="E4229">
        <v>98676</v>
      </c>
      <c r="F4229" t="s">
        <v>50</v>
      </c>
      <c r="G4229" t="s">
        <v>84</v>
      </c>
      <c r="H4229" t="s">
        <v>71</v>
      </c>
      <c r="I4229">
        <v>986.76</v>
      </c>
      <c r="J4229">
        <v>0</v>
      </c>
      <c r="K4229">
        <v>986.76</v>
      </c>
    </row>
    <row r="4230" spans="1:11" x14ac:dyDescent="0.25">
      <c r="A4230" t="s">
        <v>4270</v>
      </c>
      <c r="B4230" s="1">
        <v>46105.575358796297</v>
      </c>
      <c r="C4230" s="2" t="s">
        <v>26</v>
      </c>
      <c r="D4230" t="s">
        <v>45</v>
      </c>
      <c r="E4230">
        <v>131500</v>
      </c>
      <c r="F4230" t="s">
        <v>14</v>
      </c>
      <c r="G4230" t="s">
        <v>34</v>
      </c>
      <c r="H4230" t="s">
        <v>178</v>
      </c>
      <c r="I4230">
        <v>1315</v>
      </c>
      <c r="J4230">
        <v>0</v>
      </c>
      <c r="K4230">
        <v>1315</v>
      </c>
    </row>
    <row r="4231" spans="1:11" x14ac:dyDescent="0.25">
      <c r="A4231" t="s">
        <v>4271</v>
      </c>
      <c r="B4231" s="1">
        <v>45784.692337962966</v>
      </c>
      <c r="C4231" s="2" t="s">
        <v>29</v>
      </c>
      <c r="D4231" t="s">
        <v>19</v>
      </c>
      <c r="E4231">
        <v>25225</v>
      </c>
      <c r="F4231" t="s">
        <v>50</v>
      </c>
      <c r="G4231" t="s">
        <v>15</v>
      </c>
      <c r="H4231" t="s">
        <v>16</v>
      </c>
      <c r="I4231">
        <v>5</v>
      </c>
      <c r="J4231">
        <v>0</v>
      </c>
      <c r="K4231">
        <v>5</v>
      </c>
    </row>
    <row r="4232" spans="1:11" x14ac:dyDescent="0.25">
      <c r="A4232" t="s">
        <v>4272</v>
      </c>
      <c r="B4232" s="1">
        <v>46114.277465277781</v>
      </c>
      <c r="C4232" s="2" t="s">
        <v>41</v>
      </c>
      <c r="D4232" t="s">
        <v>23</v>
      </c>
      <c r="E4232">
        <v>376</v>
      </c>
      <c r="F4232" t="s">
        <v>50</v>
      </c>
      <c r="G4232" t="s">
        <v>84</v>
      </c>
      <c r="H4232" t="s">
        <v>16</v>
      </c>
      <c r="I4232">
        <v>0</v>
      </c>
      <c r="J4232">
        <v>0</v>
      </c>
      <c r="K4232">
        <v>0</v>
      </c>
    </row>
    <row r="4233" spans="1:11" x14ac:dyDescent="0.25">
      <c r="A4233" t="s">
        <v>4273</v>
      </c>
      <c r="B4233" s="1">
        <v>45978.891967592594</v>
      </c>
      <c r="C4233" s="2" t="s">
        <v>39</v>
      </c>
      <c r="D4233" t="s">
        <v>33</v>
      </c>
      <c r="E4233">
        <v>149731</v>
      </c>
      <c r="F4233" t="s">
        <v>14</v>
      </c>
      <c r="G4233" t="s">
        <v>15</v>
      </c>
      <c r="H4233" t="s">
        <v>16</v>
      </c>
      <c r="I4233">
        <v>0</v>
      </c>
      <c r="J4233">
        <v>0</v>
      </c>
      <c r="K4233">
        <v>0</v>
      </c>
    </row>
    <row r="4234" spans="1:11" x14ac:dyDescent="0.25">
      <c r="A4234" t="s">
        <v>4274</v>
      </c>
      <c r="B4234" s="1">
        <v>45900.392731481479</v>
      </c>
      <c r="C4234" s="2" t="s">
        <v>39</v>
      </c>
      <c r="D4234" t="s">
        <v>23</v>
      </c>
      <c r="E4234">
        <v>2820</v>
      </c>
      <c r="F4234" t="s">
        <v>14</v>
      </c>
      <c r="G4234" t="s">
        <v>34</v>
      </c>
      <c r="H4234" t="s">
        <v>16</v>
      </c>
      <c r="I4234">
        <v>0</v>
      </c>
      <c r="J4234">
        <v>0</v>
      </c>
      <c r="K4234">
        <v>0</v>
      </c>
    </row>
    <row r="4235" spans="1:11" x14ac:dyDescent="0.25">
      <c r="A4235" t="s">
        <v>4275</v>
      </c>
      <c r="B4235" s="1">
        <v>46044.214768518519</v>
      </c>
      <c r="C4235" s="2" t="s">
        <v>29</v>
      </c>
      <c r="D4235" t="s">
        <v>13</v>
      </c>
      <c r="E4235">
        <v>60500</v>
      </c>
      <c r="F4235" t="s">
        <v>14</v>
      </c>
      <c r="G4235" t="s">
        <v>58</v>
      </c>
      <c r="H4235" t="s">
        <v>16</v>
      </c>
      <c r="I4235">
        <v>1119.25</v>
      </c>
      <c r="J4235">
        <v>447.7</v>
      </c>
      <c r="K4235">
        <v>671.55</v>
      </c>
    </row>
    <row r="4236" spans="1:11" x14ac:dyDescent="0.25">
      <c r="A4236" t="s">
        <v>4276</v>
      </c>
      <c r="B4236" s="1">
        <v>45837.090821759259</v>
      </c>
      <c r="C4236" s="2" t="s">
        <v>26</v>
      </c>
      <c r="D4236" t="s">
        <v>23</v>
      </c>
      <c r="E4236">
        <v>4638</v>
      </c>
      <c r="F4236" t="s">
        <v>14</v>
      </c>
      <c r="G4236" t="s">
        <v>24</v>
      </c>
      <c r="H4236" t="s">
        <v>16</v>
      </c>
      <c r="I4236">
        <v>0</v>
      </c>
      <c r="J4236">
        <v>0</v>
      </c>
      <c r="K4236">
        <v>0</v>
      </c>
    </row>
    <row r="4237" spans="1:11" x14ac:dyDescent="0.25">
      <c r="A4237" t="s">
        <v>4277</v>
      </c>
      <c r="B4237" s="1">
        <v>46105.174375000002</v>
      </c>
      <c r="C4237" s="2" t="s">
        <v>32</v>
      </c>
      <c r="D4237" t="s">
        <v>13</v>
      </c>
      <c r="E4237">
        <v>51500</v>
      </c>
      <c r="F4237" t="s">
        <v>14</v>
      </c>
      <c r="G4237" t="s">
        <v>27</v>
      </c>
      <c r="H4237" t="s">
        <v>16</v>
      </c>
      <c r="I4237">
        <v>952.75</v>
      </c>
      <c r="J4237">
        <v>381.1</v>
      </c>
      <c r="K4237">
        <v>571.65</v>
      </c>
    </row>
    <row r="4238" spans="1:11" x14ac:dyDescent="0.25">
      <c r="A4238" t="s">
        <v>4278</v>
      </c>
      <c r="B4238" s="1">
        <v>45840.742013888892</v>
      </c>
      <c r="C4238" s="2" t="s">
        <v>26</v>
      </c>
      <c r="D4238" t="s">
        <v>19</v>
      </c>
      <c r="E4238">
        <v>129823</v>
      </c>
      <c r="F4238" t="s">
        <v>14</v>
      </c>
      <c r="G4238" t="s">
        <v>30</v>
      </c>
      <c r="H4238" t="s">
        <v>16</v>
      </c>
      <c r="I4238">
        <v>5</v>
      </c>
      <c r="J4238">
        <v>0</v>
      </c>
      <c r="K4238">
        <v>5</v>
      </c>
    </row>
    <row r="4239" spans="1:11" x14ac:dyDescent="0.25">
      <c r="A4239" t="s">
        <v>4279</v>
      </c>
      <c r="B4239" s="1">
        <v>46002.29346064815</v>
      </c>
      <c r="C4239" s="2" t="s">
        <v>39</v>
      </c>
      <c r="D4239" t="s">
        <v>33</v>
      </c>
      <c r="E4239">
        <v>50833</v>
      </c>
      <c r="F4239" t="s">
        <v>14</v>
      </c>
      <c r="G4239" t="s">
        <v>51</v>
      </c>
      <c r="H4239" t="s">
        <v>16</v>
      </c>
      <c r="I4239">
        <v>0</v>
      </c>
      <c r="J4239">
        <v>0</v>
      </c>
      <c r="K4239">
        <v>0</v>
      </c>
    </row>
    <row r="4240" spans="1:11" x14ac:dyDescent="0.25">
      <c r="A4240" t="s">
        <v>4280</v>
      </c>
      <c r="B4240" s="1">
        <v>45913.14099537037</v>
      </c>
      <c r="C4240" s="2" t="s">
        <v>29</v>
      </c>
      <c r="D4240" t="s">
        <v>23</v>
      </c>
      <c r="E4240">
        <v>3169</v>
      </c>
      <c r="F4240" t="s">
        <v>14</v>
      </c>
      <c r="G4240" t="s">
        <v>84</v>
      </c>
      <c r="H4240" t="s">
        <v>16</v>
      </c>
      <c r="I4240">
        <v>0</v>
      </c>
      <c r="J4240">
        <v>0</v>
      </c>
      <c r="K4240">
        <v>0</v>
      </c>
    </row>
    <row r="4241" spans="1:11" x14ac:dyDescent="0.25">
      <c r="A4241" t="s">
        <v>4281</v>
      </c>
      <c r="B4241" s="1">
        <v>45871.542048611111</v>
      </c>
      <c r="C4241" s="2" t="s">
        <v>22</v>
      </c>
      <c r="D4241" t="s">
        <v>45</v>
      </c>
      <c r="E4241">
        <v>61920</v>
      </c>
      <c r="F4241" t="s">
        <v>14</v>
      </c>
      <c r="G4241" t="s">
        <v>34</v>
      </c>
      <c r="H4241" t="s">
        <v>178</v>
      </c>
      <c r="I4241">
        <v>619.20000000000005</v>
      </c>
      <c r="J4241">
        <v>0</v>
      </c>
      <c r="K4241">
        <v>619.20000000000005</v>
      </c>
    </row>
    <row r="4242" spans="1:11" x14ac:dyDescent="0.25">
      <c r="A4242" t="s">
        <v>4282</v>
      </c>
      <c r="B4242" s="1">
        <v>45850.732615740744</v>
      </c>
      <c r="C4242" s="2" t="s">
        <v>32</v>
      </c>
      <c r="D4242" t="s">
        <v>45</v>
      </c>
      <c r="E4242">
        <v>124609</v>
      </c>
      <c r="F4242" t="s">
        <v>14</v>
      </c>
      <c r="G4242" t="s">
        <v>58</v>
      </c>
      <c r="H4242" t="s">
        <v>46</v>
      </c>
      <c r="I4242">
        <v>1246.0899999999999</v>
      </c>
      <c r="J4242">
        <v>0</v>
      </c>
      <c r="K4242">
        <v>1246.0899999999999</v>
      </c>
    </row>
    <row r="4243" spans="1:11" x14ac:dyDescent="0.25">
      <c r="A4243" t="s">
        <v>4283</v>
      </c>
      <c r="B4243" s="1">
        <v>46126.555497685185</v>
      </c>
      <c r="C4243" s="2" t="s">
        <v>22</v>
      </c>
      <c r="D4243" t="s">
        <v>23</v>
      </c>
      <c r="E4243">
        <v>3825</v>
      </c>
      <c r="F4243" t="s">
        <v>14</v>
      </c>
      <c r="G4243" t="s">
        <v>51</v>
      </c>
      <c r="H4243" t="s">
        <v>16</v>
      </c>
      <c r="I4243">
        <v>0</v>
      </c>
      <c r="J4243">
        <v>0</v>
      </c>
      <c r="K4243">
        <v>0</v>
      </c>
    </row>
    <row r="4244" spans="1:11" x14ac:dyDescent="0.25">
      <c r="A4244" t="s">
        <v>4284</v>
      </c>
      <c r="B4244" s="1">
        <v>45837.605196759258</v>
      </c>
      <c r="C4244" s="2" t="s">
        <v>39</v>
      </c>
      <c r="D4244" t="s">
        <v>23</v>
      </c>
      <c r="E4244">
        <v>3523</v>
      </c>
      <c r="F4244" t="s">
        <v>50</v>
      </c>
      <c r="G4244" t="s">
        <v>30</v>
      </c>
      <c r="H4244" t="s">
        <v>16</v>
      </c>
      <c r="I4244">
        <v>0</v>
      </c>
      <c r="J4244">
        <v>0</v>
      </c>
      <c r="K4244">
        <v>0</v>
      </c>
    </row>
    <row r="4245" spans="1:11" x14ac:dyDescent="0.25">
      <c r="A4245" t="s">
        <v>4285</v>
      </c>
      <c r="B4245" s="1">
        <v>45951.005023148151</v>
      </c>
      <c r="C4245" s="2" t="s">
        <v>41</v>
      </c>
      <c r="D4245" t="s">
        <v>19</v>
      </c>
      <c r="E4245">
        <v>91412</v>
      </c>
      <c r="F4245" t="s">
        <v>14</v>
      </c>
      <c r="G4245" t="s">
        <v>20</v>
      </c>
      <c r="H4245" t="s">
        <v>16</v>
      </c>
      <c r="I4245">
        <v>5</v>
      </c>
      <c r="J4245">
        <v>0</v>
      </c>
      <c r="K4245">
        <v>5</v>
      </c>
    </row>
    <row r="4246" spans="1:11" x14ac:dyDescent="0.25">
      <c r="A4246" t="s">
        <v>4286</v>
      </c>
      <c r="B4246" s="1">
        <v>46023.273009259261</v>
      </c>
      <c r="C4246" s="2" t="s">
        <v>26</v>
      </c>
      <c r="D4246" t="s">
        <v>33</v>
      </c>
      <c r="E4246">
        <v>109883</v>
      </c>
      <c r="F4246" t="s">
        <v>99</v>
      </c>
      <c r="G4246" t="s">
        <v>84</v>
      </c>
      <c r="H4246" t="s">
        <v>16</v>
      </c>
      <c r="I4246">
        <v>0</v>
      </c>
      <c r="J4246">
        <v>0</v>
      </c>
      <c r="K4246">
        <v>0</v>
      </c>
    </row>
    <row r="4247" spans="1:11" x14ac:dyDescent="0.25">
      <c r="A4247" t="s">
        <v>4287</v>
      </c>
      <c r="B4247" s="1">
        <v>45830.86928240741</v>
      </c>
      <c r="C4247" s="2" t="s">
        <v>18</v>
      </c>
      <c r="D4247" t="s">
        <v>13</v>
      </c>
      <c r="E4247">
        <v>47500</v>
      </c>
      <c r="F4247" t="s">
        <v>14</v>
      </c>
      <c r="G4247" t="s">
        <v>58</v>
      </c>
      <c r="H4247" t="s">
        <v>16</v>
      </c>
      <c r="I4247">
        <v>878.75</v>
      </c>
      <c r="J4247">
        <v>351.5</v>
      </c>
      <c r="K4247">
        <v>527.25</v>
      </c>
    </row>
    <row r="4248" spans="1:11" x14ac:dyDescent="0.25">
      <c r="A4248" t="s">
        <v>4288</v>
      </c>
      <c r="B4248" s="1">
        <v>45882.677256944444</v>
      </c>
      <c r="C4248" s="2" t="s">
        <v>32</v>
      </c>
      <c r="D4248" t="s">
        <v>13</v>
      </c>
      <c r="E4248">
        <v>188500</v>
      </c>
      <c r="F4248" t="s">
        <v>14</v>
      </c>
      <c r="G4248" t="s">
        <v>84</v>
      </c>
      <c r="H4248" t="s">
        <v>16</v>
      </c>
      <c r="I4248">
        <v>3487.25</v>
      </c>
      <c r="J4248">
        <v>1394.9</v>
      </c>
      <c r="K4248">
        <v>2092.35</v>
      </c>
    </row>
    <row r="4249" spans="1:11" x14ac:dyDescent="0.25">
      <c r="A4249" t="s">
        <v>4289</v>
      </c>
      <c r="B4249" s="1">
        <v>46083.633715277778</v>
      </c>
      <c r="C4249" s="2" t="s">
        <v>39</v>
      </c>
      <c r="D4249" t="s">
        <v>33</v>
      </c>
      <c r="E4249">
        <v>83390</v>
      </c>
      <c r="F4249" t="s">
        <v>14</v>
      </c>
      <c r="G4249" t="s">
        <v>84</v>
      </c>
      <c r="H4249" t="s">
        <v>16</v>
      </c>
      <c r="I4249">
        <v>0</v>
      </c>
      <c r="J4249">
        <v>0</v>
      </c>
      <c r="K4249">
        <v>0</v>
      </c>
    </row>
    <row r="4250" spans="1:11" x14ac:dyDescent="0.25">
      <c r="A4250" t="s">
        <v>4290</v>
      </c>
      <c r="B4250" s="1">
        <v>46044.237557870372</v>
      </c>
      <c r="C4250" s="2" t="s">
        <v>32</v>
      </c>
      <c r="D4250" t="s">
        <v>33</v>
      </c>
      <c r="E4250">
        <v>119564</v>
      </c>
      <c r="F4250" t="s">
        <v>14</v>
      </c>
      <c r="G4250" t="s">
        <v>27</v>
      </c>
      <c r="H4250" t="s">
        <v>16</v>
      </c>
      <c r="I4250">
        <v>0</v>
      </c>
      <c r="J4250">
        <v>0</v>
      </c>
      <c r="K4250">
        <v>0</v>
      </c>
    </row>
    <row r="4251" spans="1:11" x14ac:dyDescent="0.25">
      <c r="A4251" t="s">
        <v>4291</v>
      </c>
      <c r="B4251" s="1">
        <v>46071.092233796298</v>
      </c>
      <c r="C4251" s="2" t="s">
        <v>41</v>
      </c>
      <c r="D4251" t="s">
        <v>13</v>
      </c>
      <c r="E4251">
        <v>176500</v>
      </c>
      <c r="F4251" t="s">
        <v>14</v>
      </c>
      <c r="G4251" t="s">
        <v>15</v>
      </c>
      <c r="H4251" t="s">
        <v>16</v>
      </c>
      <c r="I4251">
        <v>3265.25</v>
      </c>
      <c r="J4251">
        <v>1306.0999999999999</v>
      </c>
      <c r="K4251">
        <v>1959.15</v>
      </c>
    </row>
    <row r="4252" spans="1:11" x14ac:dyDescent="0.25">
      <c r="A4252" t="s">
        <v>4292</v>
      </c>
      <c r="B4252" s="1">
        <v>46062.313472222224</v>
      </c>
      <c r="C4252" s="2" t="s">
        <v>41</v>
      </c>
      <c r="D4252" t="s">
        <v>19</v>
      </c>
      <c r="E4252">
        <v>75012</v>
      </c>
      <c r="F4252" t="s">
        <v>14</v>
      </c>
      <c r="G4252" t="s">
        <v>20</v>
      </c>
      <c r="H4252" t="s">
        <v>16</v>
      </c>
      <c r="I4252">
        <v>5</v>
      </c>
      <c r="J4252">
        <v>0</v>
      </c>
      <c r="K4252">
        <v>5</v>
      </c>
    </row>
    <row r="4253" spans="1:11" x14ac:dyDescent="0.25">
      <c r="A4253" t="s">
        <v>4293</v>
      </c>
      <c r="B4253" s="1">
        <v>46027.810590277775</v>
      </c>
      <c r="C4253" s="2" t="s">
        <v>26</v>
      </c>
      <c r="D4253" t="s">
        <v>45</v>
      </c>
      <c r="E4253">
        <v>43321</v>
      </c>
      <c r="F4253" t="s">
        <v>14</v>
      </c>
      <c r="G4253" t="s">
        <v>58</v>
      </c>
      <c r="H4253" t="s">
        <v>59</v>
      </c>
      <c r="I4253">
        <v>433.21</v>
      </c>
      <c r="J4253">
        <v>0</v>
      </c>
      <c r="K4253">
        <v>433.21</v>
      </c>
    </row>
    <row r="4254" spans="1:11" x14ac:dyDescent="0.25">
      <c r="A4254" t="s">
        <v>4294</v>
      </c>
      <c r="B4254" s="1">
        <v>46014.425370370373</v>
      </c>
      <c r="C4254" s="2" t="s">
        <v>22</v>
      </c>
      <c r="D4254" t="s">
        <v>45</v>
      </c>
      <c r="E4254">
        <v>119713</v>
      </c>
      <c r="F4254" t="s">
        <v>14</v>
      </c>
      <c r="G4254" t="s">
        <v>51</v>
      </c>
      <c r="H4254" t="s">
        <v>46</v>
      </c>
      <c r="I4254">
        <v>1197.1300000000001</v>
      </c>
      <c r="J4254">
        <v>0</v>
      </c>
      <c r="K4254">
        <v>1197.1300000000001</v>
      </c>
    </row>
    <row r="4255" spans="1:11" x14ac:dyDescent="0.25">
      <c r="A4255" t="s">
        <v>4295</v>
      </c>
      <c r="B4255" s="1">
        <v>45941.503865740742</v>
      </c>
      <c r="C4255" s="2" t="s">
        <v>12</v>
      </c>
      <c r="D4255" t="s">
        <v>45</v>
      </c>
      <c r="E4255">
        <v>71611</v>
      </c>
      <c r="F4255" t="s">
        <v>50</v>
      </c>
      <c r="G4255" t="s">
        <v>20</v>
      </c>
      <c r="H4255" t="s">
        <v>178</v>
      </c>
      <c r="I4255">
        <v>716.11</v>
      </c>
      <c r="J4255">
        <v>0</v>
      </c>
      <c r="K4255">
        <v>716.11</v>
      </c>
    </row>
    <row r="4256" spans="1:11" x14ac:dyDescent="0.25">
      <c r="A4256" t="s">
        <v>4296</v>
      </c>
      <c r="B4256" s="1">
        <v>45856.443171296298</v>
      </c>
      <c r="C4256" s="2" t="s">
        <v>41</v>
      </c>
      <c r="D4256" t="s">
        <v>19</v>
      </c>
      <c r="E4256">
        <v>41358</v>
      </c>
      <c r="F4256" t="s">
        <v>14</v>
      </c>
      <c r="G4256" t="s">
        <v>84</v>
      </c>
      <c r="H4256" t="s">
        <v>16</v>
      </c>
      <c r="I4256">
        <v>5</v>
      </c>
      <c r="J4256">
        <v>0</v>
      </c>
      <c r="K4256">
        <v>5</v>
      </c>
    </row>
    <row r="4257" spans="1:11" x14ac:dyDescent="0.25">
      <c r="A4257" t="s">
        <v>4297</v>
      </c>
      <c r="B4257" s="1">
        <v>46033.259618055556</v>
      </c>
      <c r="C4257" s="2" t="s">
        <v>41</v>
      </c>
      <c r="D4257" t="s">
        <v>45</v>
      </c>
      <c r="E4257">
        <v>32155</v>
      </c>
      <c r="F4257" t="s">
        <v>14</v>
      </c>
      <c r="G4257" t="s">
        <v>58</v>
      </c>
      <c r="H4257" t="s">
        <v>56</v>
      </c>
      <c r="I4257">
        <v>321.55</v>
      </c>
      <c r="J4257">
        <v>0</v>
      </c>
      <c r="K4257">
        <v>321.55</v>
      </c>
    </row>
    <row r="4258" spans="1:11" x14ac:dyDescent="0.25">
      <c r="A4258" t="s">
        <v>4298</v>
      </c>
      <c r="B4258" s="1">
        <v>46094.813402777778</v>
      </c>
      <c r="C4258" s="2" t="s">
        <v>12</v>
      </c>
      <c r="D4258" t="s">
        <v>23</v>
      </c>
      <c r="E4258">
        <v>1051</v>
      </c>
      <c r="F4258" t="s">
        <v>14</v>
      </c>
      <c r="G4258" t="s">
        <v>24</v>
      </c>
      <c r="H4258" t="s">
        <v>16</v>
      </c>
      <c r="I4258">
        <v>0</v>
      </c>
      <c r="J4258">
        <v>0</v>
      </c>
      <c r="K4258">
        <v>0</v>
      </c>
    </row>
    <row r="4259" spans="1:11" x14ac:dyDescent="0.25">
      <c r="A4259" t="s">
        <v>4299</v>
      </c>
      <c r="B4259" s="1">
        <v>45905.213437500002</v>
      </c>
      <c r="C4259" s="2" t="s">
        <v>18</v>
      </c>
      <c r="D4259" t="s">
        <v>13</v>
      </c>
      <c r="E4259">
        <v>121500</v>
      </c>
      <c r="F4259" t="s">
        <v>14</v>
      </c>
      <c r="G4259" t="s">
        <v>34</v>
      </c>
      <c r="H4259" t="s">
        <v>16</v>
      </c>
      <c r="I4259">
        <v>2247.75</v>
      </c>
      <c r="J4259">
        <v>899.1</v>
      </c>
      <c r="K4259">
        <v>1348.65</v>
      </c>
    </row>
    <row r="4260" spans="1:11" x14ac:dyDescent="0.25">
      <c r="A4260" t="s">
        <v>4300</v>
      </c>
      <c r="B4260" s="1">
        <v>45994.828136574077</v>
      </c>
      <c r="C4260" s="2" t="s">
        <v>26</v>
      </c>
      <c r="D4260" t="s">
        <v>45</v>
      </c>
      <c r="E4260">
        <v>131530</v>
      </c>
      <c r="F4260" t="s">
        <v>14</v>
      </c>
      <c r="G4260" t="s">
        <v>30</v>
      </c>
      <c r="H4260" t="s">
        <v>71</v>
      </c>
      <c r="I4260">
        <v>1315.3</v>
      </c>
      <c r="J4260">
        <v>0</v>
      </c>
      <c r="K4260">
        <v>1315.3</v>
      </c>
    </row>
    <row r="4261" spans="1:11" x14ac:dyDescent="0.25">
      <c r="A4261" t="s">
        <v>4301</v>
      </c>
      <c r="B4261" s="1">
        <v>45892.890694444446</v>
      </c>
      <c r="C4261" s="2" t="s">
        <v>32</v>
      </c>
      <c r="D4261" t="s">
        <v>23</v>
      </c>
      <c r="E4261">
        <v>1166</v>
      </c>
      <c r="F4261" t="s">
        <v>14</v>
      </c>
      <c r="G4261" t="s">
        <v>24</v>
      </c>
      <c r="H4261" t="s">
        <v>16</v>
      </c>
      <c r="I4261">
        <v>0</v>
      </c>
      <c r="J4261">
        <v>0</v>
      </c>
      <c r="K4261">
        <v>0</v>
      </c>
    </row>
    <row r="4262" spans="1:11" x14ac:dyDescent="0.25">
      <c r="A4262" t="s">
        <v>4302</v>
      </c>
      <c r="B4262" s="1">
        <v>45982.470312500001</v>
      </c>
      <c r="C4262" s="2" t="s">
        <v>12</v>
      </c>
      <c r="D4262" t="s">
        <v>13</v>
      </c>
      <c r="E4262">
        <v>136500</v>
      </c>
      <c r="F4262" t="s">
        <v>14</v>
      </c>
      <c r="G4262" t="s">
        <v>34</v>
      </c>
      <c r="H4262" t="s">
        <v>16</v>
      </c>
      <c r="I4262">
        <v>2525.25</v>
      </c>
      <c r="J4262">
        <v>1010.1</v>
      </c>
      <c r="K4262">
        <v>1515.15</v>
      </c>
    </row>
    <row r="4263" spans="1:11" x14ac:dyDescent="0.25">
      <c r="A4263" t="s">
        <v>4303</v>
      </c>
      <c r="B4263" s="1">
        <v>46075.020474537036</v>
      </c>
      <c r="C4263" s="2" t="s">
        <v>29</v>
      </c>
      <c r="D4263" t="s">
        <v>33</v>
      </c>
      <c r="E4263">
        <v>36484</v>
      </c>
      <c r="F4263" t="s">
        <v>14</v>
      </c>
      <c r="G4263" t="s">
        <v>15</v>
      </c>
      <c r="H4263" t="s">
        <v>16</v>
      </c>
      <c r="I4263">
        <v>0</v>
      </c>
      <c r="J4263">
        <v>0</v>
      </c>
      <c r="K4263">
        <v>0</v>
      </c>
    </row>
    <row r="4264" spans="1:11" x14ac:dyDescent="0.25">
      <c r="A4264" t="s">
        <v>4304</v>
      </c>
      <c r="B4264" s="1">
        <v>46032.924386574072</v>
      </c>
      <c r="C4264" s="2" t="s">
        <v>32</v>
      </c>
      <c r="D4264" t="s">
        <v>23</v>
      </c>
      <c r="E4264">
        <v>3354</v>
      </c>
      <c r="F4264" t="s">
        <v>14</v>
      </c>
      <c r="G4264" t="s">
        <v>84</v>
      </c>
      <c r="H4264" t="s">
        <v>16</v>
      </c>
      <c r="I4264">
        <v>0</v>
      </c>
      <c r="J4264">
        <v>0</v>
      </c>
      <c r="K4264">
        <v>0</v>
      </c>
    </row>
    <row r="4265" spans="1:11" x14ac:dyDescent="0.25">
      <c r="A4265" t="s">
        <v>4305</v>
      </c>
      <c r="B4265" s="1">
        <v>46008.541990740741</v>
      </c>
      <c r="C4265" s="2" t="s">
        <v>18</v>
      </c>
      <c r="D4265" t="s">
        <v>23</v>
      </c>
      <c r="E4265">
        <v>673</v>
      </c>
      <c r="F4265" t="s">
        <v>14</v>
      </c>
      <c r="G4265" t="s">
        <v>34</v>
      </c>
      <c r="H4265" t="s">
        <v>16</v>
      </c>
      <c r="I4265">
        <v>0</v>
      </c>
      <c r="J4265">
        <v>0</v>
      </c>
      <c r="K4265">
        <v>0</v>
      </c>
    </row>
    <row r="4266" spans="1:11" x14ac:dyDescent="0.25">
      <c r="A4266" t="s">
        <v>4306</v>
      </c>
      <c r="B4266" s="1">
        <v>45911.161307870374</v>
      </c>
      <c r="C4266" s="2" t="s">
        <v>41</v>
      </c>
      <c r="D4266" t="s">
        <v>33</v>
      </c>
      <c r="E4266">
        <v>83947</v>
      </c>
      <c r="F4266" t="s">
        <v>50</v>
      </c>
      <c r="G4266" t="s">
        <v>34</v>
      </c>
      <c r="H4266" t="s">
        <v>16</v>
      </c>
      <c r="I4266">
        <v>0</v>
      </c>
      <c r="J4266">
        <v>0</v>
      </c>
      <c r="K4266">
        <v>0</v>
      </c>
    </row>
    <row r="4267" spans="1:11" x14ac:dyDescent="0.25">
      <c r="A4267" t="s">
        <v>4307</v>
      </c>
      <c r="B4267" s="1">
        <v>45960.835451388892</v>
      </c>
      <c r="C4267" s="2" t="s">
        <v>18</v>
      </c>
      <c r="D4267" t="s">
        <v>23</v>
      </c>
      <c r="E4267">
        <v>4203</v>
      </c>
      <c r="F4267" t="s">
        <v>14</v>
      </c>
      <c r="G4267" t="s">
        <v>84</v>
      </c>
      <c r="H4267" t="s">
        <v>16</v>
      </c>
      <c r="I4267">
        <v>0</v>
      </c>
      <c r="J4267">
        <v>0</v>
      </c>
      <c r="K4267">
        <v>0</v>
      </c>
    </row>
    <row r="4268" spans="1:11" x14ac:dyDescent="0.25">
      <c r="A4268" t="s">
        <v>4308</v>
      </c>
      <c r="B4268" s="1">
        <v>45992.033055555556</v>
      </c>
      <c r="C4268" s="2" t="s">
        <v>32</v>
      </c>
      <c r="D4268" t="s">
        <v>33</v>
      </c>
      <c r="E4268">
        <v>43062</v>
      </c>
      <c r="F4268" t="s">
        <v>99</v>
      </c>
      <c r="G4268" t="s">
        <v>51</v>
      </c>
      <c r="H4268" t="s">
        <v>16</v>
      </c>
      <c r="I4268">
        <v>0</v>
      </c>
      <c r="J4268">
        <v>0</v>
      </c>
      <c r="K4268">
        <v>0</v>
      </c>
    </row>
    <row r="4269" spans="1:11" x14ac:dyDescent="0.25">
      <c r="A4269" t="s">
        <v>4309</v>
      </c>
      <c r="B4269" s="1">
        <v>46036.336886574078</v>
      </c>
      <c r="C4269" s="2" t="s">
        <v>22</v>
      </c>
      <c r="D4269" t="s">
        <v>45</v>
      </c>
      <c r="E4269">
        <v>109742</v>
      </c>
      <c r="F4269" t="s">
        <v>14</v>
      </c>
      <c r="G4269" t="s">
        <v>20</v>
      </c>
      <c r="H4269" t="s">
        <v>56</v>
      </c>
      <c r="I4269">
        <v>1097.42</v>
      </c>
      <c r="J4269">
        <v>0</v>
      </c>
      <c r="K4269">
        <v>1097.42</v>
      </c>
    </row>
    <row r="4270" spans="1:11" x14ac:dyDescent="0.25">
      <c r="A4270" t="s">
        <v>4310</v>
      </c>
      <c r="B4270" s="1">
        <v>45862.017372685186</v>
      </c>
      <c r="C4270" s="2" t="s">
        <v>12</v>
      </c>
      <c r="D4270" t="s">
        <v>33</v>
      </c>
      <c r="E4270">
        <v>92715</v>
      </c>
      <c r="F4270" t="s">
        <v>50</v>
      </c>
      <c r="G4270" t="s">
        <v>15</v>
      </c>
      <c r="H4270" t="s">
        <v>16</v>
      </c>
      <c r="I4270">
        <v>0</v>
      </c>
      <c r="J4270">
        <v>0</v>
      </c>
      <c r="K4270">
        <v>0</v>
      </c>
    </row>
    <row r="4271" spans="1:11" x14ac:dyDescent="0.25">
      <c r="A4271" t="s">
        <v>4311</v>
      </c>
      <c r="B4271" s="1">
        <v>46061.166319444441</v>
      </c>
      <c r="C4271" s="2" t="s">
        <v>29</v>
      </c>
      <c r="D4271" t="s">
        <v>33</v>
      </c>
      <c r="E4271">
        <v>137279</v>
      </c>
      <c r="F4271" t="s">
        <v>14</v>
      </c>
      <c r="G4271" t="s">
        <v>51</v>
      </c>
      <c r="H4271" t="s">
        <v>16</v>
      </c>
      <c r="I4271">
        <v>0</v>
      </c>
      <c r="J4271">
        <v>0</v>
      </c>
      <c r="K4271">
        <v>0</v>
      </c>
    </row>
    <row r="4272" spans="1:11" x14ac:dyDescent="0.25">
      <c r="A4272" t="s">
        <v>4312</v>
      </c>
      <c r="B4272" s="1">
        <v>45901.987256944441</v>
      </c>
      <c r="C4272" s="2" t="s">
        <v>22</v>
      </c>
      <c r="D4272" t="s">
        <v>19</v>
      </c>
      <c r="E4272">
        <v>115559</v>
      </c>
      <c r="F4272" t="s">
        <v>99</v>
      </c>
      <c r="G4272" t="s">
        <v>24</v>
      </c>
      <c r="H4272" t="s">
        <v>16</v>
      </c>
      <c r="I4272">
        <v>5</v>
      </c>
      <c r="J4272">
        <v>0</v>
      </c>
      <c r="K4272">
        <v>5</v>
      </c>
    </row>
    <row r="4273" spans="1:11" x14ac:dyDescent="0.25">
      <c r="A4273" t="s">
        <v>4313</v>
      </c>
      <c r="B4273" s="1">
        <v>46089.81449074074</v>
      </c>
      <c r="C4273" s="2" t="s">
        <v>29</v>
      </c>
      <c r="D4273" t="s">
        <v>33</v>
      </c>
      <c r="E4273">
        <v>87080</v>
      </c>
      <c r="F4273" t="s">
        <v>14</v>
      </c>
      <c r="G4273" t="s">
        <v>30</v>
      </c>
      <c r="H4273" t="s">
        <v>16</v>
      </c>
      <c r="I4273">
        <v>0</v>
      </c>
      <c r="J4273">
        <v>0</v>
      </c>
      <c r="K4273">
        <v>0</v>
      </c>
    </row>
    <row r="4274" spans="1:11" x14ac:dyDescent="0.25">
      <c r="A4274" t="s">
        <v>4314</v>
      </c>
      <c r="B4274" s="1">
        <v>45828.350960648146</v>
      </c>
      <c r="C4274" s="2" t="s">
        <v>29</v>
      </c>
      <c r="D4274" t="s">
        <v>33</v>
      </c>
      <c r="E4274">
        <v>118237</v>
      </c>
      <c r="F4274" t="s">
        <v>14</v>
      </c>
      <c r="G4274" t="s">
        <v>24</v>
      </c>
      <c r="H4274" t="s">
        <v>16</v>
      </c>
      <c r="I4274">
        <v>0</v>
      </c>
      <c r="J4274">
        <v>0</v>
      </c>
      <c r="K4274">
        <v>0</v>
      </c>
    </row>
    <row r="4275" spans="1:11" x14ac:dyDescent="0.25">
      <c r="A4275" t="s">
        <v>4315</v>
      </c>
      <c r="B4275" s="1">
        <v>45976.686712962961</v>
      </c>
      <c r="C4275" s="2" t="s">
        <v>22</v>
      </c>
      <c r="D4275" t="s">
        <v>45</v>
      </c>
      <c r="E4275">
        <v>16840</v>
      </c>
      <c r="F4275" t="s">
        <v>14</v>
      </c>
      <c r="G4275" t="s">
        <v>24</v>
      </c>
      <c r="H4275" t="s">
        <v>178</v>
      </c>
      <c r="I4275">
        <v>168.4</v>
      </c>
      <c r="J4275">
        <v>0</v>
      </c>
      <c r="K4275">
        <v>168.4</v>
      </c>
    </row>
    <row r="4276" spans="1:11" x14ac:dyDescent="0.25">
      <c r="A4276" t="s">
        <v>4316</v>
      </c>
      <c r="B4276" s="1">
        <v>46098.680775462963</v>
      </c>
      <c r="C4276" s="2" t="s">
        <v>26</v>
      </c>
      <c r="D4276" t="s">
        <v>23</v>
      </c>
      <c r="E4276">
        <v>4004</v>
      </c>
      <c r="F4276" t="s">
        <v>14</v>
      </c>
      <c r="G4276" t="s">
        <v>58</v>
      </c>
      <c r="H4276" t="s">
        <v>16</v>
      </c>
      <c r="I4276">
        <v>0</v>
      </c>
      <c r="J4276">
        <v>0</v>
      </c>
      <c r="K4276">
        <v>0</v>
      </c>
    </row>
    <row r="4277" spans="1:11" x14ac:dyDescent="0.25">
      <c r="A4277" t="s">
        <v>4317</v>
      </c>
      <c r="B4277" s="1">
        <v>45964.602280092593</v>
      </c>
      <c r="C4277" s="2" t="s">
        <v>26</v>
      </c>
      <c r="D4277" t="s">
        <v>19</v>
      </c>
      <c r="E4277">
        <v>85890</v>
      </c>
      <c r="F4277" t="s">
        <v>14</v>
      </c>
      <c r="G4277" t="s">
        <v>84</v>
      </c>
      <c r="H4277" t="s">
        <v>16</v>
      </c>
      <c r="I4277">
        <v>5</v>
      </c>
      <c r="J4277">
        <v>0</v>
      </c>
      <c r="K4277">
        <v>5</v>
      </c>
    </row>
    <row r="4278" spans="1:11" x14ac:dyDescent="0.25">
      <c r="A4278" t="s">
        <v>4318</v>
      </c>
      <c r="B4278" s="1">
        <v>45792.557025462964</v>
      </c>
      <c r="C4278" s="2" t="s">
        <v>41</v>
      </c>
      <c r="D4278" t="s">
        <v>23</v>
      </c>
      <c r="E4278">
        <v>480</v>
      </c>
      <c r="F4278" t="s">
        <v>14</v>
      </c>
      <c r="G4278" t="s">
        <v>15</v>
      </c>
      <c r="H4278" t="s">
        <v>16</v>
      </c>
      <c r="I4278">
        <v>0</v>
      </c>
      <c r="J4278">
        <v>0</v>
      </c>
      <c r="K4278">
        <v>0</v>
      </c>
    </row>
    <row r="4279" spans="1:11" x14ac:dyDescent="0.25">
      <c r="A4279" t="s">
        <v>4319</v>
      </c>
      <c r="B4279" s="1">
        <v>45896.970949074072</v>
      </c>
      <c r="C4279" s="2" t="s">
        <v>41</v>
      </c>
      <c r="D4279" t="s">
        <v>13</v>
      </c>
      <c r="E4279">
        <v>204000</v>
      </c>
      <c r="F4279" t="s">
        <v>14</v>
      </c>
      <c r="G4279" t="s">
        <v>24</v>
      </c>
      <c r="H4279" t="s">
        <v>16</v>
      </c>
      <c r="I4279">
        <v>3774</v>
      </c>
      <c r="J4279">
        <v>1509.6</v>
      </c>
      <c r="K4279">
        <v>2264.4</v>
      </c>
    </row>
    <row r="4280" spans="1:11" x14ac:dyDescent="0.25">
      <c r="A4280" t="s">
        <v>4320</v>
      </c>
      <c r="B4280" s="1">
        <v>45888.165972222225</v>
      </c>
      <c r="C4280" s="2" t="s">
        <v>18</v>
      </c>
      <c r="D4280" t="s">
        <v>13</v>
      </c>
      <c r="E4280">
        <v>113000</v>
      </c>
      <c r="F4280" t="s">
        <v>50</v>
      </c>
      <c r="G4280" t="s">
        <v>34</v>
      </c>
      <c r="H4280" t="s">
        <v>16</v>
      </c>
      <c r="I4280">
        <v>2090.5</v>
      </c>
      <c r="J4280">
        <v>836.2</v>
      </c>
      <c r="K4280">
        <v>1254.3</v>
      </c>
    </row>
    <row r="4281" spans="1:11" x14ac:dyDescent="0.25">
      <c r="A4281" t="s">
        <v>4321</v>
      </c>
      <c r="B4281" s="1">
        <v>45783.495983796296</v>
      </c>
      <c r="C4281" s="2" t="s">
        <v>39</v>
      </c>
      <c r="D4281" t="s">
        <v>23</v>
      </c>
      <c r="E4281">
        <v>4899</v>
      </c>
      <c r="F4281" t="s">
        <v>14</v>
      </c>
      <c r="G4281" t="s">
        <v>51</v>
      </c>
      <c r="H4281" t="s">
        <v>16</v>
      </c>
      <c r="I4281">
        <v>0</v>
      </c>
      <c r="J4281">
        <v>0</v>
      </c>
      <c r="K4281">
        <v>0</v>
      </c>
    </row>
    <row r="4282" spans="1:11" x14ac:dyDescent="0.25">
      <c r="A4282" t="s">
        <v>4322</v>
      </c>
      <c r="B4282" s="1">
        <v>45926.424699074072</v>
      </c>
      <c r="C4282" s="2" t="s">
        <v>22</v>
      </c>
      <c r="D4282" t="s">
        <v>13</v>
      </c>
      <c r="E4282">
        <v>155000</v>
      </c>
      <c r="F4282" t="s">
        <v>14</v>
      </c>
      <c r="G4282" t="s">
        <v>58</v>
      </c>
      <c r="H4282" t="s">
        <v>16</v>
      </c>
      <c r="I4282">
        <v>2867.5</v>
      </c>
      <c r="J4282">
        <v>1147</v>
      </c>
      <c r="K4282">
        <v>1720.5</v>
      </c>
    </row>
    <row r="4283" spans="1:11" x14ac:dyDescent="0.25">
      <c r="A4283" t="s">
        <v>4323</v>
      </c>
      <c r="B4283" s="1">
        <v>45928.546377314815</v>
      </c>
      <c r="C4283" s="2" t="s">
        <v>39</v>
      </c>
      <c r="D4283" t="s">
        <v>23</v>
      </c>
      <c r="E4283">
        <v>2346</v>
      </c>
      <c r="F4283" t="s">
        <v>14</v>
      </c>
      <c r="G4283" t="s">
        <v>34</v>
      </c>
      <c r="H4283" t="s">
        <v>16</v>
      </c>
      <c r="I4283">
        <v>0</v>
      </c>
      <c r="J4283">
        <v>0</v>
      </c>
      <c r="K4283">
        <v>0</v>
      </c>
    </row>
    <row r="4284" spans="1:11" x14ac:dyDescent="0.25">
      <c r="A4284" t="s">
        <v>4324</v>
      </c>
      <c r="B4284" s="1">
        <v>46008.570011574076</v>
      </c>
      <c r="C4284" s="2" t="s">
        <v>22</v>
      </c>
      <c r="D4284" t="s">
        <v>13</v>
      </c>
      <c r="E4284">
        <v>209500</v>
      </c>
      <c r="F4284" t="s">
        <v>50</v>
      </c>
      <c r="G4284" t="s">
        <v>15</v>
      </c>
      <c r="H4284" t="s">
        <v>16</v>
      </c>
      <c r="I4284">
        <v>3875.75</v>
      </c>
      <c r="J4284">
        <v>1550.3</v>
      </c>
      <c r="K4284">
        <v>2325.4499999999998</v>
      </c>
    </row>
    <row r="4285" spans="1:11" x14ac:dyDescent="0.25">
      <c r="A4285" t="s">
        <v>4325</v>
      </c>
      <c r="B4285" s="1">
        <v>46028.97016203704</v>
      </c>
      <c r="C4285" s="2" t="s">
        <v>26</v>
      </c>
      <c r="D4285" t="s">
        <v>23</v>
      </c>
      <c r="E4285">
        <v>3652</v>
      </c>
      <c r="F4285" t="s">
        <v>14</v>
      </c>
      <c r="G4285" t="s">
        <v>15</v>
      </c>
      <c r="H4285" t="s">
        <v>16</v>
      </c>
      <c r="I4285">
        <v>0</v>
      </c>
      <c r="J4285">
        <v>0</v>
      </c>
      <c r="K4285">
        <v>0</v>
      </c>
    </row>
    <row r="4286" spans="1:11" x14ac:dyDescent="0.25">
      <c r="A4286" t="s">
        <v>4326</v>
      </c>
      <c r="B4286" s="1">
        <v>45905.929502314815</v>
      </c>
      <c r="C4286" s="2" t="s">
        <v>29</v>
      </c>
      <c r="D4286" t="s">
        <v>13</v>
      </c>
      <c r="E4286">
        <v>237500</v>
      </c>
      <c r="F4286" t="s">
        <v>50</v>
      </c>
      <c r="G4286" t="s">
        <v>30</v>
      </c>
      <c r="H4286" t="s">
        <v>16</v>
      </c>
      <c r="I4286">
        <v>4393.75</v>
      </c>
      <c r="J4286">
        <v>1757.5</v>
      </c>
      <c r="K4286">
        <v>2636.25</v>
      </c>
    </row>
    <row r="4287" spans="1:11" x14ac:dyDescent="0.25">
      <c r="A4287" t="s">
        <v>4327</v>
      </c>
      <c r="B4287" s="1">
        <v>45788.024155092593</v>
      </c>
      <c r="C4287" s="2" t="s">
        <v>26</v>
      </c>
      <c r="D4287" t="s">
        <v>13</v>
      </c>
      <c r="E4287">
        <v>7500</v>
      </c>
      <c r="F4287" t="s">
        <v>50</v>
      </c>
      <c r="G4287" t="s">
        <v>58</v>
      </c>
      <c r="H4287" t="s">
        <v>16</v>
      </c>
      <c r="I4287">
        <v>138.75</v>
      </c>
      <c r="J4287">
        <v>55.5</v>
      </c>
      <c r="K4287">
        <v>83.25</v>
      </c>
    </row>
    <row r="4288" spans="1:11" x14ac:dyDescent="0.25">
      <c r="A4288" t="s">
        <v>4328</v>
      </c>
      <c r="B4288" s="1">
        <v>46005.085972222223</v>
      </c>
      <c r="C4288" s="2" t="s">
        <v>29</v>
      </c>
      <c r="D4288" t="s">
        <v>23</v>
      </c>
      <c r="E4288">
        <v>1979</v>
      </c>
      <c r="F4288" t="s">
        <v>14</v>
      </c>
      <c r="G4288" t="s">
        <v>24</v>
      </c>
      <c r="H4288" t="s">
        <v>16</v>
      </c>
      <c r="I4288">
        <v>0</v>
      </c>
      <c r="J4288">
        <v>0</v>
      </c>
      <c r="K4288">
        <v>0</v>
      </c>
    </row>
    <row r="4289" spans="1:11" x14ac:dyDescent="0.25">
      <c r="A4289" t="s">
        <v>4329</v>
      </c>
      <c r="B4289" s="1">
        <v>45945.692129629628</v>
      </c>
      <c r="C4289" s="2" t="s">
        <v>18</v>
      </c>
      <c r="D4289" t="s">
        <v>13</v>
      </c>
      <c r="E4289">
        <v>240000</v>
      </c>
      <c r="F4289" t="s">
        <v>14</v>
      </c>
      <c r="G4289" t="s">
        <v>34</v>
      </c>
      <c r="H4289" t="s">
        <v>16</v>
      </c>
      <c r="I4289">
        <v>4440</v>
      </c>
      <c r="J4289">
        <v>1776</v>
      </c>
      <c r="K4289">
        <v>2664</v>
      </c>
    </row>
    <row r="4290" spans="1:11" x14ac:dyDescent="0.25">
      <c r="A4290" t="s">
        <v>4330</v>
      </c>
      <c r="B4290" s="1">
        <v>46041.383831018517</v>
      </c>
      <c r="C4290" s="2" t="s">
        <v>12</v>
      </c>
      <c r="D4290" t="s">
        <v>45</v>
      </c>
      <c r="E4290">
        <v>75586</v>
      </c>
      <c r="F4290" t="s">
        <v>50</v>
      </c>
      <c r="G4290" t="s">
        <v>30</v>
      </c>
      <c r="H4290" t="s">
        <v>46</v>
      </c>
      <c r="I4290">
        <v>755.86</v>
      </c>
      <c r="J4290">
        <v>0</v>
      </c>
      <c r="K4290">
        <v>755.86</v>
      </c>
    </row>
    <row r="4291" spans="1:11" x14ac:dyDescent="0.25">
      <c r="A4291" t="s">
        <v>4331</v>
      </c>
      <c r="B4291" s="1">
        <v>46126.955277777779</v>
      </c>
      <c r="C4291" s="2" t="s">
        <v>29</v>
      </c>
      <c r="D4291" t="s">
        <v>33</v>
      </c>
      <c r="E4291">
        <v>71142</v>
      </c>
      <c r="F4291" t="s">
        <v>50</v>
      </c>
      <c r="G4291" t="s">
        <v>34</v>
      </c>
      <c r="H4291" t="s">
        <v>16</v>
      </c>
      <c r="I4291">
        <v>0</v>
      </c>
      <c r="J4291">
        <v>0</v>
      </c>
      <c r="K4291">
        <v>0</v>
      </c>
    </row>
    <row r="4292" spans="1:11" x14ac:dyDescent="0.25">
      <c r="A4292" t="s">
        <v>4332</v>
      </c>
      <c r="B4292" s="1">
        <v>45977.173993055556</v>
      </c>
      <c r="C4292" s="2" t="s">
        <v>26</v>
      </c>
      <c r="D4292" t="s">
        <v>19</v>
      </c>
      <c r="E4292">
        <v>46082</v>
      </c>
      <c r="F4292" t="s">
        <v>50</v>
      </c>
      <c r="G4292" t="s">
        <v>15</v>
      </c>
      <c r="H4292" t="s">
        <v>16</v>
      </c>
      <c r="I4292">
        <v>5</v>
      </c>
      <c r="J4292">
        <v>0</v>
      </c>
      <c r="K4292">
        <v>5</v>
      </c>
    </row>
    <row r="4293" spans="1:11" x14ac:dyDescent="0.25">
      <c r="A4293" t="s">
        <v>4333</v>
      </c>
      <c r="B4293" s="1">
        <v>45814.374097222222</v>
      </c>
      <c r="C4293" s="2" t="s">
        <v>22</v>
      </c>
      <c r="D4293" t="s">
        <v>45</v>
      </c>
      <c r="E4293">
        <v>91752</v>
      </c>
      <c r="F4293" t="s">
        <v>14</v>
      </c>
      <c r="G4293" t="s">
        <v>51</v>
      </c>
      <c r="H4293" t="s">
        <v>46</v>
      </c>
      <c r="I4293">
        <v>917.52</v>
      </c>
      <c r="J4293">
        <v>0</v>
      </c>
      <c r="K4293">
        <v>917.52</v>
      </c>
    </row>
    <row r="4294" spans="1:11" x14ac:dyDescent="0.25">
      <c r="A4294" t="s">
        <v>4334</v>
      </c>
      <c r="B4294" s="1">
        <v>46127.810937499999</v>
      </c>
      <c r="C4294" s="2" t="s">
        <v>22</v>
      </c>
      <c r="D4294" t="s">
        <v>33</v>
      </c>
      <c r="E4294">
        <v>73911</v>
      </c>
      <c r="F4294" t="s">
        <v>14</v>
      </c>
      <c r="G4294" t="s">
        <v>51</v>
      </c>
      <c r="H4294" t="s">
        <v>16</v>
      </c>
      <c r="I4294">
        <v>0</v>
      </c>
      <c r="J4294">
        <v>0</v>
      </c>
      <c r="K4294">
        <v>0</v>
      </c>
    </row>
    <row r="4295" spans="1:11" x14ac:dyDescent="0.25">
      <c r="A4295" t="s">
        <v>4335</v>
      </c>
      <c r="B4295" s="1">
        <v>45838.766516203701</v>
      </c>
      <c r="C4295" s="2" t="s">
        <v>26</v>
      </c>
      <c r="D4295" t="s">
        <v>13</v>
      </c>
      <c r="E4295">
        <v>188500</v>
      </c>
      <c r="F4295" t="s">
        <v>14</v>
      </c>
      <c r="G4295" t="s">
        <v>15</v>
      </c>
      <c r="H4295" t="s">
        <v>16</v>
      </c>
      <c r="I4295">
        <v>3487.25</v>
      </c>
      <c r="J4295">
        <v>1394.9</v>
      </c>
      <c r="K4295">
        <v>2092.35</v>
      </c>
    </row>
    <row r="4296" spans="1:11" x14ac:dyDescent="0.25">
      <c r="A4296" t="s">
        <v>4336</v>
      </c>
      <c r="B4296" s="1">
        <v>45921.882581018515</v>
      </c>
      <c r="C4296" s="2" t="s">
        <v>41</v>
      </c>
      <c r="D4296" t="s">
        <v>33</v>
      </c>
      <c r="E4296">
        <v>2853</v>
      </c>
      <c r="F4296" t="s">
        <v>50</v>
      </c>
      <c r="G4296" t="s">
        <v>30</v>
      </c>
      <c r="H4296" t="s">
        <v>16</v>
      </c>
      <c r="I4296">
        <v>0</v>
      </c>
      <c r="J4296">
        <v>0</v>
      </c>
      <c r="K4296">
        <v>0</v>
      </c>
    </row>
    <row r="4297" spans="1:11" x14ac:dyDescent="0.25">
      <c r="A4297" t="s">
        <v>4337</v>
      </c>
      <c r="B4297" s="1">
        <v>45800.900636574072</v>
      </c>
      <c r="C4297" s="2" t="s">
        <v>29</v>
      </c>
      <c r="D4297" t="s">
        <v>23</v>
      </c>
      <c r="E4297">
        <v>368</v>
      </c>
      <c r="F4297" t="s">
        <v>14</v>
      </c>
      <c r="G4297" t="s">
        <v>34</v>
      </c>
      <c r="H4297" t="s">
        <v>16</v>
      </c>
      <c r="I4297">
        <v>0</v>
      </c>
      <c r="J4297">
        <v>0</v>
      </c>
      <c r="K4297">
        <v>0</v>
      </c>
    </row>
    <row r="4298" spans="1:11" x14ac:dyDescent="0.25">
      <c r="A4298" t="s">
        <v>4338</v>
      </c>
      <c r="B4298" s="1">
        <v>46109.878321759257</v>
      </c>
      <c r="C4298" s="2" t="s">
        <v>22</v>
      </c>
      <c r="D4298" t="s">
        <v>19</v>
      </c>
      <c r="E4298">
        <v>124613</v>
      </c>
      <c r="F4298" t="s">
        <v>14</v>
      </c>
      <c r="G4298" t="s">
        <v>24</v>
      </c>
      <c r="H4298" t="s">
        <v>16</v>
      </c>
      <c r="I4298">
        <v>5</v>
      </c>
      <c r="J4298">
        <v>0</v>
      </c>
      <c r="K4298">
        <v>5</v>
      </c>
    </row>
    <row r="4299" spans="1:11" x14ac:dyDescent="0.25">
      <c r="A4299" t="s">
        <v>4339</v>
      </c>
      <c r="B4299" s="1">
        <v>45960.942511574074</v>
      </c>
      <c r="C4299" s="2" t="s">
        <v>22</v>
      </c>
      <c r="D4299" t="s">
        <v>45</v>
      </c>
      <c r="E4299">
        <v>146365</v>
      </c>
      <c r="F4299" t="s">
        <v>14</v>
      </c>
      <c r="G4299" t="s">
        <v>30</v>
      </c>
      <c r="H4299" t="s">
        <v>56</v>
      </c>
      <c r="I4299">
        <v>1463.65</v>
      </c>
      <c r="J4299">
        <v>0</v>
      </c>
      <c r="K4299">
        <v>1463.65</v>
      </c>
    </row>
    <row r="4300" spans="1:11" x14ac:dyDescent="0.25">
      <c r="A4300" t="s">
        <v>4340</v>
      </c>
      <c r="B4300" s="1">
        <v>46032.871006944442</v>
      </c>
      <c r="C4300" s="2" t="s">
        <v>12</v>
      </c>
      <c r="D4300" t="s">
        <v>13</v>
      </c>
      <c r="E4300">
        <v>26500</v>
      </c>
      <c r="F4300" t="s">
        <v>14</v>
      </c>
      <c r="G4300" t="s">
        <v>34</v>
      </c>
      <c r="H4300" t="s">
        <v>16</v>
      </c>
      <c r="I4300">
        <v>490.25</v>
      </c>
      <c r="J4300">
        <v>196.1</v>
      </c>
      <c r="K4300">
        <v>294.14999999999998</v>
      </c>
    </row>
    <row r="4301" spans="1:11" x14ac:dyDescent="0.25">
      <c r="A4301" t="s">
        <v>4341</v>
      </c>
      <c r="B4301" s="1">
        <v>45820.164594907408</v>
      </c>
      <c r="C4301" s="2" t="s">
        <v>18</v>
      </c>
      <c r="D4301" t="s">
        <v>45</v>
      </c>
      <c r="E4301">
        <v>120706</v>
      </c>
      <c r="F4301" t="s">
        <v>14</v>
      </c>
      <c r="G4301" t="s">
        <v>58</v>
      </c>
      <c r="H4301" t="s">
        <v>46</v>
      </c>
      <c r="I4301">
        <v>1207.06</v>
      </c>
      <c r="J4301">
        <v>0</v>
      </c>
      <c r="K4301">
        <v>1207.06</v>
      </c>
    </row>
    <row r="4302" spans="1:11" x14ac:dyDescent="0.25">
      <c r="A4302" t="s">
        <v>4342</v>
      </c>
      <c r="B4302" s="1">
        <v>46054.234490740739</v>
      </c>
      <c r="C4302" s="2" t="s">
        <v>26</v>
      </c>
      <c r="D4302" t="s">
        <v>45</v>
      </c>
      <c r="E4302">
        <v>117644</v>
      </c>
      <c r="F4302" t="s">
        <v>14</v>
      </c>
      <c r="G4302" t="s">
        <v>24</v>
      </c>
      <c r="H4302" t="s">
        <v>56</v>
      </c>
      <c r="I4302">
        <v>1176.44</v>
      </c>
      <c r="J4302">
        <v>0</v>
      </c>
      <c r="K4302">
        <v>1176.44</v>
      </c>
    </row>
    <row r="4303" spans="1:11" x14ac:dyDescent="0.25">
      <c r="A4303" t="s">
        <v>4343</v>
      </c>
      <c r="B4303" s="1">
        <v>45876.486458333333</v>
      </c>
      <c r="C4303" s="2" t="s">
        <v>18</v>
      </c>
      <c r="D4303" t="s">
        <v>13</v>
      </c>
      <c r="E4303">
        <v>182000</v>
      </c>
      <c r="F4303" t="s">
        <v>14</v>
      </c>
      <c r="G4303" t="s">
        <v>30</v>
      </c>
      <c r="H4303" t="s">
        <v>16</v>
      </c>
      <c r="I4303">
        <v>3367</v>
      </c>
      <c r="J4303">
        <v>1346.8</v>
      </c>
      <c r="K4303">
        <v>2020.2</v>
      </c>
    </row>
    <row r="4304" spans="1:11" x14ac:dyDescent="0.25">
      <c r="A4304" t="s">
        <v>4344</v>
      </c>
      <c r="B4304" s="1">
        <v>46049.671018518522</v>
      </c>
      <c r="C4304" s="2" t="s">
        <v>22</v>
      </c>
      <c r="D4304" t="s">
        <v>23</v>
      </c>
      <c r="E4304">
        <v>4337</v>
      </c>
      <c r="F4304" t="s">
        <v>50</v>
      </c>
      <c r="G4304" t="s">
        <v>27</v>
      </c>
      <c r="H4304" t="s">
        <v>16</v>
      </c>
      <c r="I4304">
        <v>0</v>
      </c>
      <c r="J4304">
        <v>0</v>
      </c>
      <c r="K4304">
        <v>0</v>
      </c>
    </row>
    <row r="4305" spans="1:11" x14ac:dyDescent="0.25">
      <c r="A4305" t="s">
        <v>4345</v>
      </c>
      <c r="B4305" s="1">
        <v>46115.27579861111</v>
      </c>
      <c r="C4305" s="2" t="s">
        <v>18</v>
      </c>
      <c r="D4305" t="s">
        <v>19</v>
      </c>
      <c r="E4305">
        <v>142311</v>
      </c>
      <c r="F4305" t="s">
        <v>14</v>
      </c>
      <c r="G4305" t="s">
        <v>34</v>
      </c>
      <c r="H4305" t="s">
        <v>16</v>
      </c>
      <c r="I4305">
        <v>5</v>
      </c>
      <c r="J4305">
        <v>0</v>
      </c>
      <c r="K4305">
        <v>5</v>
      </c>
    </row>
    <row r="4306" spans="1:11" x14ac:dyDescent="0.25">
      <c r="A4306" t="s">
        <v>4346</v>
      </c>
      <c r="B4306" s="1">
        <v>46028.815810185188</v>
      </c>
      <c r="C4306" s="2" t="s">
        <v>29</v>
      </c>
      <c r="D4306" t="s">
        <v>23</v>
      </c>
      <c r="E4306">
        <v>4188</v>
      </c>
      <c r="F4306" t="s">
        <v>14</v>
      </c>
      <c r="G4306" t="s">
        <v>51</v>
      </c>
      <c r="H4306" t="s">
        <v>16</v>
      </c>
      <c r="I4306">
        <v>0</v>
      </c>
      <c r="J4306">
        <v>0</v>
      </c>
      <c r="K4306">
        <v>0</v>
      </c>
    </row>
    <row r="4307" spans="1:11" x14ac:dyDescent="0.25">
      <c r="A4307" t="s">
        <v>4347</v>
      </c>
      <c r="B4307" s="1">
        <v>46101.926145833335</v>
      </c>
      <c r="C4307" s="2" t="s">
        <v>39</v>
      </c>
      <c r="D4307" t="s">
        <v>19</v>
      </c>
      <c r="E4307">
        <v>72540</v>
      </c>
      <c r="F4307" t="s">
        <v>14</v>
      </c>
      <c r="G4307" t="s">
        <v>20</v>
      </c>
      <c r="H4307" t="s">
        <v>16</v>
      </c>
      <c r="I4307">
        <v>5</v>
      </c>
      <c r="J4307">
        <v>0</v>
      </c>
      <c r="K4307">
        <v>5</v>
      </c>
    </row>
    <row r="4308" spans="1:11" x14ac:dyDescent="0.25">
      <c r="A4308" t="s">
        <v>4348</v>
      </c>
      <c r="B4308" s="1">
        <v>45933.65519675926</v>
      </c>
      <c r="C4308" s="2" t="s">
        <v>32</v>
      </c>
      <c r="D4308" t="s">
        <v>45</v>
      </c>
      <c r="E4308">
        <v>101183</v>
      </c>
      <c r="F4308" t="s">
        <v>50</v>
      </c>
      <c r="G4308" t="s">
        <v>24</v>
      </c>
      <c r="H4308" t="s">
        <v>46</v>
      </c>
      <c r="I4308">
        <v>1011.83</v>
      </c>
      <c r="J4308">
        <v>0</v>
      </c>
      <c r="K4308">
        <v>1011.83</v>
      </c>
    </row>
    <row r="4309" spans="1:11" x14ac:dyDescent="0.25">
      <c r="A4309" t="s">
        <v>4349</v>
      </c>
      <c r="B4309" s="1">
        <v>45996.686307870368</v>
      </c>
      <c r="C4309" s="2" t="s">
        <v>18</v>
      </c>
      <c r="D4309" t="s">
        <v>23</v>
      </c>
      <c r="E4309">
        <v>4690</v>
      </c>
      <c r="F4309" t="s">
        <v>14</v>
      </c>
      <c r="G4309" t="s">
        <v>15</v>
      </c>
      <c r="H4309" t="s">
        <v>16</v>
      </c>
      <c r="I4309">
        <v>0</v>
      </c>
      <c r="J4309">
        <v>0</v>
      </c>
      <c r="K4309">
        <v>0</v>
      </c>
    </row>
    <row r="4310" spans="1:11" x14ac:dyDescent="0.25">
      <c r="A4310" t="s">
        <v>4350</v>
      </c>
      <c r="B4310" s="1">
        <v>46011.524780092594</v>
      </c>
      <c r="C4310" s="2" t="s">
        <v>39</v>
      </c>
      <c r="D4310" t="s">
        <v>19</v>
      </c>
      <c r="E4310">
        <v>13466</v>
      </c>
      <c r="F4310" t="s">
        <v>14</v>
      </c>
      <c r="G4310" t="s">
        <v>84</v>
      </c>
      <c r="H4310" t="s">
        <v>16</v>
      </c>
      <c r="I4310">
        <v>5</v>
      </c>
      <c r="J4310">
        <v>0</v>
      </c>
      <c r="K4310">
        <v>5</v>
      </c>
    </row>
    <row r="4311" spans="1:11" x14ac:dyDescent="0.25">
      <c r="A4311" t="s">
        <v>4351</v>
      </c>
      <c r="B4311" s="1">
        <v>45972.431898148148</v>
      </c>
      <c r="C4311" s="2" t="s">
        <v>29</v>
      </c>
      <c r="D4311" t="s">
        <v>45</v>
      </c>
      <c r="E4311">
        <v>86619</v>
      </c>
      <c r="F4311" t="s">
        <v>14</v>
      </c>
      <c r="G4311" t="s">
        <v>24</v>
      </c>
      <c r="H4311" t="s">
        <v>46</v>
      </c>
      <c r="I4311">
        <v>866.19</v>
      </c>
      <c r="J4311">
        <v>0</v>
      </c>
      <c r="K4311">
        <v>866.19</v>
      </c>
    </row>
    <row r="4312" spans="1:11" x14ac:dyDescent="0.25">
      <c r="A4312" t="s">
        <v>4352</v>
      </c>
      <c r="B4312" s="1">
        <v>45860.752175925925</v>
      </c>
      <c r="C4312" s="2" t="s">
        <v>39</v>
      </c>
      <c r="D4312" t="s">
        <v>13</v>
      </c>
      <c r="E4312">
        <v>46500</v>
      </c>
      <c r="F4312" t="s">
        <v>50</v>
      </c>
      <c r="G4312" t="s">
        <v>84</v>
      </c>
      <c r="H4312" t="s">
        <v>16</v>
      </c>
      <c r="I4312">
        <v>860.25</v>
      </c>
      <c r="J4312">
        <v>344.1</v>
      </c>
      <c r="K4312">
        <v>516.15</v>
      </c>
    </row>
    <row r="4313" spans="1:11" x14ac:dyDescent="0.25">
      <c r="A4313" t="s">
        <v>4353</v>
      </c>
      <c r="B4313" s="1">
        <v>46140.002534722225</v>
      </c>
      <c r="C4313" s="2" t="s">
        <v>18</v>
      </c>
      <c r="D4313" t="s">
        <v>13</v>
      </c>
      <c r="E4313">
        <v>172000</v>
      </c>
      <c r="F4313" t="s">
        <v>14</v>
      </c>
      <c r="G4313" t="s">
        <v>51</v>
      </c>
      <c r="H4313" t="s">
        <v>16</v>
      </c>
      <c r="I4313">
        <v>3182</v>
      </c>
      <c r="J4313">
        <v>1272.8</v>
      </c>
      <c r="K4313">
        <v>1909.2</v>
      </c>
    </row>
    <row r="4314" spans="1:11" x14ac:dyDescent="0.25">
      <c r="A4314" t="s">
        <v>4354</v>
      </c>
      <c r="B4314" s="1">
        <v>45928.378391203703</v>
      </c>
      <c r="C4314" s="2" t="s">
        <v>39</v>
      </c>
      <c r="D4314" t="s">
        <v>33</v>
      </c>
      <c r="E4314">
        <v>27988</v>
      </c>
      <c r="F4314" t="s">
        <v>14</v>
      </c>
      <c r="G4314" t="s">
        <v>20</v>
      </c>
      <c r="H4314" t="s">
        <v>16</v>
      </c>
      <c r="I4314">
        <v>0</v>
      </c>
      <c r="J4314">
        <v>0</v>
      </c>
      <c r="K4314">
        <v>0</v>
      </c>
    </row>
    <row r="4315" spans="1:11" x14ac:dyDescent="0.25">
      <c r="A4315" t="s">
        <v>4355</v>
      </c>
      <c r="B4315" s="1">
        <v>45991.239236111112</v>
      </c>
      <c r="C4315" s="2" t="s">
        <v>39</v>
      </c>
      <c r="D4315" t="s">
        <v>45</v>
      </c>
      <c r="E4315">
        <v>71951</v>
      </c>
      <c r="F4315" t="s">
        <v>14</v>
      </c>
      <c r="G4315" t="s">
        <v>24</v>
      </c>
      <c r="H4315" t="s">
        <v>71</v>
      </c>
      <c r="I4315">
        <v>719.51</v>
      </c>
      <c r="J4315">
        <v>0</v>
      </c>
      <c r="K4315">
        <v>719.51</v>
      </c>
    </row>
    <row r="4316" spans="1:11" x14ac:dyDescent="0.25">
      <c r="A4316" t="s">
        <v>4356</v>
      </c>
      <c r="B4316" s="1">
        <v>45912.943460648145</v>
      </c>
      <c r="C4316" s="2" t="s">
        <v>12</v>
      </c>
      <c r="D4316" t="s">
        <v>13</v>
      </c>
      <c r="E4316">
        <v>83500</v>
      </c>
      <c r="F4316" t="s">
        <v>14</v>
      </c>
      <c r="G4316" t="s">
        <v>34</v>
      </c>
      <c r="H4316" t="s">
        <v>16</v>
      </c>
      <c r="I4316">
        <v>1544.75</v>
      </c>
      <c r="J4316">
        <v>617.9</v>
      </c>
      <c r="K4316">
        <v>926.85</v>
      </c>
    </row>
    <row r="4317" spans="1:11" x14ac:dyDescent="0.25">
      <c r="A4317" t="s">
        <v>4357</v>
      </c>
      <c r="B4317" s="1">
        <v>45894.626076388886</v>
      </c>
      <c r="C4317" s="2" t="s">
        <v>26</v>
      </c>
      <c r="D4317" t="s">
        <v>45</v>
      </c>
      <c r="E4317">
        <v>116926</v>
      </c>
      <c r="F4317" t="s">
        <v>14</v>
      </c>
      <c r="G4317" t="s">
        <v>20</v>
      </c>
      <c r="H4317" t="s">
        <v>71</v>
      </c>
      <c r="I4317">
        <v>1169.26</v>
      </c>
      <c r="J4317">
        <v>0</v>
      </c>
      <c r="K4317">
        <v>1169.26</v>
      </c>
    </row>
    <row r="4318" spans="1:11" x14ac:dyDescent="0.25">
      <c r="A4318" t="s">
        <v>4358</v>
      </c>
      <c r="B4318" s="1">
        <v>46100.365532407406</v>
      </c>
      <c r="C4318" s="2" t="s">
        <v>32</v>
      </c>
      <c r="D4318" t="s">
        <v>23</v>
      </c>
      <c r="E4318">
        <v>2257</v>
      </c>
      <c r="F4318" t="s">
        <v>14</v>
      </c>
      <c r="G4318" t="s">
        <v>20</v>
      </c>
      <c r="H4318" t="s">
        <v>16</v>
      </c>
      <c r="I4318">
        <v>0</v>
      </c>
      <c r="J4318">
        <v>0</v>
      </c>
      <c r="K4318">
        <v>0</v>
      </c>
    </row>
    <row r="4319" spans="1:11" x14ac:dyDescent="0.25">
      <c r="A4319" t="s">
        <v>4359</v>
      </c>
      <c r="B4319" s="1">
        <v>45922.563159722224</v>
      </c>
      <c r="C4319" s="2" t="s">
        <v>22</v>
      </c>
      <c r="D4319" t="s">
        <v>23</v>
      </c>
      <c r="E4319">
        <v>2190</v>
      </c>
      <c r="F4319" t="s">
        <v>14</v>
      </c>
      <c r="G4319" t="s">
        <v>34</v>
      </c>
      <c r="H4319" t="s">
        <v>16</v>
      </c>
      <c r="I4319">
        <v>0</v>
      </c>
      <c r="J4319">
        <v>0</v>
      </c>
      <c r="K4319">
        <v>0</v>
      </c>
    </row>
    <row r="4320" spans="1:11" x14ac:dyDescent="0.25">
      <c r="A4320" t="s">
        <v>4360</v>
      </c>
      <c r="B4320" s="1">
        <v>45943.40824074074</v>
      </c>
      <c r="C4320" s="2" t="s">
        <v>32</v>
      </c>
      <c r="D4320" t="s">
        <v>23</v>
      </c>
      <c r="E4320">
        <v>216</v>
      </c>
      <c r="F4320" t="s">
        <v>99</v>
      </c>
      <c r="G4320" t="s">
        <v>20</v>
      </c>
      <c r="H4320" t="s">
        <v>16</v>
      </c>
      <c r="I4320">
        <v>0</v>
      </c>
      <c r="J4320">
        <v>0</v>
      </c>
      <c r="K4320">
        <v>0</v>
      </c>
    </row>
    <row r="4321" spans="1:11" x14ac:dyDescent="0.25">
      <c r="A4321" t="s">
        <v>4361</v>
      </c>
      <c r="B4321" s="1">
        <v>45998.943564814814</v>
      </c>
      <c r="C4321" s="2" t="s">
        <v>12</v>
      </c>
      <c r="D4321" t="s">
        <v>33</v>
      </c>
      <c r="E4321">
        <v>49047</v>
      </c>
      <c r="F4321" t="s">
        <v>14</v>
      </c>
      <c r="G4321" t="s">
        <v>20</v>
      </c>
      <c r="H4321" t="s">
        <v>16</v>
      </c>
      <c r="I4321">
        <v>0</v>
      </c>
      <c r="J4321">
        <v>0</v>
      </c>
      <c r="K4321">
        <v>0</v>
      </c>
    </row>
    <row r="4322" spans="1:11" x14ac:dyDescent="0.25">
      <c r="A4322" t="s">
        <v>4362</v>
      </c>
      <c r="B4322" s="1">
        <v>45883.950590277775</v>
      </c>
      <c r="C4322" s="2" t="s">
        <v>12</v>
      </c>
      <c r="D4322" t="s">
        <v>23</v>
      </c>
      <c r="E4322">
        <v>3321</v>
      </c>
      <c r="F4322" t="s">
        <v>14</v>
      </c>
      <c r="G4322" t="s">
        <v>20</v>
      </c>
      <c r="H4322" t="s">
        <v>16</v>
      </c>
      <c r="I4322">
        <v>0</v>
      </c>
      <c r="J4322">
        <v>0</v>
      </c>
      <c r="K4322">
        <v>0</v>
      </c>
    </row>
    <row r="4323" spans="1:11" x14ac:dyDescent="0.25">
      <c r="A4323" t="s">
        <v>4363</v>
      </c>
      <c r="B4323" s="1">
        <v>46067.79478009259</v>
      </c>
      <c r="C4323" s="2" t="s">
        <v>12</v>
      </c>
      <c r="D4323" t="s">
        <v>19</v>
      </c>
      <c r="E4323">
        <v>34876</v>
      </c>
      <c r="F4323" t="s">
        <v>14</v>
      </c>
      <c r="G4323" t="s">
        <v>24</v>
      </c>
      <c r="H4323" t="s">
        <v>16</v>
      </c>
      <c r="I4323">
        <v>5</v>
      </c>
      <c r="J4323">
        <v>0</v>
      </c>
      <c r="K4323">
        <v>5</v>
      </c>
    </row>
    <row r="4324" spans="1:11" x14ac:dyDescent="0.25">
      <c r="A4324" t="s">
        <v>4364</v>
      </c>
      <c r="B4324" s="1">
        <v>46107.805949074071</v>
      </c>
      <c r="C4324" s="2" t="s">
        <v>41</v>
      </c>
      <c r="D4324" t="s">
        <v>23</v>
      </c>
      <c r="E4324">
        <v>3750</v>
      </c>
      <c r="F4324" t="s">
        <v>14</v>
      </c>
      <c r="G4324" t="s">
        <v>84</v>
      </c>
      <c r="H4324" t="s">
        <v>16</v>
      </c>
      <c r="I4324">
        <v>0</v>
      </c>
      <c r="J4324">
        <v>0</v>
      </c>
      <c r="K4324">
        <v>0</v>
      </c>
    </row>
    <row r="4325" spans="1:11" x14ac:dyDescent="0.25">
      <c r="A4325" t="s">
        <v>4365</v>
      </c>
      <c r="B4325" s="1">
        <v>46105.449178240742</v>
      </c>
      <c r="C4325" s="2" t="s">
        <v>18</v>
      </c>
      <c r="D4325" t="s">
        <v>19</v>
      </c>
      <c r="E4325">
        <v>43769</v>
      </c>
      <c r="F4325" t="s">
        <v>14</v>
      </c>
      <c r="G4325" t="s">
        <v>84</v>
      </c>
      <c r="H4325" t="s">
        <v>16</v>
      </c>
      <c r="I4325">
        <v>5</v>
      </c>
      <c r="J4325">
        <v>0</v>
      </c>
      <c r="K4325">
        <v>5</v>
      </c>
    </row>
    <row r="4326" spans="1:11" x14ac:dyDescent="0.25">
      <c r="A4326" t="s">
        <v>4366</v>
      </c>
      <c r="B4326" s="1">
        <v>46017.148946759262</v>
      </c>
      <c r="C4326" s="2" t="s">
        <v>41</v>
      </c>
      <c r="D4326" t="s">
        <v>45</v>
      </c>
      <c r="E4326">
        <v>62267</v>
      </c>
      <c r="F4326" t="s">
        <v>14</v>
      </c>
      <c r="G4326" t="s">
        <v>30</v>
      </c>
      <c r="H4326" t="s">
        <v>56</v>
      </c>
      <c r="I4326">
        <v>622.66999999999996</v>
      </c>
      <c r="J4326">
        <v>0</v>
      </c>
      <c r="K4326">
        <v>622.66999999999996</v>
      </c>
    </row>
    <row r="4327" spans="1:11" x14ac:dyDescent="0.25">
      <c r="A4327" t="s">
        <v>4367</v>
      </c>
      <c r="B4327" s="1">
        <v>46065.467060185183</v>
      </c>
      <c r="C4327" s="2" t="s">
        <v>18</v>
      </c>
      <c r="D4327" t="s">
        <v>45</v>
      </c>
      <c r="E4327">
        <v>113686</v>
      </c>
      <c r="F4327" t="s">
        <v>14</v>
      </c>
      <c r="G4327" t="s">
        <v>84</v>
      </c>
      <c r="H4327" t="s">
        <v>71</v>
      </c>
      <c r="I4327">
        <v>1136.8599999999999</v>
      </c>
      <c r="J4327">
        <v>0</v>
      </c>
      <c r="K4327">
        <v>1136.8599999999999</v>
      </c>
    </row>
    <row r="4328" spans="1:11" x14ac:dyDescent="0.25">
      <c r="A4328" t="s">
        <v>4368</v>
      </c>
      <c r="B4328" s="1">
        <v>45963.697233796294</v>
      </c>
      <c r="C4328" s="2" t="s">
        <v>18</v>
      </c>
      <c r="D4328" t="s">
        <v>19</v>
      </c>
      <c r="E4328">
        <v>40811</v>
      </c>
      <c r="F4328" t="s">
        <v>14</v>
      </c>
      <c r="G4328" t="s">
        <v>34</v>
      </c>
      <c r="H4328" t="s">
        <v>16</v>
      </c>
      <c r="I4328">
        <v>5</v>
      </c>
      <c r="J4328">
        <v>0</v>
      </c>
      <c r="K4328">
        <v>5</v>
      </c>
    </row>
    <row r="4329" spans="1:11" x14ac:dyDescent="0.25">
      <c r="A4329" t="s">
        <v>4369</v>
      </c>
      <c r="B4329" s="1">
        <v>45855.064131944448</v>
      </c>
      <c r="C4329" s="2" t="s">
        <v>29</v>
      </c>
      <c r="D4329" t="s">
        <v>13</v>
      </c>
      <c r="E4329">
        <v>181500</v>
      </c>
      <c r="F4329" t="s">
        <v>14</v>
      </c>
      <c r="G4329" t="s">
        <v>27</v>
      </c>
      <c r="H4329" t="s">
        <v>16</v>
      </c>
      <c r="I4329">
        <v>3357.75</v>
      </c>
      <c r="J4329">
        <v>1343.1</v>
      </c>
      <c r="K4329">
        <v>2014.65</v>
      </c>
    </row>
    <row r="4330" spans="1:11" x14ac:dyDescent="0.25">
      <c r="A4330" t="s">
        <v>4370</v>
      </c>
      <c r="B4330" s="1">
        <v>45885.077222222222</v>
      </c>
      <c r="C4330" s="2" t="s">
        <v>26</v>
      </c>
      <c r="D4330" t="s">
        <v>45</v>
      </c>
      <c r="E4330">
        <v>11447</v>
      </c>
      <c r="F4330" t="s">
        <v>14</v>
      </c>
      <c r="G4330" t="s">
        <v>24</v>
      </c>
      <c r="H4330" t="s">
        <v>46</v>
      </c>
      <c r="I4330">
        <v>114.47</v>
      </c>
      <c r="J4330">
        <v>0</v>
      </c>
      <c r="K4330">
        <v>114.47</v>
      </c>
    </row>
    <row r="4331" spans="1:11" x14ac:dyDescent="0.25">
      <c r="A4331" t="s">
        <v>4371</v>
      </c>
      <c r="B4331" s="1">
        <v>46096.75545138889</v>
      </c>
      <c r="C4331" s="2" t="s">
        <v>29</v>
      </c>
      <c r="D4331" t="s">
        <v>33</v>
      </c>
      <c r="E4331">
        <v>93335</v>
      </c>
      <c r="F4331" t="s">
        <v>14</v>
      </c>
      <c r="G4331" t="s">
        <v>34</v>
      </c>
      <c r="H4331" t="s">
        <v>16</v>
      </c>
      <c r="I4331">
        <v>0</v>
      </c>
      <c r="J4331">
        <v>0</v>
      </c>
      <c r="K4331">
        <v>0</v>
      </c>
    </row>
    <row r="4332" spans="1:11" x14ac:dyDescent="0.25">
      <c r="A4332" t="s">
        <v>4372</v>
      </c>
      <c r="B4332" s="1">
        <v>45853.271018518521</v>
      </c>
      <c r="C4332" s="2" t="s">
        <v>12</v>
      </c>
      <c r="D4332" t="s">
        <v>45</v>
      </c>
      <c r="E4332">
        <v>20302</v>
      </c>
      <c r="F4332" t="s">
        <v>14</v>
      </c>
      <c r="G4332" t="s">
        <v>20</v>
      </c>
      <c r="H4332" t="s">
        <v>71</v>
      </c>
      <c r="I4332">
        <v>203.02</v>
      </c>
      <c r="J4332">
        <v>0</v>
      </c>
      <c r="K4332">
        <v>203.02</v>
      </c>
    </row>
    <row r="4333" spans="1:11" x14ac:dyDescent="0.25">
      <c r="A4333" t="s">
        <v>4373</v>
      </c>
      <c r="B4333" s="1">
        <v>46129.93377314815</v>
      </c>
      <c r="C4333" s="2" t="s">
        <v>41</v>
      </c>
      <c r="D4333" t="s">
        <v>23</v>
      </c>
      <c r="E4333">
        <v>454</v>
      </c>
      <c r="F4333" t="s">
        <v>14</v>
      </c>
      <c r="G4333" t="s">
        <v>34</v>
      </c>
      <c r="H4333" t="s">
        <v>16</v>
      </c>
      <c r="I4333">
        <v>0</v>
      </c>
      <c r="J4333">
        <v>0</v>
      </c>
      <c r="K4333">
        <v>0</v>
      </c>
    </row>
    <row r="4334" spans="1:11" x14ac:dyDescent="0.25">
      <c r="A4334" t="s">
        <v>4374</v>
      </c>
      <c r="B4334" s="1">
        <v>46094.226481481484</v>
      </c>
      <c r="C4334" s="2" t="s">
        <v>41</v>
      </c>
      <c r="D4334" t="s">
        <v>23</v>
      </c>
      <c r="E4334">
        <v>159</v>
      </c>
      <c r="F4334" t="s">
        <v>14</v>
      </c>
      <c r="G4334" t="s">
        <v>27</v>
      </c>
      <c r="H4334" t="s">
        <v>16</v>
      </c>
      <c r="I4334">
        <v>0</v>
      </c>
      <c r="J4334">
        <v>0</v>
      </c>
      <c r="K4334">
        <v>0</v>
      </c>
    </row>
    <row r="4335" spans="1:11" x14ac:dyDescent="0.25">
      <c r="A4335" t="s">
        <v>4375</v>
      </c>
      <c r="B4335" s="1">
        <v>45854.479027777779</v>
      </c>
      <c r="C4335" s="2" t="s">
        <v>29</v>
      </c>
      <c r="D4335" t="s">
        <v>13</v>
      </c>
      <c r="E4335">
        <v>159500</v>
      </c>
      <c r="F4335" t="s">
        <v>14</v>
      </c>
      <c r="G4335" t="s">
        <v>84</v>
      </c>
      <c r="H4335" t="s">
        <v>16</v>
      </c>
      <c r="I4335">
        <v>2950.75</v>
      </c>
      <c r="J4335">
        <v>1180.3</v>
      </c>
      <c r="K4335">
        <v>1770.45</v>
      </c>
    </row>
    <row r="4336" spans="1:11" x14ac:dyDescent="0.25">
      <c r="A4336" t="s">
        <v>4376</v>
      </c>
      <c r="B4336" s="1">
        <v>45785.830034722225</v>
      </c>
      <c r="C4336" s="2" t="s">
        <v>22</v>
      </c>
      <c r="D4336" t="s">
        <v>45</v>
      </c>
      <c r="E4336">
        <v>43823</v>
      </c>
      <c r="F4336" t="s">
        <v>50</v>
      </c>
      <c r="G4336" t="s">
        <v>20</v>
      </c>
      <c r="H4336" t="s">
        <v>56</v>
      </c>
      <c r="I4336">
        <v>438.23</v>
      </c>
      <c r="J4336">
        <v>0</v>
      </c>
      <c r="K4336">
        <v>438.23</v>
      </c>
    </row>
    <row r="4337" spans="1:11" x14ac:dyDescent="0.25">
      <c r="A4337" t="s">
        <v>4377</v>
      </c>
      <c r="B4337" s="1">
        <v>45950.371874999997</v>
      </c>
      <c r="C4337" s="2" t="s">
        <v>32</v>
      </c>
      <c r="D4337" t="s">
        <v>23</v>
      </c>
      <c r="E4337">
        <v>4853</v>
      </c>
      <c r="F4337" t="s">
        <v>14</v>
      </c>
      <c r="G4337" t="s">
        <v>24</v>
      </c>
      <c r="H4337" t="s">
        <v>16</v>
      </c>
      <c r="I4337">
        <v>0</v>
      </c>
      <c r="J4337">
        <v>0</v>
      </c>
      <c r="K4337">
        <v>0</v>
      </c>
    </row>
    <row r="4338" spans="1:11" x14ac:dyDescent="0.25">
      <c r="A4338" t="s">
        <v>4378</v>
      </c>
      <c r="B4338" s="1">
        <v>46101.601388888892</v>
      </c>
      <c r="C4338" s="2" t="s">
        <v>32</v>
      </c>
      <c r="D4338" t="s">
        <v>13</v>
      </c>
      <c r="E4338">
        <v>116000</v>
      </c>
      <c r="F4338" t="s">
        <v>14</v>
      </c>
      <c r="G4338" t="s">
        <v>30</v>
      </c>
      <c r="H4338" t="s">
        <v>16</v>
      </c>
      <c r="I4338">
        <v>2146</v>
      </c>
      <c r="J4338">
        <v>858.4</v>
      </c>
      <c r="K4338">
        <v>1287.5999999999999</v>
      </c>
    </row>
    <row r="4339" spans="1:11" x14ac:dyDescent="0.25">
      <c r="A4339" t="s">
        <v>4379</v>
      </c>
      <c r="B4339" s="1">
        <v>45917.500347222223</v>
      </c>
      <c r="C4339" s="2" t="s">
        <v>41</v>
      </c>
      <c r="D4339" t="s">
        <v>23</v>
      </c>
      <c r="E4339">
        <v>1602</v>
      </c>
      <c r="F4339" t="s">
        <v>50</v>
      </c>
      <c r="G4339" t="s">
        <v>15</v>
      </c>
      <c r="H4339" t="s">
        <v>16</v>
      </c>
      <c r="I4339">
        <v>0</v>
      </c>
      <c r="J4339">
        <v>0</v>
      </c>
      <c r="K4339">
        <v>0</v>
      </c>
    </row>
    <row r="4340" spans="1:11" x14ac:dyDescent="0.25">
      <c r="A4340" t="s">
        <v>4380</v>
      </c>
      <c r="B4340" s="1">
        <v>45812.936527777776</v>
      </c>
      <c r="C4340" s="2" t="s">
        <v>26</v>
      </c>
      <c r="D4340" t="s">
        <v>19</v>
      </c>
      <c r="E4340">
        <v>76418</v>
      </c>
      <c r="F4340" t="s">
        <v>14</v>
      </c>
      <c r="G4340" t="s">
        <v>15</v>
      </c>
      <c r="H4340" t="s">
        <v>16</v>
      </c>
      <c r="I4340">
        <v>5</v>
      </c>
      <c r="J4340">
        <v>0</v>
      </c>
      <c r="K4340">
        <v>5</v>
      </c>
    </row>
    <row r="4341" spans="1:11" x14ac:dyDescent="0.25">
      <c r="A4341" t="s">
        <v>4381</v>
      </c>
      <c r="B4341" s="1">
        <v>45885.451342592591</v>
      </c>
      <c r="C4341" s="2" t="s">
        <v>12</v>
      </c>
      <c r="D4341" t="s">
        <v>45</v>
      </c>
      <c r="E4341">
        <v>5936</v>
      </c>
      <c r="F4341" t="s">
        <v>14</v>
      </c>
      <c r="G4341" t="s">
        <v>84</v>
      </c>
      <c r="H4341" t="s">
        <v>46</v>
      </c>
      <c r="I4341">
        <v>59.36</v>
      </c>
      <c r="J4341">
        <v>0</v>
      </c>
      <c r="K4341">
        <v>59.36</v>
      </c>
    </row>
    <row r="4342" spans="1:11" x14ac:dyDescent="0.25">
      <c r="A4342" t="s">
        <v>4382</v>
      </c>
      <c r="B4342" s="1">
        <v>45931.326909722222</v>
      </c>
      <c r="C4342" s="2" t="s">
        <v>29</v>
      </c>
      <c r="D4342" t="s">
        <v>45</v>
      </c>
      <c r="E4342">
        <v>130223</v>
      </c>
      <c r="F4342" t="s">
        <v>14</v>
      </c>
      <c r="G4342" t="s">
        <v>84</v>
      </c>
      <c r="H4342" t="s">
        <v>46</v>
      </c>
      <c r="I4342">
        <v>1302.23</v>
      </c>
      <c r="J4342">
        <v>0</v>
      </c>
      <c r="K4342">
        <v>1302.23</v>
      </c>
    </row>
    <row r="4343" spans="1:11" x14ac:dyDescent="0.25">
      <c r="A4343" t="s">
        <v>4383</v>
      </c>
      <c r="B4343" s="1">
        <v>45795.149050925924</v>
      </c>
      <c r="C4343" s="2" t="s">
        <v>32</v>
      </c>
      <c r="D4343" t="s">
        <v>33</v>
      </c>
      <c r="E4343">
        <v>11525</v>
      </c>
      <c r="F4343" t="s">
        <v>14</v>
      </c>
      <c r="G4343" t="s">
        <v>34</v>
      </c>
      <c r="H4343" t="s">
        <v>16</v>
      </c>
      <c r="I4343">
        <v>0</v>
      </c>
      <c r="J4343">
        <v>0</v>
      </c>
      <c r="K4343">
        <v>0</v>
      </c>
    </row>
    <row r="4344" spans="1:11" x14ac:dyDescent="0.25">
      <c r="A4344" t="s">
        <v>4384</v>
      </c>
      <c r="B4344" s="1">
        <v>46036.25849537037</v>
      </c>
      <c r="C4344" s="2" t="s">
        <v>32</v>
      </c>
      <c r="D4344" t="s">
        <v>45</v>
      </c>
      <c r="E4344">
        <v>84317</v>
      </c>
      <c r="F4344" t="s">
        <v>14</v>
      </c>
      <c r="G4344" t="s">
        <v>51</v>
      </c>
      <c r="H4344" t="s">
        <v>46</v>
      </c>
      <c r="I4344">
        <v>843.17</v>
      </c>
      <c r="J4344">
        <v>0</v>
      </c>
      <c r="K4344">
        <v>843.17</v>
      </c>
    </row>
    <row r="4345" spans="1:11" x14ac:dyDescent="0.25">
      <c r="A4345" t="s">
        <v>4385</v>
      </c>
      <c r="B4345" s="1">
        <v>45854.987962962965</v>
      </c>
      <c r="C4345" s="2" t="s">
        <v>26</v>
      </c>
      <c r="D4345" t="s">
        <v>23</v>
      </c>
      <c r="E4345">
        <v>1504</v>
      </c>
      <c r="F4345" t="s">
        <v>14</v>
      </c>
      <c r="G4345" t="s">
        <v>15</v>
      </c>
      <c r="H4345" t="s">
        <v>16</v>
      </c>
      <c r="I4345">
        <v>0</v>
      </c>
      <c r="J4345">
        <v>0</v>
      </c>
      <c r="K4345">
        <v>0</v>
      </c>
    </row>
    <row r="4346" spans="1:11" x14ac:dyDescent="0.25">
      <c r="A4346" t="s">
        <v>4386</v>
      </c>
      <c r="B4346" s="1">
        <v>46132.097418981481</v>
      </c>
      <c r="C4346" s="2" t="s">
        <v>12</v>
      </c>
      <c r="D4346" t="s">
        <v>13</v>
      </c>
      <c r="E4346">
        <v>56500</v>
      </c>
      <c r="F4346" t="s">
        <v>14</v>
      </c>
      <c r="G4346" t="s">
        <v>34</v>
      </c>
      <c r="H4346" t="s">
        <v>16</v>
      </c>
      <c r="I4346">
        <v>1045.25</v>
      </c>
      <c r="J4346">
        <v>418.1</v>
      </c>
      <c r="K4346">
        <v>627.15</v>
      </c>
    </row>
    <row r="4347" spans="1:11" x14ac:dyDescent="0.25">
      <c r="A4347" t="s">
        <v>4387</v>
      </c>
      <c r="B4347" s="1">
        <v>45783.079328703701</v>
      </c>
      <c r="C4347" s="2" t="s">
        <v>41</v>
      </c>
      <c r="D4347" t="s">
        <v>23</v>
      </c>
      <c r="E4347">
        <v>3534</v>
      </c>
      <c r="F4347" t="s">
        <v>14</v>
      </c>
      <c r="G4347" t="s">
        <v>58</v>
      </c>
      <c r="H4347" t="s">
        <v>16</v>
      </c>
      <c r="I4347">
        <v>0</v>
      </c>
      <c r="J4347">
        <v>0</v>
      </c>
      <c r="K4347">
        <v>0</v>
      </c>
    </row>
    <row r="4348" spans="1:11" x14ac:dyDescent="0.25">
      <c r="A4348" t="s">
        <v>4388</v>
      </c>
      <c r="B4348" s="1">
        <v>45844.050995370373</v>
      </c>
      <c r="C4348" s="2" t="s">
        <v>18</v>
      </c>
      <c r="D4348" t="s">
        <v>13</v>
      </c>
      <c r="E4348">
        <v>13000</v>
      </c>
      <c r="F4348" t="s">
        <v>50</v>
      </c>
      <c r="G4348" t="s">
        <v>15</v>
      </c>
      <c r="H4348" t="s">
        <v>16</v>
      </c>
      <c r="I4348">
        <v>240.5</v>
      </c>
      <c r="J4348">
        <v>96.2</v>
      </c>
      <c r="K4348">
        <v>144.30000000000001</v>
      </c>
    </row>
    <row r="4349" spans="1:11" x14ac:dyDescent="0.25">
      <c r="A4349" t="s">
        <v>4389</v>
      </c>
      <c r="B4349" s="1">
        <v>46071.340138888889</v>
      </c>
      <c r="C4349" s="2" t="s">
        <v>41</v>
      </c>
      <c r="D4349" t="s">
        <v>33</v>
      </c>
      <c r="E4349">
        <v>144590</v>
      </c>
      <c r="F4349" t="s">
        <v>14</v>
      </c>
      <c r="G4349" t="s">
        <v>58</v>
      </c>
      <c r="H4349" t="s">
        <v>16</v>
      </c>
      <c r="I4349">
        <v>0</v>
      </c>
      <c r="J4349">
        <v>0</v>
      </c>
      <c r="K4349">
        <v>0</v>
      </c>
    </row>
    <row r="4350" spans="1:11" x14ac:dyDescent="0.25">
      <c r="A4350" t="s">
        <v>4390</v>
      </c>
      <c r="B4350" s="1">
        <v>45950.010775462964</v>
      </c>
      <c r="C4350" s="2" t="s">
        <v>29</v>
      </c>
      <c r="D4350" t="s">
        <v>23</v>
      </c>
      <c r="E4350">
        <v>4944</v>
      </c>
      <c r="F4350" t="s">
        <v>14</v>
      </c>
      <c r="G4350" t="s">
        <v>24</v>
      </c>
      <c r="H4350" t="s">
        <v>16</v>
      </c>
      <c r="I4350">
        <v>0</v>
      </c>
      <c r="J4350">
        <v>0</v>
      </c>
      <c r="K4350">
        <v>0</v>
      </c>
    </row>
    <row r="4351" spans="1:11" x14ac:dyDescent="0.25">
      <c r="A4351" t="s">
        <v>4391</v>
      </c>
      <c r="B4351" s="1">
        <v>46025.222141203703</v>
      </c>
      <c r="C4351" s="2" t="s">
        <v>41</v>
      </c>
      <c r="D4351" t="s">
        <v>33</v>
      </c>
      <c r="E4351">
        <v>143625</v>
      </c>
      <c r="F4351" t="s">
        <v>14</v>
      </c>
      <c r="G4351" t="s">
        <v>15</v>
      </c>
      <c r="H4351" t="s">
        <v>16</v>
      </c>
      <c r="I4351">
        <v>0</v>
      </c>
      <c r="J4351">
        <v>0</v>
      </c>
      <c r="K4351">
        <v>0</v>
      </c>
    </row>
    <row r="4352" spans="1:11" x14ac:dyDescent="0.25">
      <c r="A4352" t="s">
        <v>4392</v>
      </c>
      <c r="B4352" s="1">
        <v>45844.861631944441</v>
      </c>
      <c r="C4352" s="2" t="s">
        <v>32</v>
      </c>
      <c r="D4352" t="s">
        <v>19</v>
      </c>
      <c r="E4352">
        <v>588</v>
      </c>
      <c r="F4352" t="s">
        <v>14</v>
      </c>
      <c r="G4352" t="s">
        <v>20</v>
      </c>
      <c r="H4352" t="s">
        <v>16</v>
      </c>
      <c r="I4352">
        <v>5</v>
      </c>
      <c r="J4352">
        <v>0</v>
      </c>
      <c r="K4352">
        <v>5</v>
      </c>
    </row>
    <row r="4353" spans="1:11" x14ac:dyDescent="0.25">
      <c r="A4353" t="s">
        <v>4393</v>
      </c>
      <c r="B4353" s="1">
        <v>45908.125</v>
      </c>
      <c r="C4353" s="2" t="s">
        <v>26</v>
      </c>
      <c r="D4353" t="s">
        <v>19</v>
      </c>
      <c r="E4353">
        <v>118032</v>
      </c>
      <c r="F4353" t="s">
        <v>50</v>
      </c>
      <c r="G4353" t="s">
        <v>15</v>
      </c>
      <c r="H4353" t="s">
        <v>16</v>
      </c>
      <c r="I4353">
        <v>5</v>
      </c>
      <c r="J4353">
        <v>0</v>
      </c>
      <c r="K4353">
        <v>5</v>
      </c>
    </row>
    <row r="4354" spans="1:11" x14ac:dyDescent="0.25">
      <c r="A4354" t="s">
        <v>4394</v>
      </c>
      <c r="B4354" s="1">
        <v>46101.244537037041</v>
      </c>
      <c r="C4354" s="2" t="s">
        <v>12</v>
      </c>
      <c r="D4354" t="s">
        <v>45</v>
      </c>
      <c r="E4354">
        <v>30194</v>
      </c>
      <c r="F4354" t="s">
        <v>14</v>
      </c>
      <c r="G4354" t="s">
        <v>24</v>
      </c>
      <c r="H4354" t="s">
        <v>46</v>
      </c>
      <c r="I4354">
        <v>301.94</v>
      </c>
      <c r="J4354">
        <v>0</v>
      </c>
      <c r="K4354">
        <v>301.94</v>
      </c>
    </row>
    <row r="4355" spans="1:11" x14ac:dyDescent="0.25">
      <c r="A4355" t="s">
        <v>4395</v>
      </c>
      <c r="B4355" s="1">
        <v>46093.092499999999</v>
      </c>
      <c r="C4355" s="2" t="s">
        <v>39</v>
      </c>
      <c r="D4355" t="s">
        <v>45</v>
      </c>
      <c r="E4355">
        <v>127806</v>
      </c>
      <c r="F4355" t="s">
        <v>14</v>
      </c>
      <c r="G4355" t="s">
        <v>34</v>
      </c>
      <c r="H4355" t="s">
        <v>56</v>
      </c>
      <c r="I4355">
        <v>1278.06</v>
      </c>
      <c r="J4355">
        <v>0</v>
      </c>
      <c r="K4355">
        <v>1278.06</v>
      </c>
    </row>
    <row r="4356" spans="1:11" x14ac:dyDescent="0.25">
      <c r="A4356" t="s">
        <v>4396</v>
      </c>
      <c r="B4356" s="1">
        <v>45860.514270833337</v>
      </c>
      <c r="C4356" s="2" t="s">
        <v>32</v>
      </c>
      <c r="D4356" t="s">
        <v>19</v>
      </c>
      <c r="E4356">
        <v>132851</v>
      </c>
      <c r="F4356" t="s">
        <v>14</v>
      </c>
      <c r="G4356" t="s">
        <v>20</v>
      </c>
      <c r="H4356" t="s">
        <v>16</v>
      </c>
      <c r="I4356">
        <v>5</v>
      </c>
      <c r="J4356">
        <v>0</v>
      </c>
      <c r="K4356">
        <v>5</v>
      </c>
    </row>
    <row r="4357" spans="1:11" x14ac:dyDescent="0.25">
      <c r="A4357" t="s">
        <v>4397</v>
      </c>
      <c r="B4357" s="1">
        <v>46003.569016203706</v>
      </c>
      <c r="C4357" s="2" t="s">
        <v>22</v>
      </c>
      <c r="D4357" t="s">
        <v>13</v>
      </c>
      <c r="E4357">
        <v>28000</v>
      </c>
      <c r="F4357" t="s">
        <v>14</v>
      </c>
      <c r="G4357" t="s">
        <v>27</v>
      </c>
      <c r="H4357" t="s">
        <v>16</v>
      </c>
      <c r="I4357">
        <v>518</v>
      </c>
      <c r="J4357">
        <v>207.2</v>
      </c>
      <c r="K4357">
        <v>310.8</v>
      </c>
    </row>
    <row r="4358" spans="1:11" x14ac:dyDescent="0.25">
      <c r="A4358" t="s">
        <v>4398</v>
      </c>
      <c r="B4358" s="1">
        <v>45906.288854166669</v>
      </c>
      <c r="C4358" s="2" t="s">
        <v>32</v>
      </c>
      <c r="D4358" t="s">
        <v>33</v>
      </c>
      <c r="E4358">
        <v>25183</v>
      </c>
      <c r="F4358" t="s">
        <v>14</v>
      </c>
      <c r="G4358" t="s">
        <v>34</v>
      </c>
      <c r="H4358" t="s">
        <v>16</v>
      </c>
      <c r="I4358">
        <v>0</v>
      </c>
      <c r="J4358">
        <v>0</v>
      </c>
      <c r="K4358">
        <v>0</v>
      </c>
    </row>
    <row r="4359" spans="1:11" x14ac:dyDescent="0.25">
      <c r="A4359" t="s">
        <v>4399</v>
      </c>
      <c r="B4359" s="1">
        <v>45992.997696759259</v>
      </c>
      <c r="C4359" s="2" t="s">
        <v>22</v>
      </c>
      <c r="D4359" t="s">
        <v>19</v>
      </c>
      <c r="E4359">
        <v>9085</v>
      </c>
      <c r="F4359" t="s">
        <v>14</v>
      </c>
      <c r="G4359" t="s">
        <v>20</v>
      </c>
      <c r="H4359" t="s">
        <v>16</v>
      </c>
      <c r="I4359">
        <v>5</v>
      </c>
      <c r="J4359">
        <v>0</v>
      </c>
      <c r="K4359">
        <v>5</v>
      </c>
    </row>
    <row r="4360" spans="1:11" x14ac:dyDescent="0.25">
      <c r="A4360" t="s">
        <v>4400</v>
      </c>
      <c r="B4360" s="1">
        <v>45801.930949074071</v>
      </c>
      <c r="C4360" s="2" t="s">
        <v>18</v>
      </c>
      <c r="D4360" t="s">
        <v>19</v>
      </c>
      <c r="E4360">
        <v>49193</v>
      </c>
      <c r="F4360" t="s">
        <v>14</v>
      </c>
      <c r="G4360" t="s">
        <v>58</v>
      </c>
      <c r="H4360" t="s">
        <v>16</v>
      </c>
      <c r="I4360">
        <v>5</v>
      </c>
      <c r="J4360">
        <v>0</v>
      </c>
      <c r="K4360">
        <v>5</v>
      </c>
    </row>
    <row r="4361" spans="1:11" x14ac:dyDescent="0.25">
      <c r="A4361" t="s">
        <v>4401</v>
      </c>
      <c r="B4361" s="1">
        <v>46132.153703703705</v>
      </c>
      <c r="C4361" s="2" t="s">
        <v>12</v>
      </c>
      <c r="D4361" t="s">
        <v>23</v>
      </c>
      <c r="E4361">
        <v>4091</v>
      </c>
      <c r="F4361" t="s">
        <v>14</v>
      </c>
      <c r="G4361" t="s">
        <v>58</v>
      </c>
      <c r="H4361" t="s">
        <v>16</v>
      </c>
      <c r="I4361">
        <v>0</v>
      </c>
      <c r="J4361">
        <v>0</v>
      </c>
      <c r="K4361">
        <v>0</v>
      </c>
    </row>
    <row r="4362" spans="1:11" x14ac:dyDescent="0.25">
      <c r="A4362" t="s">
        <v>4402</v>
      </c>
      <c r="B4362" s="1">
        <v>45785.897129629629</v>
      </c>
      <c r="C4362" s="2" t="s">
        <v>39</v>
      </c>
      <c r="D4362" t="s">
        <v>45</v>
      </c>
      <c r="E4362">
        <v>91356</v>
      </c>
      <c r="F4362" t="s">
        <v>14</v>
      </c>
      <c r="G4362" t="s">
        <v>20</v>
      </c>
      <c r="H4362" t="s">
        <v>59</v>
      </c>
      <c r="I4362">
        <v>913.56</v>
      </c>
      <c r="J4362">
        <v>0</v>
      </c>
      <c r="K4362">
        <v>913.56</v>
      </c>
    </row>
    <row r="4363" spans="1:11" x14ac:dyDescent="0.25">
      <c r="A4363" t="s">
        <v>4403</v>
      </c>
      <c r="B4363" s="1">
        <v>46009.771851851852</v>
      </c>
      <c r="C4363" s="2" t="s">
        <v>22</v>
      </c>
      <c r="D4363" t="s">
        <v>23</v>
      </c>
      <c r="E4363">
        <v>783</v>
      </c>
      <c r="F4363" t="s">
        <v>14</v>
      </c>
      <c r="G4363" t="s">
        <v>20</v>
      </c>
      <c r="H4363" t="s">
        <v>16</v>
      </c>
      <c r="I4363">
        <v>0</v>
      </c>
      <c r="J4363">
        <v>0</v>
      </c>
      <c r="K4363">
        <v>0</v>
      </c>
    </row>
    <row r="4364" spans="1:11" x14ac:dyDescent="0.25">
      <c r="A4364" t="s">
        <v>4404</v>
      </c>
      <c r="B4364" s="1">
        <v>45863.76258101852</v>
      </c>
      <c r="C4364" s="2" t="s">
        <v>41</v>
      </c>
      <c r="D4364" t="s">
        <v>45</v>
      </c>
      <c r="E4364">
        <v>78520</v>
      </c>
      <c r="F4364" t="s">
        <v>14</v>
      </c>
      <c r="G4364" t="s">
        <v>84</v>
      </c>
      <c r="H4364" t="s">
        <v>56</v>
      </c>
      <c r="I4364">
        <v>785.2</v>
      </c>
      <c r="J4364">
        <v>0</v>
      </c>
      <c r="K4364">
        <v>785.2</v>
      </c>
    </row>
    <row r="4365" spans="1:11" x14ac:dyDescent="0.25">
      <c r="A4365" t="s">
        <v>4405</v>
      </c>
      <c r="B4365" s="1">
        <v>46040.960810185185</v>
      </c>
      <c r="C4365" s="2" t="s">
        <v>39</v>
      </c>
      <c r="D4365" t="s">
        <v>23</v>
      </c>
      <c r="E4365">
        <v>414</v>
      </c>
      <c r="F4365" t="s">
        <v>14</v>
      </c>
      <c r="G4365" t="s">
        <v>24</v>
      </c>
      <c r="H4365" t="s">
        <v>16</v>
      </c>
      <c r="I4365">
        <v>0</v>
      </c>
      <c r="J4365">
        <v>0</v>
      </c>
      <c r="K4365">
        <v>0</v>
      </c>
    </row>
    <row r="4366" spans="1:11" x14ac:dyDescent="0.25">
      <c r="A4366" t="s">
        <v>4406</v>
      </c>
      <c r="B4366" s="1">
        <v>46016.926689814813</v>
      </c>
      <c r="C4366" s="2" t="s">
        <v>29</v>
      </c>
      <c r="D4366" t="s">
        <v>19</v>
      </c>
      <c r="E4366">
        <v>52667</v>
      </c>
      <c r="F4366" t="s">
        <v>14</v>
      </c>
      <c r="G4366" t="s">
        <v>51</v>
      </c>
      <c r="H4366" t="s">
        <v>16</v>
      </c>
      <c r="I4366">
        <v>5</v>
      </c>
      <c r="J4366">
        <v>0</v>
      </c>
      <c r="K4366">
        <v>5</v>
      </c>
    </row>
    <row r="4367" spans="1:11" x14ac:dyDescent="0.25">
      <c r="A4367" t="s">
        <v>4407</v>
      </c>
      <c r="B4367" s="1">
        <v>45894.549641203703</v>
      </c>
      <c r="C4367" s="2" t="s">
        <v>29</v>
      </c>
      <c r="D4367" t="s">
        <v>19</v>
      </c>
      <c r="E4367">
        <v>42212</v>
      </c>
      <c r="F4367" t="s">
        <v>14</v>
      </c>
      <c r="G4367" t="s">
        <v>34</v>
      </c>
      <c r="H4367" t="s">
        <v>16</v>
      </c>
      <c r="I4367">
        <v>5</v>
      </c>
      <c r="J4367">
        <v>0</v>
      </c>
      <c r="K4367">
        <v>5</v>
      </c>
    </row>
    <row r="4368" spans="1:11" x14ac:dyDescent="0.25">
      <c r="A4368" t="s">
        <v>4408</v>
      </c>
      <c r="B4368" s="1">
        <v>45831.901064814818</v>
      </c>
      <c r="C4368" s="2" t="s">
        <v>29</v>
      </c>
      <c r="D4368" t="s">
        <v>19</v>
      </c>
      <c r="E4368">
        <v>68987</v>
      </c>
      <c r="F4368" t="s">
        <v>14</v>
      </c>
      <c r="G4368" t="s">
        <v>84</v>
      </c>
      <c r="H4368" t="s">
        <v>16</v>
      </c>
      <c r="I4368">
        <v>5</v>
      </c>
      <c r="J4368">
        <v>0</v>
      </c>
      <c r="K4368">
        <v>5</v>
      </c>
    </row>
    <row r="4369" spans="1:11" x14ac:dyDescent="0.25">
      <c r="A4369" t="s">
        <v>4409</v>
      </c>
      <c r="B4369" s="1">
        <v>45878.583587962959</v>
      </c>
      <c r="C4369" s="2" t="s">
        <v>32</v>
      </c>
      <c r="D4369" t="s">
        <v>33</v>
      </c>
      <c r="E4369">
        <v>65243</v>
      </c>
      <c r="F4369" t="s">
        <v>14</v>
      </c>
      <c r="G4369" t="s">
        <v>27</v>
      </c>
      <c r="H4369" t="s">
        <v>16</v>
      </c>
      <c r="I4369">
        <v>0</v>
      </c>
      <c r="J4369">
        <v>0</v>
      </c>
      <c r="K4369">
        <v>0</v>
      </c>
    </row>
    <row r="4370" spans="1:11" x14ac:dyDescent="0.25">
      <c r="A4370" t="s">
        <v>4410</v>
      </c>
      <c r="B4370" s="1">
        <v>45822.505925925929</v>
      </c>
      <c r="C4370" s="2" t="s">
        <v>39</v>
      </c>
      <c r="D4370" t="s">
        <v>33</v>
      </c>
      <c r="E4370">
        <v>19585</v>
      </c>
      <c r="F4370" t="s">
        <v>50</v>
      </c>
      <c r="G4370" t="s">
        <v>24</v>
      </c>
      <c r="H4370" t="s">
        <v>16</v>
      </c>
      <c r="I4370">
        <v>0</v>
      </c>
      <c r="J4370">
        <v>0</v>
      </c>
      <c r="K4370">
        <v>0</v>
      </c>
    </row>
    <row r="4371" spans="1:11" x14ac:dyDescent="0.25">
      <c r="A4371" t="s">
        <v>4411</v>
      </c>
      <c r="B4371" s="1">
        <v>45950.920740740738</v>
      </c>
      <c r="C4371" s="2" t="s">
        <v>26</v>
      </c>
      <c r="D4371" t="s">
        <v>33</v>
      </c>
      <c r="E4371">
        <v>108241</v>
      </c>
      <c r="F4371" t="s">
        <v>14</v>
      </c>
      <c r="G4371" t="s">
        <v>51</v>
      </c>
      <c r="H4371" t="s">
        <v>16</v>
      </c>
      <c r="I4371">
        <v>0</v>
      </c>
      <c r="J4371">
        <v>0</v>
      </c>
      <c r="K4371">
        <v>0</v>
      </c>
    </row>
    <row r="4372" spans="1:11" x14ac:dyDescent="0.25">
      <c r="A4372" t="s">
        <v>4412</v>
      </c>
      <c r="B4372" s="1">
        <v>46106.579212962963</v>
      </c>
      <c r="C4372" s="2" t="s">
        <v>22</v>
      </c>
      <c r="D4372" t="s">
        <v>13</v>
      </c>
      <c r="E4372">
        <v>41000</v>
      </c>
      <c r="F4372" t="s">
        <v>14</v>
      </c>
      <c r="G4372" t="s">
        <v>30</v>
      </c>
      <c r="H4372" t="s">
        <v>16</v>
      </c>
      <c r="I4372">
        <v>758.5</v>
      </c>
      <c r="J4372">
        <v>303.39999999999998</v>
      </c>
      <c r="K4372">
        <v>455.1</v>
      </c>
    </row>
    <row r="4373" spans="1:11" x14ac:dyDescent="0.25">
      <c r="A4373" t="s">
        <v>4413</v>
      </c>
      <c r="B4373" s="1">
        <v>46022.659895833334</v>
      </c>
      <c r="C4373" s="2" t="s">
        <v>29</v>
      </c>
      <c r="D4373" t="s">
        <v>45</v>
      </c>
      <c r="E4373">
        <v>93957</v>
      </c>
      <c r="F4373" t="s">
        <v>14</v>
      </c>
      <c r="G4373" t="s">
        <v>30</v>
      </c>
      <c r="H4373" t="s">
        <v>46</v>
      </c>
      <c r="I4373">
        <v>939.57</v>
      </c>
      <c r="J4373">
        <v>0</v>
      </c>
      <c r="K4373">
        <v>939.57</v>
      </c>
    </row>
    <row r="4374" spans="1:11" x14ac:dyDescent="0.25">
      <c r="A4374" t="s">
        <v>4414</v>
      </c>
      <c r="B4374" s="1">
        <v>45924.96769675926</v>
      </c>
      <c r="C4374" s="2" t="s">
        <v>41</v>
      </c>
      <c r="D4374" t="s">
        <v>13</v>
      </c>
      <c r="E4374">
        <v>243000</v>
      </c>
      <c r="F4374" t="s">
        <v>14</v>
      </c>
      <c r="G4374" t="s">
        <v>34</v>
      </c>
      <c r="H4374" t="s">
        <v>16</v>
      </c>
      <c r="I4374">
        <v>4495.5</v>
      </c>
      <c r="J4374">
        <v>1798.2</v>
      </c>
      <c r="K4374">
        <v>2697.3</v>
      </c>
    </row>
    <row r="4375" spans="1:11" x14ac:dyDescent="0.25">
      <c r="A4375" t="s">
        <v>4415</v>
      </c>
      <c r="B4375" s="1">
        <v>46096.02516203704</v>
      </c>
      <c r="C4375" s="2" t="s">
        <v>32</v>
      </c>
      <c r="D4375" t="s">
        <v>33</v>
      </c>
      <c r="E4375">
        <v>147666</v>
      </c>
      <c r="F4375" t="s">
        <v>14</v>
      </c>
      <c r="G4375" t="s">
        <v>30</v>
      </c>
      <c r="H4375" t="s">
        <v>16</v>
      </c>
      <c r="I4375">
        <v>0</v>
      </c>
      <c r="J4375">
        <v>0</v>
      </c>
      <c r="K4375">
        <v>0</v>
      </c>
    </row>
    <row r="4376" spans="1:11" x14ac:dyDescent="0.25">
      <c r="A4376" t="s">
        <v>4416</v>
      </c>
      <c r="B4376" s="1">
        <v>46044.385636574072</v>
      </c>
      <c r="C4376" s="2" t="s">
        <v>18</v>
      </c>
      <c r="D4376" t="s">
        <v>33</v>
      </c>
      <c r="E4376">
        <v>86893</v>
      </c>
      <c r="F4376" t="s">
        <v>14</v>
      </c>
      <c r="G4376" t="s">
        <v>51</v>
      </c>
      <c r="H4376" t="s">
        <v>16</v>
      </c>
      <c r="I4376">
        <v>0</v>
      </c>
      <c r="J4376">
        <v>0</v>
      </c>
      <c r="K4376">
        <v>0</v>
      </c>
    </row>
    <row r="4377" spans="1:11" x14ac:dyDescent="0.25">
      <c r="A4377" t="s">
        <v>4417</v>
      </c>
      <c r="B4377" s="1">
        <v>45909.589317129627</v>
      </c>
      <c r="C4377" s="2" t="s">
        <v>22</v>
      </c>
      <c r="D4377" t="s">
        <v>45</v>
      </c>
      <c r="E4377">
        <v>142625</v>
      </c>
      <c r="F4377" t="s">
        <v>14</v>
      </c>
      <c r="G4377" t="s">
        <v>24</v>
      </c>
      <c r="H4377" t="s">
        <v>56</v>
      </c>
      <c r="I4377">
        <v>1426.25</v>
      </c>
      <c r="J4377">
        <v>0</v>
      </c>
      <c r="K4377">
        <v>1426.25</v>
      </c>
    </row>
    <row r="4378" spans="1:11" x14ac:dyDescent="0.25">
      <c r="A4378" t="s">
        <v>4418</v>
      </c>
      <c r="B4378" s="1">
        <v>45895.180972222224</v>
      </c>
      <c r="C4378" s="2" t="s">
        <v>26</v>
      </c>
      <c r="D4378" t="s">
        <v>45</v>
      </c>
      <c r="E4378">
        <v>148734</v>
      </c>
      <c r="F4378" t="s">
        <v>14</v>
      </c>
      <c r="G4378" t="s">
        <v>58</v>
      </c>
      <c r="H4378" t="s">
        <v>71</v>
      </c>
      <c r="I4378">
        <v>1487.34</v>
      </c>
      <c r="J4378">
        <v>0</v>
      </c>
      <c r="K4378">
        <v>1487.34</v>
      </c>
    </row>
    <row r="4379" spans="1:11" x14ac:dyDescent="0.25">
      <c r="A4379" t="s">
        <v>4419</v>
      </c>
      <c r="B4379" s="1">
        <v>45797.896145833336</v>
      </c>
      <c r="C4379" s="2" t="s">
        <v>32</v>
      </c>
      <c r="D4379" t="s">
        <v>19</v>
      </c>
      <c r="E4379">
        <v>49633</v>
      </c>
      <c r="F4379" t="s">
        <v>14</v>
      </c>
      <c r="G4379" t="s">
        <v>34</v>
      </c>
      <c r="H4379" t="s">
        <v>16</v>
      </c>
      <c r="I4379">
        <v>5</v>
      </c>
      <c r="J4379">
        <v>0</v>
      </c>
      <c r="K4379">
        <v>5</v>
      </c>
    </row>
    <row r="4380" spans="1:11" x14ac:dyDescent="0.25">
      <c r="A4380" t="s">
        <v>4420</v>
      </c>
      <c r="B4380" s="1">
        <v>45983.102280092593</v>
      </c>
      <c r="C4380" s="2" t="s">
        <v>26</v>
      </c>
      <c r="D4380" t="s">
        <v>45</v>
      </c>
      <c r="E4380">
        <v>44496</v>
      </c>
      <c r="F4380" t="s">
        <v>14</v>
      </c>
      <c r="G4380" t="s">
        <v>84</v>
      </c>
      <c r="H4380" t="s">
        <v>46</v>
      </c>
      <c r="I4380">
        <v>444.96</v>
      </c>
      <c r="J4380">
        <v>0</v>
      </c>
      <c r="K4380">
        <v>444.96</v>
      </c>
    </row>
    <row r="4381" spans="1:11" x14ac:dyDescent="0.25">
      <c r="A4381" t="s">
        <v>4421</v>
      </c>
      <c r="B4381" s="1">
        <v>46092.2028125</v>
      </c>
      <c r="C4381" s="2" t="s">
        <v>39</v>
      </c>
      <c r="D4381" t="s">
        <v>13</v>
      </c>
      <c r="E4381">
        <v>78500</v>
      </c>
      <c r="F4381" t="s">
        <v>14</v>
      </c>
      <c r="G4381" t="s">
        <v>24</v>
      </c>
      <c r="H4381" t="s">
        <v>16</v>
      </c>
      <c r="I4381">
        <v>1452.25</v>
      </c>
      <c r="J4381">
        <v>580.9</v>
      </c>
      <c r="K4381">
        <v>871.35</v>
      </c>
    </row>
    <row r="4382" spans="1:11" x14ac:dyDescent="0.25">
      <c r="A4382" t="s">
        <v>4422</v>
      </c>
      <c r="B4382" s="1">
        <v>45851.97760416667</v>
      </c>
      <c r="C4382" s="2" t="s">
        <v>39</v>
      </c>
      <c r="D4382" t="s">
        <v>19</v>
      </c>
      <c r="E4382">
        <v>125753</v>
      </c>
      <c r="F4382" t="s">
        <v>14</v>
      </c>
      <c r="G4382" t="s">
        <v>34</v>
      </c>
      <c r="H4382" t="s">
        <v>16</v>
      </c>
      <c r="I4382">
        <v>5</v>
      </c>
      <c r="J4382">
        <v>0</v>
      </c>
      <c r="K4382">
        <v>5</v>
      </c>
    </row>
    <row r="4383" spans="1:11" x14ac:dyDescent="0.25">
      <c r="A4383" t="s">
        <v>4423</v>
      </c>
      <c r="B4383" s="1">
        <v>45965.489120370374</v>
      </c>
      <c r="C4383" s="2" t="s">
        <v>12</v>
      </c>
      <c r="D4383" t="s">
        <v>23</v>
      </c>
      <c r="E4383">
        <v>3526</v>
      </c>
      <c r="F4383" t="s">
        <v>14</v>
      </c>
      <c r="G4383" t="s">
        <v>27</v>
      </c>
      <c r="H4383" t="s">
        <v>16</v>
      </c>
      <c r="I4383">
        <v>0</v>
      </c>
      <c r="J4383">
        <v>0</v>
      </c>
      <c r="K4383">
        <v>0</v>
      </c>
    </row>
    <row r="4384" spans="1:11" x14ac:dyDescent="0.25">
      <c r="A4384" t="s">
        <v>4424</v>
      </c>
      <c r="B4384" s="1">
        <v>46023.587048611109</v>
      </c>
      <c r="C4384" s="2" t="s">
        <v>41</v>
      </c>
      <c r="D4384" t="s">
        <v>45</v>
      </c>
      <c r="E4384">
        <v>29141</v>
      </c>
      <c r="F4384" t="s">
        <v>50</v>
      </c>
      <c r="G4384" t="s">
        <v>51</v>
      </c>
      <c r="H4384" t="s">
        <v>71</v>
      </c>
      <c r="I4384">
        <v>291.41000000000003</v>
      </c>
      <c r="J4384">
        <v>0</v>
      </c>
      <c r="K4384">
        <v>291.41000000000003</v>
      </c>
    </row>
    <row r="4385" spans="1:11" x14ac:dyDescent="0.25">
      <c r="A4385" t="s">
        <v>4425</v>
      </c>
      <c r="B4385" s="1">
        <v>45801.785243055558</v>
      </c>
      <c r="C4385" s="2" t="s">
        <v>32</v>
      </c>
      <c r="D4385" t="s">
        <v>23</v>
      </c>
      <c r="E4385">
        <v>365</v>
      </c>
      <c r="F4385" t="s">
        <v>50</v>
      </c>
      <c r="G4385" t="s">
        <v>34</v>
      </c>
      <c r="H4385" t="s">
        <v>16</v>
      </c>
      <c r="I4385">
        <v>0</v>
      </c>
      <c r="J4385">
        <v>0</v>
      </c>
      <c r="K4385">
        <v>0</v>
      </c>
    </row>
    <row r="4386" spans="1:11" x14ac:dyDescent="0.25">
      <c r="A4386" t="s">
        <v>4426</v>
      </c>
      <c r="B4386" s="1">
        <v>45983.998692129629</v>
      </c>
      <c r="C4386" s="2" t="s">
        <v>41</v>
      </c>
      <c r="D4386" t="s">
        <v>19</v>
      </c>
      <c r="E4386">
        <v>58316</v>
      </c>
      <c r="F4386" t="s">
        <v>14</v>
      </c>
      <c r="G4386" t="s">
        <v>15</v>
      </c>
      <c r="H4386" t="s">
        <v>16</v>
      </c>
      <c r="I4386">
        <v>5</v>
      </c>
      <c r="J4386">
        <v>0</v>
      </c>
      <c r="K4386">
        <v>5</v>
      </c>
    </row>
    <row r="4387" spans="1:11" x14ac:dyDescent="0.25">
      <c r="A4387" t="s">
        <v>4427</v>
      </c>
      <c r="B4387" s="1">
        <v>45858.039930555555</v>
      </c>
      <c r="C4387" s="2" t="s">
        <v>29</v>
      </c>
      <c r="D4387" t="s">
        <v>45</v>
      </c>
      <c r="E4387">
        <v>127446</v>
      </c>
      <c r="F4387" t="s">
        <v>14</v>
      </c>
      <c r="G4387" t="s">
        <v>15</v>
      </c>
      <c r="H4387" t="s">
        <v>56</v>
      </c>
      <c r="I4387">
        <v>1274.46</v>
      </c>
      <c r="J4387">
        <v>0</v>
      </c>
      <c r="K4387">
        <v>1274.46</v>
      </c>
    </row>
    <row r="4388" spans="1:11" x14ac:dyDescent="0.25">
      <c r="A4388" t="s">
        <v>4428</v>
      </c>
      <c r="B4388" s="1">
        <v>45880.272905092592</v>
      </c>
      <c r="C4388" s="2" t="s">
        <v>26</v>
      </c>
      <c r="D4388" t="s">
        <v>23</v>
      </c>
      <c r="E4388">
        <v>2684</v>
      </c>
      <c r="F4388" t="s">
        <v>14</v>
      </c>
      <c r="G4388" t="s">
        <v>24</v>
      </c>
      <c r="H4388" t="s">
        <v>16</v>
      </c>
      <c r="I4388">
        <v>0</v>
      </c>
      <c r="J4388">
        <v>0</v>
      </c>
      <c r="K4388">
        <v>0</v>
      </c>
    </row>
    <row r="4389" spans="1:11" x14ac:dyDescent="0.25">
      <c r="A4389" t="s">
        <v>4429</v>
      </c>
      <c r="B4389" s="1">
        <v>45949.028356481482</v>
      </c>
      <c r="C4389" s="2" t="s">
        <v>18</v>
      </c>
      <c r="D4389" t="s">
        <v>23</v>
      </c>
      <c r="E4389">
        <v>3885</v>
      </c>
      <c r="F4389" t="s">
        <v>14</v>
      </c>
      <c r="G4389" t="s">
        <v>27</v>
      </c>
      <c r="H4389" t="s">
        <v>16</v>
      </c>
      <c r="I4389">
        <v>0</v>
      </c>
      <c r="J4389">
        <v>0</v>
      </c>
      <c r="K4389">
        <v>0</v>
      </c>
    </row>
    <row r="4390" spans="1:11" x14ac:dyDescent="0.25">
      <c r="A4390" t="s">
        <v>4430</v>
      </c>
      <c r="B4390" s="1">
        <v>46055.111608796295</v>
      </c>
      <c r="C4390" s="2" t="s">
        <v>41</v>
      </c>
      <c r="D4390" t="s">
        <v>45</v>
      </c>
      <c r="E4390">
        <v>100065</v>
      </c>
      <c r="F4390" t="s">
        <v>50</v>
      </c>
      <c r="G4390" t="s">
        <v>34</v>
      </c>
      <c r="H4390" t="s">
        <v>178</v>
      </c>
      <c r="I4390">
        <v>1000.65</v>
      </c>
      <c r="J4390">
        <v>0</v>
      </c>
      <c r="K4390">
        <v>1000.65</v>
      </c>
    </row>
    <row r="4391" spans="1:11" x14ac:dyDescent="0.25">
      <c r="A4391" t="s">
        <v>4431</v>
      </c>
      <c r="B4391" s="1">
        <v>45794.622245370374</v>
      </c>
      <c r="C4391" s="2" t="s">
        <v>32</v>
      </c>
      <c r="D4391" t="s">
        <v>45</v>
      </c>
      <c r="E4391">
        <v>62795</v>
      </c>
      <c r="F4391" t="s">
        <v>14</v>
      </c>
      <c r="G4391" t="s">
        <v>15</v>
      </c>
      <c r="H4391" t="s">
        <v>71</v>
      </c>
      <c r="I4391">
        <v>627.95000000000005</v>
      </c>
      <c r="J4391">
        <v>0</v>
      </c>
      <c r="K4391">
        <v>627.95000000000005</v>
      </c>
    </row>
    <row r="4392" spans="1:11" x14ac:dyDescent="0.25">
      <c r="A4392" t="s">
        <v>4432</v>
      </c>
      <c r="B4392" s="1">
        <v>45880.675023148149</v>
      </c>
      <c r="C4392" s="2" t="s">
        <v>18</v>
      </c>
      <c r="D4392" t="s">
        <v>45</v>
      </c>
      <c r="E4392">
        <v>51259</v>
      </c>
      <c r="F4392" t="s">
        <v>14</v>
      </c>
      <c r="G4392" t="s">
        <v>84</v>
      </c>
      <c r="H4392" t="s">
        <v>56</v>
      </c>
      <c r="I4392">
        <v>512.59</v>
      </c>
      <c r="J4392">
        <v>0</v>
      </c>
      <c r="K4392">
        <v>512.59</v>
      </c>
    </row>
    <row r="4393" spans="1:11" x14ac:dyDescent="0.25">
      <c r="A4393" t="s">
        <v>4433</v>
      </c>
      <c r="B4393" s="1">
        <v>45817.624479166669</v>
      </c>
      <c r="C4393" s="2" t="s">
        <v>22</v>
      </c>
      <c r="D4393" t="s">
        <v>23</v>
      </c>
      <c r="E4393">
        <v>906</v>
      </c>
      <c r="F4393" t="s">
        <v>14</v>
      </c>
      <c r="G4393" t="s">
        <v>24</v>
      </c>
      <c r="H4393" t="s">
        <v>16</v>
      </c>
      <c r="I4393">
        <v>0</v>
      </c>
      <c r="J4393">
        <v>0</v>
      </c>
      <c r="K4393">
        <v>0</v>
      </c>
    </row>
    <row r="4394" spans="1:11" x14ac:dyDescent="0.25">
      <c r="A4394" t="s">
        <v>4434</v>
      </c>
      <c r="B4394" s="1">
        <v>45790.692303240743</v>
      </c>
      <c r="C4394" s="2" t="s">
        <v>26</v>
      </c>
      <c r="D4394" t="s">
        <v>45</v>
      </c>
      <c r="E4394">
        <v>6453</v>
      </c>
      <c r="F4394" t="s">
        <v>50</v>
      </c>
      <c r="G4394" t="s">
        <v>51</v>
      </c>
      <c r="H4394" t="s">
        <v>178</v>
      </c>
      <c r="I4394">
        <v>64.53</v>
      </c>
      <c r="J4394">
        <v>0</v>
      </c>
      <c r="K4394">
        <v>64.53</v>
      </c>
    </row>
    <row r="4395" spans="1:11" x14ac:dyDescent="0.25">
      <c r="A4395" t="s">
        <v>4435</v>
      </c>
      <c r="B4395" s="1">
        <v>45878.373148148145</v>
      </c>
      <c r="C4395" s="2" t="s">
        <v>41</v>
      </c>
      <c r="D4395" t="s">
        <v>33</v>
      </c>
      <c r="E4395">
        <v>86581</v>
      </c>
      <c r="F4395" t="s">
        <v>14</v>
      </c>
      <c r="G4395" t="s">
        <v>15</v>
      </c>
      <c r="H4395" t="s">
        <v>16</v>
      </c>
      <c r="I4395">
        <v>0</v>
      </c>
      <c r="J4395">
        <v>0</v>
      </c>
      <c r="K4395">
        <v>0</v>
      </c>
    </row>
    <row r="4396" spans="1:11" x14ac:dyDescent="0.25">
      <c r="A4396" t="s">
        <v>4436</v>
      </c>
      <c r="B4396" s="1">
        <v>45839.499259259261</v>
      </c>
      <c r="C4396" s="2" t="s">
        <v>26</v>
      </c>
      <c r="D4396" t="s">
        <v>33</v>
      </c>
      <c r="E4396">
        <v>25159</v>
      </c>
      <c r="F4396" t="s">
        <v>50</v>
      </c>
      <c r="G4396" t="s">
        <v>58</v>
      </c>
      <c r="H4396" t="s">
        <v>16</v>
      </c>
      <c r="I4396">
        <v>0</v>
      </c>
      <c r="J4396">
        <v>0</v>
      </c>
      <c r="K4396">
        <v>0</v>
      </c>
    </row>
    <row r="4397" spans="1:11" x14ac:dyDescent="0.25">
      <c r="A4397" t="s">
        <v>4437</v>
      </c>
      <c r="B4397" s="1">
        <v>45912.598506944443</v>
      </c>
      <c r="C4397" s="2" t="s">
        <v>12</v>
      </c>
      <c r="D4397" t="s">
        <v>33</v>
      </c>
      <c r="E4397">
        <v>127860</v>
      </c>
      <c r="F4397" t="s">
        <v>14</v>
      </c>
      <c r="G4397" t="s">
        <v>34</v>
      </c>
      <c r="H4397" t="s">
        <v>16</v>
      </c>
      <c r="I4397">
        <v>0</v>
      </c>
      <c r="J4397">
        <v>0</v>
      </c>
      <c r="K4397">
        <v>0</v>
      </c>
    </row>
    <row r="4398" spans="1:11" x14ac:dyDescent="0.25">
      <c r="A4398" t="s">
        <v>4438</v>
      </c>
      <c r="B4398" s="1">
        <v>45880.712418981479</v>
      </c>
      <c r="C4398" s="2" t="s">
        <v>32</v>
      </c>
      <c r="D4398" t="s">
        <v>45</v>
      </c>
      <c r="E4398">
        <v>97343</v>
      </c>
      <c r="F4398" t="s">
        <v>14</v>
      </c>
      <c r="G4398" t="s">
        <v>30</v>
      </c>
      <c r="H4398" t="s">
        <v>59</v>
      </c>
      <c r="I4398">
        <v>973.43</v>
      </c>
      <c r="J4398">
        <v>0</v>
      </c>
      <c r="K4398">
        <v>973.43</v>
      </c>
    </row>
    <row r="4399" spans="1:11" x14ac:dyDescent="0.25">
      <c r="A4399" t="s">
        <v>4439</v>
      </c>
      <c r="B4399" s="1">
        <v>46038.503750000003</v>
      </c>
      <c r="C4399" s="2" t="s">
        <v>12</v>
      </c>
      <c r="D4399" t="s">
        <v>13</v>
      </c>
      <c r="E4399">
        <v>197500</v>
      </c>
      <c r="F4399" t="s">
        <v>14</v>
      </c>
      <c r="G4399" t="s">
        <v>20</v>
      </c>
      <c r="H4399" t="s">
        <v>16</v>
      </c>
      <c r="I4399">
        <v>3653.75</v>
      </c>
      <c r="J4399">
        <v>1461.5</v>
      </c>
      <c r="K4399">
        <v>2192.25</v>
      </c>
    </row>
    <row r="4400" spans="1:11" x14ac:dyDescent="0.25">
      <c r="A4400" t="s">
        <v>4440</v>
      </c>
      <c r="B4400" s="1">
        <v>45898.367291666669</v>
      </c>
      <c r="C4400" s="2" t="s">
        <v>29</v>
      </c>
      <c r="D4400" t="s">
        <v>19</v>
      </c>
      <c r="E4400">
        <v>136504</v>
      </c>
      <c r="F4400" t="s">
        <v>14</v>
      </c>
      <c r="G4400" t="s">
        <v>20</v>
      </c>
      <c r="H4400" t="s">
        <v>16</v>
      </c>
      <c r="I4400">
        <v>5</v>
      </c>
      <c r="J4400">
        <v>0</v>
      </c>
      <c r="K4400">
        <v>5</v>
      </c>
    </row>
    <row r="4401" spans="1:11" x14ac:dyDescent="0.25">
      <c r="A4401" t="s">
        <v>4441</v>
      </c>
      <c r="B4401" s="1">
        <v>45941.015763888892</v>
      </c>
      <c r="C4401" s="2" t="s">
        <v>39</v>
      </c>
      <c r="D4401" t="s">
        <v>19</v>
      </c>
      <c r="E4401">
        <v>119910</v>
      </c>
      <c r="F4401" t="s">
        <v>14</v>
      </c>
      <c r="G4401" t="s">
        <v>27</v>
      </c>
      <c r="H4401" t="s">
        <v>16</v>
      </c>
      <c r="I4401">
        <v>5</v>
      </c>
      <c r="J4401">
        <v>0</v>
      </c>
      <c r="K4401">
        <v>5</v>
      </c>
    </row>
    <row r="4402" spans="1:11" x14ac:dyDescent="0.25">
      <c r="A4402" t="s">
        <v>4442</v>
      </c>
      <c r="B4402" s="1">
        <v>46118.528402777774</v>
      </c>
      <c r="C4402" s="2" t="s">
        <v>22</v>
      </c>
      <c r="D4402" t="s">
        <v>33</v>
      </c>
      <c r="E4402">
        <v>130828</v>
      </c>
      <c r="F4402" t="s">
        <v>14</v>
      </c>
      <c r="G4402" t="s">
        <v>20</v>
      </c>
      <c r="H4402" t="s">
        <v>16</v>
      </c>
      <c r="I4402">
        <v>0</v>
      </c>
      <c r="J4402">
        <v>0</v>
      </c>
      <c r="K4402">
        <v>0</v>
      </c>
    </row>
    <row r="4403" spans="1:11" x14ac:dyDescent="0.25">
      <c r="A4403" t="s">
        <v>4443</v>
      </c>
      <c r="B4403" s="1">
        <v>45831.983148148145</v>
      </c>
      <c r="C4403" s="2" t="s">
        <v>22</v>
      </c>
      <c r="D4403" t="s">
        <v>33</v>
      </c>
      <c r="E4403">
        <v>134905</v>
      </c>
      <c r="F4403" t="s">
        <v>14</v>
      </c>
      <c r="G4403" t="s">
        <v>30</v>
      </c>
      <c r="H4403" t="s">
        <v>16</v>
      </c>
      <c r="I4403">
        <v>0</v>
      </c>
      <c r="J4403">
        <v>0</v>
      </c>
      <c r="K4403">
        <v>0</v>
      </c>
    </row>
    <row r="4404" spans="1:11" x14ac:dyDescent="0.25">
      <c r="A4404" t="s">
        <v>4444</v>
      </c>
      <c r="B4404" s="1">
        <v>46023.469004629631</v>
      </c>
      <c r="C4404" s="2" t="s">
        <v>39</v>
      </c>
      <c r="D4404" t="s">
        <v>23</v>
      </c>
      <c r="E4404">
        <v>822</v>
      </c>
      <c r="F4404" t="s">
        <v>14</v>
      </c>
      <c r="G4404" t="s">
        <v>24</v>
      </c>
      <c r="H4404" t="s">
        <v>16</v>
      </c>
      <c r="I4404">
        <v>0</v>
      </c>
      <c r="J4404">
        <v>0</v>
      </c>
      <c r="K4404">
        <v>0</v>
      </c>
    </row>
    <row r="4405" spans="1:11" x14ac:dyDescent="0.25">
      <c r="A4405" t="s">
        <v>4445</v>
      </c>
      <c r="B4405" s="1">
        <v>45962.740243055552</v>
      </c>
      <c r="C4405" s="2" t="s">
        <v>22</v>
      </c>
      <c r="D4405" t="s">
        <v>23</v>
      </c>
      <c r="E4405">
        <v>3982</v>
      </c>
      <c r="F4405" t="s">
        <v>14</v>
      </c>
      <c r="G4405" t="s">
        <v>51</v>
      </c>
      <c r="H4405" t="s">
        <v>16</v>
      </c>
      <c r="I4405">
        <v>0</v>
      </c>
      <c r="J4405">
        <v>0</v>
      </c>
      <c r="K4405">
        <v>0</v>
      </c>
    </row>
    <row r="4406" spans="1:11" x14ac:dyDescent="0.25">
      <c r="A4406" t="s">
        <v>4446</v>
      </c>
      <c r="B4406" s="1">
        <v>46051.546944444446</v>
      </c>
      <c r="C4406" s="2" t="s">
        <v>12</v>
      </c>
      <c r="D4406" t="s">
        <v>19</v>
      </c>
      <c r="E4406">
        <v>49945</v>
      </c>
      <c r="F4406" t="s">
        <v>14</v>
      </c>
      <c r="G4406" t="s">
        <v>34</v>
      </c>
      <c r="H4406" t="s">
        <v>16</v>
      </c>
      <c r="I4406">
        <v>5</v>
      </c>
      <c r="J4406">
        <v>0</v>
      </c>
      <c r="K4406">
        <v>5</v>
      </c>
    </row>
    <row r="4407" spans="1:11" x14ac:dyDescent="0.25">
      <c r="A4407" t="s">
        <v>4447</v>
      </c>
      <c r="B4407" s="1">
        <v>46054.462337962963</v>
      </c>
      <c r="C4407" s="2" t="s">
        <v>22</v>
      </c>
      <c r="D4407" t="s">
        <v>23</v>
      </c>
      <c r="E4407">
        <v>3029</v>
      </c>
      <c r="F4407" t="s">
        <v>14</v>
      </c>
      <c r="G4407" t="s">
        <v>34</v>
      </c>
      <c r="H4407" t="s">
        <v>16</v>
      </c>
      <c r="I4407">
        <v>0</v>
      </c>
      <c r="J4407">
        <v>0</v>
      </c>
      <c r="K4407">
        <v>0</v>
      </c>
    </row>
    <row r="4408" spans="1:11" x14ac:dyDescent="0.25">
      <c r="A4408" t="s">
        <v>4448</v>
      </c>
      <c r="B4408" s="1">
        <v>45871.962291666663</v>
      </c>
      <c r="C4408" s="2" t="s">
        <v>26</v>
      </c>
      <c r="D4408" t="s">
        <v>23</v>
      </c>
      <c r="E4408">
        <v>2307</v>
      </c>
      <c r="F4408" t="s">
        <v>14</v>
      </c>
      <c r="G4408" t="s">
        <v>27</v>
      </c>
      <c r="H4408" t="s">
        <v>16</v>
      </c>
      <c r="I4408">
        <v>0</v>
      </c>
      <c r="J4408">
        <v>0</v>
      </c>
      <c r="K4408">
        <v>0</v>
      </c>
    </row>
    <row r="4409" spans="1:11" x14ac:dyDescent="0.25">
      <c r="A4409" t="s">
        <v>4449</v>
      </c>
      <c r="B4409" s="1">
        <v>46115.022986111115</v>
      </c>
      <c r="C4409" s="2" t="s">
        <v>29</v>
      </c>
      <c r="D4409" t="s">
        <v>45</v>
      </c>
      <c r="E4409">
        <v>84401</v>
      </c>
      <c r="F4409" t="s">
        <v>14</v>
      </c>
      <c r="G4409" t="s">
        <v>27</v>
      </c>
      <c r="H4409" t="s">
        <v>46</v>
      </c>
      <c r="I4409">
        <v>844.01</v>
      </c>
      <c r="J4409">
        <v>0</v>
      </c>
      <c r="K4409">
        <v>844.01</v>
      </c>
    </row>
    <row r="4410" spans="1:11" x14ac:dyDescent="0.25">
      <c r="A4410" t="s">
        <v>4450</v>
      </c>
      <c r="B4410" s="1">
        <v>45999.898923611108</v>
      </c>
      <c r="C4410" s="2" t="s">
        <v>12</v>
      </c>
      <c r="D4410" t="s">
        <v>23</v>
      </c>
      <c r="E4410">
        <v>4918</v>
      </c>
      <c r="F4410" t="s">
        <v>14</v>
      </c>
      <c r="G4410" t="s">
        <v>34</v>
      </c>
      <c r="H4410" t="s">
        <v>16</v>
      </c>
      <c r="I4410">
        <v>0</v>
      </c>
      <c r="J4410">
        <v>0</v>
      </c>
      <c r="K4410">
        <v>0</v>
      </c>
    </row>
    <row r="4411" spans="1:11" x14ac:dyDescent="0.25">
      <c r="A4411" t="s">
        <v>4451</v>
      </c>
      <c r="B4411" s="1">
        <v>45943.945127314815</v>
      </c>
      <c r="C4411" s="2" t="s">
        <v>18</v>
      </c>
      <c r="D4411" t="s">
        <v>45</v>
      </c>
      <c r="E4411">
        <v>116651</v>
      </c>
      <c r="F4411" t="s">
        <v>14</v>
      </c>
      <c r="G4411" t="s">
        <v>34</v>
      </c>
      <c r="H4411" t="s">
        <v>56</v>
      </c>
      <c r="I4411">
        <v>1166.51</v>
      </c>
      <c r="J4411">
        <v>0</v>
      </c>
      <c r="K4411">
        <v>1166.51</v>
      </c>
    </row>
    <row r="4412" spans="1:11" x14ac:dyDescent="0.25">
      <c r="A4412" t="s">
        <v>4452</v>
      </c>
      <c r="B4412" s="1">
        <v>45890.691550925927</v>
      </c>
      <c r="C4412" s="2" t="s">
        <v>18</v>
      </c>
      <c r="D4412" t="s">
        <v>33</v>
      </c>
      <c r="E4412">
        <v>4205</v>
      </c>
      <c r="F4412" t="s">
        <v>14</v>
      </c>
      <c r="G4412" t="s">
        <v>24</v>
      </c>
      <c r="H4412" t="s">
        <v>16</v>
      </c>
      <c r="I4412">
        <v>0</v>
      </c>
      <c r="J4412">
        <v>0</v>
      </c>
      <c r="K4412">
        <v>0</v>
      </c>
    </row>
    <row r="4413" spans="1:11" x14ac:dyDescent="0.25">
      <c r="A4413" t="s">
        <v>4453</v>
      </c>
      <c r="B4413" s="1">
        <v>45892.151192129626</v>
      </c>
      <c r="C4413" s="2" t="s">
        <v>26</v>
      </c>
      <c r="D4413" t="s">
        <v>19</v>
      </c>
      <c r="E4413">
        <v>51059</v>
      </c>
      <c r="F4413" t="s">
        <v>14</v>
      </c>
      <c r="G4413" t="s">
        <v>20</v>
      </c>
      <c r="H4413" t="s">
        <v>16</v>
      </c>
      <c r="I4413">
        <v>5</v>
      </c>
      <c r="J4413">
        <v>0</v>
      </c>
      <c r="K4413">
        <v>5</v>
      </c>
    </row>
    <row r="4414" spans="1:11" x14ac:dyDescent="0.25">
      <c r="A4414" t="s">
        <v>4454</v>
      </c>
      <c r="B4414" s="1">
        <v>45820.776076388887</v>
      </c>
      <c r="C4414" s="2" t="s">
        <v>41</v>
      </c>
      <c r="D4414" t="s">
        <v>19</v>
      </c>
      <c r="E4414">
        <v>87981</v>
      </c>
      <c r="F4414" t="s">
        <v>14</v>
      </c>
      <c r="G4414" t="s">
        <v>51</v>
      </c>
      <c r="H4414" t="s">
        <v>16</v>
      </c>
      <c r="I4414">
        <v>5</v>
      </c>
      <c r="J4414">
        <v>0</v>
      </c>
      <c r="K4414">
        <v>5</v>
      </c>
    </row>
    <row r="4415" spans="1:11" x14ac:dyDescent="0.25">
      <c r="A4415" t="s">
        <v>4455</v>
      </c>
      <c r="B4415" s="1">
        <v>46123.950972222221</v>
      </c>
      <c r="C4415" s="2" t="s">
        <v>26</v>
      </c>
      <c r="D4415" t="s">
        <v>45</v>
      </c>
      <c r="E4415">
        <v>57746</v>
      </c>
      <c r="F4415" t="s">
        <v>14</v>
      </c>
      <c r="G4415" t="s">
        <v>20</v>
      </c>
      <c r="H4415" t="s">
        <v>71</v>
      </c>
      <c r="I4415">
        <v>577.46</v>
      </c>
      <c r="J4415">
        <v>0</v>
      </c>
      <c r="K4415">
        <v>577.46</v>
      </c>
    </row>
    <row r="4416" spans="1:11" x14ac:dyDescent="0.25">
      <c r="A4416" t="s">
        <v>4456</v>
      </c>
      <c r="B4416" s="1">
        <v>45843.793680555558</v>
      </c>
      <c r="C4416" s="2" t="s">
        <v>39</v>
      </c>
      <c r="D4416" t="s">
        <v>23</v>
      </c>
      <c r="E4416">
        <v>3525</v>
      </c>
      <c r="F4416" t="s">
        <v>14</v>
      </c>
      <c r="G4416" t="s">
        <v>84</v>
      </c>
      <c r="H4416" t="s">
        <v>16</v>
      </c>
      <c r="I4416">
        <v>0</v>
      </c>
      <c r="J4416">
        <v>0</v>
      </c>
      <c r="K4416">
        <v>0</v>
      </c>
    </row>
    <row r="4417" spans="1:11" x14ac:dyDescent="0.25">
      <c r="A4417" t="s">
        <v>4457</v>
      </c>
      <c r="B4417" s="1">
        <v>46129.372754629629</v>
      </c>
      <c r="C4417" s="2" t="s">
        <v>12</v>
      </c>
      <c r="D4417" t="s">
        <v>23</v>
      </c>
      <c r="E4417">
        <v>3273</v>
      </c>
      <c r="F4417" t="s">
        <v>14</v>
      </c>
      <c r="G4417" t="s">
        <v>27</v>
      </c>
      <c r="H4417" t="s">
        <v>16</v>
      </c>
      <c r="I4417">
        <v>0</v>
      </c>
      <c r="J4417">
        <v>0</v>
      </c>
      <c r="K4417">
        <v>0</v>
      </c>
    </row>
    <row r="4418" spans="1:11" x14ac:dyDescent="0.25">
      <c r="A4418" t="s">
        <v>4458</v>
      </c>
      <c r="B4418" s="1">
        <v>45949.020254629628</v>
      </c>
      <c r="C4418" s="2" t="s">
        <v>22</v>
      </c>
      <c r="D4418" t="s">
        <v>23</v>
      </c>
      <c r="E4418">
        <v>2725</v>
      </c>
      <c r="F4418" t="s">
        <v>14</v>
      </c>
      <c r="G4418" t="s">
        <v>34</v>
      </c>
      <c r="H4418" t="s">
        <v>16</v>
      </c>
      <c r="I4418">
        <v>0</v>
      </c>
      <c r="J4418">
        <v>0</v>
      </c>
      <c r="K4418">
        <v>0</v>
      </c>
    </row>
    <row r="4419" spans="1:11" x14ac:dyDescent="0.25">
      <c r="A4419" t="s">
        <v>4459</v>
      </c>
      <c r="B4419" s="1">
        <v>46021.15519675926</v>
      </c>
      <c r="C4419" s="2" t="s">
        <v>29</v>
      </c>
      <c r="D4419" t="s">
        <v>45</v>
      </c>
      <c r="E4419">
        <v>57917</v>
      </c>
      <c r="F4419" t="s">
        <v>14</v>
      </c>
      <c r="G4419" t="s">
        <v>51</v>
      </c>
      <c r="H4419" t="s">
        <v>178</v>
      </c>
      <c r="I4419">
        <v>579.16999999999996</v>
      </c>
      <c r="J4419">
        <v>0</v>
      </c>
      <c r="K4419">
        <v>579.16999999999996</v>
      </c>
    </row>
    <row r="4420" spans="1:11" x14ac:dyDescent="0.25">
      <c r="A4420" t="s">
        <v>4460</v>
      </c>
      <c r="B4420" s="1">
        <v>45921.705960648149</v>
      </c>
      <c r="C4420" s="2" t="s">
        <v>32</v>
      </c>
      <c r="D4420" t="s">
        <v>23</v>
      </c>
      <c r="E4420">
        <v>4853</v>
      </c>
      <c r="F4420" t="s">
        <v>14</v>
      </c>
      <c r="G4420" t="s">
        <v>51</v>
      </c>
      <c r="H4420" t="s">
        <v>16</v>
      </c>
      <c r="I4420">
        <v>0</v>
      </c>
      <c r="J4420">
        <v>0</v>
      </c>
      <c r="K4420">
        <v>0</v>
      </c>
    </row>
    <row r="4421" spans="1:11" x14ac:dyDescent="0.25">
      <c r="A4421" t="s">
        <v>4461</v>
      </c>
      <c r="B4421" s="1">
        <v>45799.159224537034</v>
      </c>
      <c r="C4421" s="2" t="s">
        <v>41</v>
      </c>
      <c r="D4421" t="s">
        <v>33</v>
      </c>
      <c r="E4421">
        <v>94616</v>
      </c>
      <c r="F4421" t="s">
        <v>14</v>
      </c>
      <c r="G4421" t="s">
        <v>30</v>
      </c>
      <c r="H4421" t="s">
        <v>16</v>
      </c>
      <c r="I4421">
        <v>0</v>
      </c>
      <c r="J4421">
        <v>0</v>
      </c>
      <c r="K4421">
        <v>0</v>
      </c>
    </row>
    <row r="4422" spans="1:11" x14ac:dyDescent="0.25">
      <c r="A4422" t="s">
        <v>4462</v>
      </c>
      <c r="B4422" s="1">
        <v>46102.435810185183</v>
      </c>
      <c r="C4422" s="2" t="s">
        <v>12</v>
      </c>
      <c r="D4422" t="s">
        <v>19</v>
      </c>
      <c r="E4422">
        <v>142516</v>
      </c>
      <c r="F4422" t="s">
        <v>14</v>
      </c>
      <c r="G4422" t="s">
        <v>24</v>
      </c>
      <c r="H4422" t="s">
        <v>16</v>
      </c>
      <c r="I4422">
        <v>5</v>
      </c>
      <c r="J4422">
        <v>0</v>
      </c>
      <c r="K4422">
        <v>5</v>
      </c>
    </row>
    <row r="4423" spans="1:11" x14ac:dyDescent="0.25">
      <c r="A4423" t="s">
        <v>4463</v>
      </c>
      <c r="B4423" s="1">
        <v>46075.006620370368</v>
      </c>
      <c r="C4423" s="2" t="s">
        <v>26</v>
      </c>
      <c r="D4423" t="s">
        <v>13</v>
      </c>
      <c r="E4423">
        <v>206000</v>
      </c>
      <c r="F4423" t="s">
        <v>14</v>
      </c>
      <c r="G4423" t="s">
        <v>51</v>
      </c>
      <c r="H4423" t="s">
        <v>16</v>
      </c>
      <c r="I4423">
        <v>3811</v>
      </c>
      <c r="J4423">
        <v>1524.4</v>
      </c>
      <c r="K4423">
        <v>2286.6</v>
      </c>
    </row>
    <row r="4424" spans="1:11" x14ac:dyDescent="0.25">
      <c r="A4424" t="s">
        <v>4464</v>
      </c>
      <c r="B4424" s="1">
        <v>45843.277002314811</v>
      </c>
      <c r="C4424" s="2" t="s">
        <v>32</v>
      </c>
      <c r="D4424" t="s">
        <v>13</v>
      </c>
      <c r="E4424">
        <v>187500</v>
      </c>
      <c r="F4424" t="s">
        <v>14</v>
      </c>
      <c r="G4424" t="s">
        <v>51</v>
      </c>
      <c r="H4424" t="s">
        <v>16</v>
      </c>
      <c r="I4424">
        <v>3468.75</v>
      </c>
      <c r="J4424">
        <v>1387.5</v>
      </c>
      <c r="K4424">
        <v>2081.25</v>
      </c>
    </row>
    <row r="4425" spans="1:11" x14ac:dyDescent="0.25">
      <c r="A4425" t="s">
        <v>4465</v>
      </c>
      <c r="B4425" s="1">
        <v>46140.501099537039</v>
      </c>
      <c r="C4425" s="2" t="s">
        <v>29</v>
      </c>
      <c r="D4425" t="s">
        <v>13</v>
      </c>
      <c r="E4425">
        <v>82000</v>
      </c>
      <c r="F4425" t="s">
        <v>14</v>
      </c>
      <c r="G4425" t="s">
        <v>20</v>
      </c>
      <c r="H4425" t="s">
        <v>16</v>
      </c>
      <c r="I4425">
        <v>1517</v>
      </c>
      <c r="J4425">
        <v>606.79999999999995</v>
      </c>
      <c r="K4425">
        <v>910.2</v>
      </c>
    </row>
    <row r="4426" spans="1:11" x14ac:dyDescent="0.25">
      <c r="A4426" t="s">
        <v>4466</v>
      </c>
      <c r="B4426" s="1">
        <v>46056.425370370373</v>
      </c>
      <c r="C4426" s="2" t="s">
        <v>26</v>
      </c>
      <c r="D4426" t="s">
        <v>19</v>
      </c>
      <c r="E4426">
        <v>91950</v>
      </c>
      <c r="F4426" t="s">
        <v>14</v>
      </c>
      <c r="G4426" t="s">
        <v>27</v>
      </c>
      <c r="H4426" t="s">
        <v>16</v>
      </c>
      <c r="I4426">
        <v>5</v>
      </c>
      <c r="J4426">
        <v>0</v>
      </c>
      <c r="K4426">
        <v>5</v>
      </c>
    </row>
    <row r="4427" spans="1:11" x14ac:dyDescent="0.25">
      <c r="A4427" t="s">
        <v>4467</v>
      </c>
      <c r="B4427" s="1">
        <v>46099.21234953704</v>
      </c>
      <c r="C4427" s="2" t="s">
        <v>18</v>
      </c>
      <c r="D4427" t="s">
        <v>19</v>
      </c>
      <c r="E4427">
        <v>114618</v>
      </c>
      <c r="F4427" t="s">
        <v>14</v>
      </c>
      <c r="G4427" t="s">
        <v>84</v>
      </c>
      <c r="H4427" t="s">
        <v>16</v>
      </c>
      <c r="I4427">
        <v>5</v>
      </c>
      <c r="J4427">
        <v>0</v>
      </c>
      <c r="K4427">
        <v>5</v>
      </c>
    </row>
    <row r="4428" spans="1:11" x14ac:dyDescent="0.25">
      <c r="A4428" t="s">
        <v>4468</v>
      </c>
      <c r="B4428" s="1">
        <v>46048.818865740737</v>
      </c>
      <c r="C4428" s="2" t="s">
        <v>12</v>
      </c>
      <c r="D4428" t="s">
        <v>13</v>
      </c>
      <c r="E4428">
        <v>92500</v>
      </c>
      <c r="F4428" t="s">
        <v>14</v>
      </c>
      <c r="G4428" t="s">
        <v>34</v>
      </c>
      <c r="H4428" t="s">
        <v>16</v>
      </c>
      <c r="I4428">
        <v>1711.25</v>
      </c>
      <c r="J4428">
        <v>684.5</v>
      </c>
      <c r="K4428">
        <v>1026.75</v>
      </c>
    </row>
    <row r="4429" spans="1:11" x14ac:dyDescent="0.25">
      <c r="A4429" t="s">
        <v>4469</v>
      </c>
      <c r="B4429" s="1">
        <v>46007.21303240741</v>
      </c>
      <c r="C4429" s="2" t="s">
        <v>39</v>
      </c>
      <c r="D4429" t="s">
        <v>13</v>
      </c>
      <c r="E4429">
        <v>167000</v>
      </c>
      <c r="F4429" t="s">
        <v>99</v>
      </c>
      <c r="G4429" t="s">
        <v>27</v>
      </c>
      <c r="H4429" t="s">
        <v>16</v>
      </c>
      <c r="I4429">
        <v>3089.5</v>
      </c>
      <c r="J4429">
        <v>1235.8</v>
      </c>
      <c r="K4429">
        <v>1853.7</v>
      </c>
    </row>
    <row r="4430" spans="1:11" x14ac:dyDescent="0.25">
      <c r="A4430" t="s">
        <v>4470</v>
      </c>
      <c r="B4430" s="1">
        <v>45867.113738425927</v>
      </c>
      <c r="C4430" s="2" t="s">
        <v>29</v>
      </c>
      <c r="D4430" t="s">
        <v>13</v>
      </c>
      <c r="E4430">
        <v>50000</v>
      </c>
      <c r="F4430" t="s">
        <v>14</v>
      </c>
      <c r="G4430" t="s">
        <v>34</v>
      </c>
      <c r="H4430" t="s">
        <v>16</v>
      </c>
      <c r="I4430">
        <v>925</v>
      </c>
      <c r="J4430">
        <v>370</v>
      </c>
      <c r="K4430">
        <v>555</v>
      </c>
    </row>
    <row r="4431" spans="1:11" x14ac:dyDescent="0.25">
      <c r="A4431" t="s">
        <v>4471</v>
      </c>
      <c r="B4431" s="1">
        <v>45982.680706018517</v>
      </c>
      <c r="C4431" s="2" t="s">
        <v>29</v>
      </c>
      <c r="D4431" t="s">
        <v>13</v>
      </c>
      <c r="E4431">
        <v>234500</v>
      </c>
      <c r="F4431" t="s">
        <v>50</v>
      </c>
      <c r="G4431" t="s">
        <v>24</v>
      </c>
      <c r="H4431" t="s">
        <v>16</v>
      </c>
      <c r="I4431">
        <v>4338.25</v>
      </c>
      <c r="J4431">
        <v>1735.3</v>
      </c>
      <c r="K4431">
        <v>2602.9499999999998</v>
      </c>
    </row>
    <row r="4432" spans="1:11" x14ac:dyDescent="0.25">
      <c r="A4432" t="s">
        <v>4472</v>
      </c>
      <c r="B4432" s="1">
        <v>45901.221574074072</v>
      </c>
      <c r="C4432" s="2" t="s">
        <v>39</v>
      </c>
      <c r="D4432" t="s">
        <v>19</v>
      </c>
      <c r="E4432">
        <v>74199</v>
      </c>
      <c r="F4432" t="s">
        <v>14</v>
      </c>
      <c r="G4432" t="s">
        <v>30</v>
      </c>
      <c r="H4432" t="s">
        <v>16</v>
      </c>
      <c r="I4432">
        <v>5</v>
      </c>
      <c r="J4432">
        <v>0</v>
      </c>
      <c r="K4432">
        <v>5</v>
      </c>
    </row>
    <row r="4433" spans="1:11" x14ac:dyDescent="0.25">
      <c r="A4433" t="s">
        <v>4473</v>
      </c>
      <c r="B4433" s="1">
        <v>45955.064918981479</v>
      </c>
      <c r="C4433" s="2" t="s">
        <v>18</v>
      </c>
      <c r="D4433" t="s">
        <v>13</v>
      </c>
      <c r="E4433">
        <v>241500</v>
      </c>
      <c r="F4433" t="s">
        <v>50</v>
      </c>
      <c r="G4433" t="s">
        <v>15</v>
      </c>
      <c r="H4433" t="s">
        <v>16</v>
      </c>
      <c r="I4433">
        <v>4467.75</v>
      </c>
      <c r="J4433">
        <v>1787.1</v>
      </c>
      <c r="K4433">
        <v>2680.65</v>
      </c>
    </row>
    <row r="4434" spans="1:11" x14ac:dyDescent="0.25">
      <c r="A4434" t="s">
        <v>4474</v>
      </c>
      <c r="B4434" s="1">
        <v>45913.798726851855</v>
      </c>
      <c r="C4434" s="2" t="s">
        <v>39</v>
      </c>
      <c r="D4434" t="s">
        <v>13</v>
      </c>
      <c r="E4434">
        <v>230000</v>
      </c>
      <c r="F4434" t="s">
        <v>14</v>
      </c>
      <c r="G4434" t="s">
        <v>84</v>
      </c>
      <c r="H4434" t="s">
        <v>16</v>
      </c>
      <c r="I4434">
        <v>4255</v>
      </c>
      <c r="J4434">
        <v>1702</v>
      </c>
      <c r="K4434">
        <v>2553</v>
      </c>
    </row>
    <row r="4435" spans="1:11" x14ac:dyDescent="0.25">
      <c r="A4435" t="s">
        <v>4475</v>
      </c>
      <c r="B4435" s="1">
        <v>45936.327013888891</v>
      </c>
      <c r="C4435" s="2" t="s">
        <v>41</v>
      </c>
      <c r="D4435" t="s">
        <v>33</v>
      </c>
      <c r="E4435">
        <v>52139</v>
      </c>
      <c r="F4435" t="s">
        <v>14</v>
      </c>
      <c r="G4435" t="s">
        <v>15</v>
      </c>
      <c r="H4435" t="s">
        <v>16</v>
      </c>
      <c r="I4435">
        <v>0</v>
      </c>
      <c r="J4435">
        <v>0</v>
      </c>
      <c r="K4435">
        <v>0</v>
      </c>
    </row>
    <row r="4436" spans="1:11" x14ac:dyDescent="0.25">
      <c r="A4436" t="s">
        <v>4476</v>
      </c>
      <c r="B4436" s="1">
        <v>45801.796851851854</v>
      </c>
      <c r="C4436" s="2" t="s">
        <v>18</v>
      </c>
      <c r="D4436" t="s">
        <v>19</v>
      </c>
      <c r="E4436">
        <v>116318</v>
      </c>
      <c r="F4436" t="s">
        <v>14</v>
      </c>
      <c r="G4436" t="s">
        <v>30</v>
      </c>
      <c r="H4436" t="s">
        <v>16</v>
      </c>
      <c r="I4436">
        <v>5</v>
      </c>
      <c r="J4436">
        <v>0</v>
      </c>
      <c r="K4436">
        <v>5</v>
      </c>
    </row>
    <row r="4437" spans="1:11" x14ac:dyDescent="0.25">
      <c r="A4437" t="s">
        <v>4477</v>
      </c>
      <c r="B4437" s="1">
        <v>46111.033564814818</v>
      </c>
      <c r="C4437" s="2" t="s">
        <v>39</v>
      </c>
      <c r="D4437" t="s">
        <v>13</v>
      </c>
      <c r="E4437">
        <v>172500</v>
      </c>
      <c r="F4437" t="s">
        <v>14</v>
      </c>
      <c r="G4437" t="s">
        <v>58</v>
      </c>
      <c r="H4437" t="s">
        <v>16</v>
      </c>
      <c r="I4437">
        <v>3191.25</v>
      </c>
      <c r="J4437">
        <v>1276.5</v>
      </c>
      <c r="K4437">
        <v>1914.75</v>
      </c>
    </row>
    <row r="4438" spans="1:11" x14ac:dyDescent="0.25">
      <c r="A4438" t="s">
        <v>4478</v>
      </c>
      <c r="B4438" s="1">
        <v>45970.646099537036</v>
      </c>
      <c r="C4438" s="2" t="s">
        <v>41</v>
      </c>
      <c r="D4438" t="s">
        <v>13</v>
      </c>
      <c r="E4438">
        <v>65500</v>
      </c>
      <c r="F4438" t="s">
        <v>50</v>
      </c>
      <c r="G4438" t="s">
        <v>24</v>
      </c>
      <c r="H4438" t="s">
        <v>16</v>
      </c>
      <c r="I4438">
        <v>1211.75</v>
      </c>
      <c r="J4438">
        <v>484.7</v>
      </c>
      <c r="K4438">
        <v>727.05</v>
      </c>
    </row>
    <row r="4439" spans="1:11" x14ac:dyDescent="0.25">
      <c r="A4439" t="s">
        <v>4479</v>
      </c>
      <c r="B4439" s="1">
        <v>46092.044398148151</v>
      </c>
      <c r="C4439" s="2" t="s">
        <v>12</v>
      </c>
      <c r="D4439" t="s">
        <v>23</v>
      </c>
      <c r="E4439">
        <v>2169</v>
      </c>
      <c r="F4439" t="s">
        <v>50</v>
      </c>
      <c r="G4439" t="s">
        <v>30</v>
      </c>
      <c r="H4439" t="s">
        <v>16</v>
      </c>
      <c r="I4439">
        <v>0</v>
      </c>
      <c r="J4439">
        <v>0</v>
      </c>
      <c r="K4439">
        <v>0</v>
      </c>
    </row>
    <row r="4440" spans="1:11" x14ac:dyDescent="0.25">
      <c r="A4440" t="s">
        <v>4480</v>
      </c>
      <c r="B4440" s="1">
        <v>45926.844039351854</v>
      </c>
      <c r="C4440" s="2" t="s">
        <v>39</v>
      </c>
      <c r="D4440" t="s">
        <v>23</v>
      </c>
      <c r="E4440">
        <v>588</v>
      </c>
      <c r="F4440" t="s">
        <v>14</v>
      </c>
      <c r="G4440" t="s">
        <v>34</v>
      </c>
      <c r="H4440" t="s">
        <v>16</v>
      </c>
      <c r="I4440">
        <v>0</v>
      </c>
      <c r="J4440">
        <v>0</v>
      </c>
      <c r="K4440">
        <v>0</v>
      </c>
    </row>
    <row r="4441" spans="1:11" x14ac:dyDescent="0.25">
      <c r="A4441" t="s">
        <v>4481</v>
      </c>
      <c r="B4441" s="1">
        <v>45874.72216435185</v>
      </c>
      <c r="C4441" s="2" t="s">
        <v>32</v>
      </c>
      <c r="D4441" t="s">
        <v>45</v>
      </c>
      <c r="E4441">
        <v>121523</v>
      </c>
      <c r="F4441" t="s">
        <v>14</v>
      </c>
      <c r="G4441" t="s">
        <v>84</v>
      </c>
      <c r="H4441" t="s">
        <v>59</v>
      </c>
      <c r="I4441">
        <v>1215.23</v>
      </c>
      <c r="J4441">
        <v>0</v>
      </c>
      <c r="K4441">
        <v>1215.23</v>
      </c>
    </row>
    <row r="4442" spans="1:11" x14ac:dyDescent="0.25">
      <c r="A4442" t="s">
        <v>4482</v>
      </c>
      <c r="B4442" s="1">
        <v>46085.64162037037</v>
      </c>
      <c r="C4442" s="2" t="s">
        <v>41</v>
      </c>
      <c r="D4442" t="s">
        <v>13</v>
      </c>
      <c r="E4442">
        <v>172000</v>
      </c>
      <c r="F4442" t="s">
        <v>14</v>
      </c>
      <c r="G4442" t="s">
        <v>20</v>
      </c>
      <c r="H4442" t="s">
        <v>16</v>
      </c>
      <c r="I4442">
        <v>3182</v>
      </c>
      <c r="J4442">
        <v>1272.8</v>
      </c>
      <c r="K4442">
        <v>1909.2</v>
      </c>
    </row>
    <row r="4443" spans="1:11" x14ac:dyDescent="0.25">
      <c r="A4443" t="s">
        <v>4483</v>
      </c>
      <c r="B4443" s="1">
        <v>46074.207662037035</v>
      </c>
      <c r="C4443" s="2" t="s">
        <v>12</v>
      </c>
      <c r="D4443" t="s">
        <v>33</v>
      </c>
      <c r="E4443">
        <v>128943</v>
      </c>
      <c r="F4443" t="s">
        <v>50</v>
      </c>
      <c r="G4443" t="s">
        <v>30</v>
      </c>
      <c r="H4443" t="s">
        <v>16</v>
      </c>
      <c r="I4443">
        <v>0</v>
      </c>
      <c r="J4443">
        <v>0</v>
      </c>
      <c r="K4443">
        <v>0</v>
      </c>
    </row>
    <row r="4444" spans="1:11" x14ac:dyDescent="0.25">
      <c r="A4444" t="s">
        <v>4484</v>
      </c>
      <c r="B4444" s="1">
        <v>45833.54954861111</v>
      </c>
      <c r="C4444" s="2" t="s">
        <v>26</v>
      </c>
      <c r="D4444" t="s">
        <v>13</v>
      </c>
      <c r="E4444">
        <v>180000</v>
      </c>
      <c r="F4444" t="s">
        <v>99</v>
      </c>
      <c r="G4444" t="s">
        <v>15</v>
      </c>
      <c r="H4444" t="s">
        <v>16</v>
      </c>
      <c r="I4444">
        <v>3330</v>
      </c>
      <c r="J4444">
        <v>1332</v>
      </c>
      <c r="K4444">
        <v>1998</v>
      </c>
    </row>
    <row r="4445" spans="1:11" x14ac:dyDescent="0.25">
      <c r="A4445" t="s">
        <v>4485</v>
      </c>
      <c r="B4445" s="1">
        <v>46096.463958333334</v>
      </c>
      <c r="C4445" s="2" t="s">
        <v>12</v>
      </c>
      <c r="D4445" t="s">
        <v>23</v>
      </c>
      <c r="E4445">
        <v>1842</v>
      </c>
      <c r="F4445" t="s">
        <v>50</v>
      </c>
      <c r="G4445" t="s">
        <v>24</v>
      </c>
      <c r="H4445" t="s">
        <v>16</v>
      </c>
      <c r="I4445">
        <v>0</v>
      </c>
      <c r="J4445">
        <v>0</v>
      </c>
      <c r="K4445">
        <v>0</v>
      </c>
    </row>
    <row r="4446" spans="1:11" x14ac:dyDescent="0.25">
      <c r="A4446" t="s">
        <v>4486</v>
      </c>
      <c r="B4446" s="1">
        <v>45971.83489583333</v>
      </c>
      <c r="C4446" s="2" t="s">
        <v>39</v>
      </c>
      <c r="D4446" t="s">
        <v>13</v>
      </c>
      <c r="E4446">
        <v>196500</v>
      </c>
      <c r="F4446" t="s">
        <v>14</v>
      </c>
      <c r="G4446" t="s">
        <v>51</v>
      </c>
      <c r="H4446" t="s">
        <v>16</v>
      </c>
      <c r="I4446">
        <v>3635.25</v>
      </c>
      <c r="J4446">
        <v>1454.1</v>
      </c>
      <c r="K4446">
        <v>2181.15</v>
      </c>
    </row>
    <row r="4447" spans="1:11" x14ac:dyDescent="0.25">
      <c r="A4447" t="s">
        <v>4487</v>
      </c>
      <c r="B4447" s="1">
        <v>46028.265532407408</v>
      </c>
      <c r="C4447" s="2" t="s">
        <v>29</v>
      </c>
      <c r="D4447" t="s">
        <v>33</v>
      </c>
      <c r="E4447">
        <v>149326</v>
      </c>
      <c r="F4447" t="s">
        <v>14</v>
      </c>
      <c r="G4447" t="s">
        <v>34</v>
      </c>
      <c r="H4447" t="s">
        <v>16</v>
      </c>
      <c r="I4447">
        <v>0</v>
      </c>
      <c r="J4447">
        <v>0</v>
      </c>
      <c r="K4447">
        <v>0</v>
      </c>
    </row>
    <row r="4448" spans="1:11" x14ac:dyDescent="0.25">
      <c r="A4448" t="s">
        <v>4488</v>
      </c>
      <c r="B4448" s="1">
        <v>46125.421064814815</v>
      </c>
      <c r="C4448" s="2" t="s">
        <v>18</v>
      </c>
      <c r="D4448" t="s">
        <v>13</v>
      </c>
      <c r="E4448">
        <v>106000</v>
      </c>
      <c r="F4448" t="s">
        <v>99</v>
      </c>
      <c r="G4448" t="s">
        <v>15</v>
      </c>
      <c r="H4448" t="s">
        <v>16</v>
      </c>
      <c r="I4448">
        <v>1961</v>
      </c>
      <c r="J4448">
        <v>784.4</v>
      </c>
      <c r="K4448">
        <v>1176.5999999999999</v>
      </c>
    </row>
    <row r="4449" spans="1:11" x14ac:dyDescent="0.25">
      <c r="A4449" t="s">
        <v>4489</v>
      </c>
      <c r="B4449" s="1">
        <v>45787.991655092592</v>
      </c>
      <c r="C4449" s="2" t="s">
        <v>41</v>
      </c>
      <c r="D4449" t="s">
        <v>45</v>
      </c>
      <c r="E4449">
        <v>109437</v>
      </c>
      <c r="F4449" t="s">
        <v>14</v>
      </c>
      <c r="G4449" t="s">
        <v>24</v>
      </c>
      <c r="H4449" t="s">
        <v>178</v>
      </c>
      <c r="I4449">
        <v>1094.3699999999999</v>
      </c>
      <c r="J4449">
        <v>0</v>
      </c>
      <c r="K4449">
        <v>1094.3699999999999</v>
      </c>
    </row>
    <row r="4450" spans="1:11" x14ac:dyDescent="0.25">
      <c r="A4450" t="s">
        <v>4490</v>
      </c>
      <c r="B4450" s="1">
        <v>45907.566550925927</v>
      </c>
      <c r="C4450" s="2" t="s">
        <v>18</v>
      </c>
      <c r="D4450" t="s">
        <v>13</v>
      </c>
      <c r="E4450">
        <v>166500</v>
      </c>
      <c r="F4450" t="s">
        <v>14</v>
      </c>
      <c r="G4450" t="s">
        <v>30</v>
      </c>
      <c r="H4450" t="s">
        <v>16</v>
      </c>
      <c r="I4450">
        <v>3080.25</v>
      </c>
      <c r="J4450">
        <v>1232.0999999999999</v>
      </c>
      <c r="K4450">
        <v>1848.15</v>
      </c>
    </row>
    <row r="4451" spans="1:11" x14ac:dyDescent="0.25">
      <c r="A4451" t="s">
        <v>4491</v>
      </c>
      <c r="B4451" s="1">
        <v>45798.439976851849</v>
      </c>
      <c r="C4451" s="2" t="s">
        <v>22</v>
      </c>
      <c r="D4451" t="s">
        <v>33</v>
      </c>
      <c r="E4451">
        <v>62603</v>
      </c>
      <c r="F4451" t="s">
        <v>50</v>
      </c>
      <c r="G4451" t="s">
        <v>20</v>
      </c>
      <c r="H4451" t="s">
        <v>16</v>
      </c>
      <c r="I4451">
        <v>0</v>
      </c>
      <c r="J4451">
        <v>0</v>
      </c>
      <c r="K4451">
        <v>0</v>
      </c>
    </row>
    <row r="4452" spans="1:11" x14ac:dyDescent="0.25">
      <c r="A4452" t="s">
        <v>4492</v>
      </c>
      <c r="B4452" s="1">
        <v>46093.749328703707</v>
      </c>
      <c r="C4452" s="2" t="s">
        <v>41</v>
      </c>
      <c r="D4452" t="s">
        <v>23</v>
      </c>
      <c r="E4452">
        <v>2995</v>
      </c>
      <c r="F4452" t="s">
        <v>14</v>
      </c>
      <c r="G4452" t="s">
        <v>15</v>
      </c>
      <c r="H4452" t="s">
        <v>16</v>
      </c>
      <c r="I4452">
        <v>0</v>
      </c>
      <c r="J4452">
        <v>0</v>
      </c>
      <c r="K4452">
        <v>0</v>
      </c>
    </row>
    <row r="4453" spans="1:11" x14ac:dyDescent="0.25">
      <c r="A4453" t="s">
        <v>4493</v>
      </c>
      <c r="B4453" s="1">
        <v>45927.247731481482</v>
      </c>
      <c r="C4453" s="2" t="s">
        <v>12</v>
      </c>
      <c r="D4453" t="s">
        <v>33</v>
      </c>
      <c r="E4453">
        <v>138610</v>
      </c>
      <c r="F4453" t="s">
        <v>14</v>
      </c>
      <c r="G4453" t="s">
        <v>51</v>
      </c>
      <c r="H4453" t="s">
        <v>16</v>
      </c>
      <c r="I4453">
        <v>0</v>
      </c>
      <c r="J4453">
        <v>0</v>
      </c>
      <c r="K4453">
        <v>0</v>
      </c>
    </row>
    <row r="4454" spans="1:11" x14ac:dyDescent="0.25">
      <c r="A4454" t="s">
        <v>4494</v>
      </c>
      <c r="B4454" s="1">
        <v>46002.169791666667</v>
      </c>
      <c r="C4454" s="2" t="s">
        <v>32</v>
      </c>
      <c r="D4454" t="s">
        <v>13</v>
      </c>
      <c r="E4454">
        <v>52000</v>
      </c>
      <c r="F4454" t="s">
        <v>14</v>
      </c>
      <c r="G4454" t="s">
        <v>27</v>
      </c>
      <c r="H4454" t="s">
        <v>16</v>
      </c>
      <c r="I4454">
        <v>962</v>
      </c>
      <c r="J4454">
        <v>384.8</v>
      </c>
      <c r="K4454">
        <v>577.20000000000005</v>
      </c>
    </row>
    <row r="4455" spans="1:11" x14ac:dyDescent="0.25">
      <c r="A4455" t="s">
        <v>4495</v>
      </c>
      <c r="B4455" s="1">
        <v>46134.985208333332</v>
      </c>
      <c r="C4455" s="2" t="s">
        <v>18</v>
      </c>
      <c r="D4455" t="s">
        <v>19</v>
      </c>
      <c r="E4455">
        <v>23239</v>
      </c>
      <c r="F4455" t="s">
        <v>14</v>
      </c>
      <c r="G4455" t="s">
        <v>27</v>
      </c>
      <c r="H4455" t="s">
        <v>16</v>
      </c>
      <c r="I4455">
        <v>5</v>
      </c>
      <c r="J4455">
        <v>0</v>
      </c>
      <c r="K4455">
        <v>5</v>
      </c>
    </row>
    <row r="4456" spans="1:11" x14ac:dyDescent="0.25">
      <c r="A4456" t="s">
        <v>4496</v>
      </c>
      <c r="B4456" s="1">
        <v>45850.031261574077</v>
      </c>
      <c r="C4456" s="2" t="s">
        <v>32</v>
      </c>
      <c r="D4456" t="s">
        <v>33</v>
      </c>
      <c r="E4456">
        <v>110374</v>
      </c>
      <c r="F4456" t="s">
        <v>14</v>
      </c>
      <c r="G4456" t="s">
        <v>15</v>
      </c>
      <c r="H4456" t="s">
        <v>16</v>
      </c>
      <c r="I4456">
        <v>0</v>
      </c>
      <c r="J4456">
        <v>0</v>
      </c>
      <c r="K4456">
        <v>0</v>
      </c>
    </row>
    <row r="4457" spans="1:11" x14ac:dyDescent="0.25">
      <c r="A4457" t="s">
        <v>4497</v>
      </c>
      <c r="B4457" s="1">
        <v>46073.571886574071</v>
      </c>
      <c r="C4457" s="2" t="s">
        <v>29</v>
      </c>
      <c r="D4457" t="s">
        <v>23</v>
      </c>
      <c r="E4457">
        <v>3396</v>
      </c>
      <c r="F4457" t="s">
        <v>14</v>
      </c>
      <c r="G4457" t="s">
        <v>58</v>
      </c>
      <c r="H4457" t="s">
        <v>16</v>
      </c>
      <c r="I4457">
        <v>0</v>
      </c>
      <c r="J4457">
        <v>0</v>
      </c>
      <c r="K4457">
        <v>0</v>
      </c>
    </row>
    <row r="4458" spans="1:11" x14ac:dyDescent="0.25">
      <c r="A4458" t="s">
        <v>4498</v>
      </c>
      <c r="B4458" s="1">
        <v>46093.129918981482</v>
      </c>
      <c r="C4458" s="2" t="s">
        <v>32</v>
      </c>
      <c r="D4458" t="s">
        <v>23</v>
      </c>
      <c r="E4458">
        <v>4370</v>
      </c>
      <c r="F4458" t="s">
        <v>14</v>
      </c>
      <c r="G4458" t="s">
        <v>34</v>
      </c>
      <c r="H4458" t="s">
        <v>16</v>
      </c>
      <c r="I4458">
        <v>0</v>
      </c>
      <c r="J4458">
        <v>0</v>
      </c>
      <c r="K4458">
        <v>0</v>
      </c>
    </row>
    <row r="4459" spans="1:11" x14ac:dyDescent="0.25">
      <c r="A4459" t="s">
        <v>4499</v>
      </c>
      <c r="B4459" s="1">
        <v>46056.990648148145</v>
      </c>
      <c r="C4459" s="2" t="s">
        <v>22</v>
      </c>
      <c r="D4459" t="s">
        <v>19</v>
      </c>
      <c r="E4459">
        <v>72091</v>
      </c>
      <c r="F4459" t="s">
        <v>14</v>
      </c>
      <c r="G4459" t="s">
        <v>30</v>
      </c>
      <c r="H4459" t="s">
        <v>16</v>
      </c>
      <c r="I4459">
        <v>5</v>
      </c>
      <c r="J4459">
        <v>0</v>
      </c>
      <c r="K4459">
        <v>5</v>
      </c>
    </row>
    <row r="4460" spans="1:11" x14ac:dyDescent="0.25">
      <c r="A4460" t="s">
        <v>4500</v>
      </c>
      <c r="B4460" s="1">
        <v>46069.78707175926</v>
      </c>
      <c r="C4460" s="2" t="s">
        <v>39</v>
      </c>
      <c r="D4460" t="s">
        <v>13</v>
      </c>
      <c r="E4460">
        <v>183500</v>
      </c>
      <c r="F4460" t="s">
        <v>14</v>
      </c>
      <c r="G4460" t="s">
        <v>30</v>
      </c>
      <c r="H4460" t="s">
        <v>16</v>
      </c>
      <c r="I4460">
        <v>3394.75</v>
      </c>
      <c r="J4460">
        <v>1357.9</v>
      </c>
      <c r="K4460">
        <v>2036.85</v>
      </c>
    </row>
    <row r="4461" spans="1:11" x14ac:dyDescent="0.25">
      <c r="A4461" t="s">
        <v>4501</v>
      </c>
      <c r="B4461" s="1">
        <v>45826.554571759261</v>
      </c>
      <c r="C4461" s="2" t="s">
        <v>18</v>
      </c>
      <c r="D4461" t="s">
        <v>45</v>
      </c>
      <c r="E4461">
        <v>110770</v>
      </c>
      <c r="F4461" t="s">
        <v>14</v>
      </c>
      <c r="G4461" t="s">
        <v>15</v>
      </c>
      <c r="H4461" t="s">
        <v>56</v>
      </c>
      <c r="I4461">
        <v>1107.7</v>
      </c>
      <c r="J4461">
        <v>0</v>
      </c>
      <c r="K4461">
        <v>1107.7</v>
      </c>
    </row>
    <row r="4462" spans="1:11" x14ac:dyDescent="0.25">
      <c r="A4462" t="s">
        <v>4502</v>
      </c>
      <c r="B4462" s="1">
        <v>45926.284108796295</v>
      </c>
      <c r="C4462" s="2" t="s">
        <v>12</v>
      </c>
      <c r="D4462" t="s">
        <v>19</v>
      </c>
      <c r="E4462">
        <v>124680</v>
      </c>
      <c r="F4462" t="s">
        <v>14</v>
      </c>
      <c r="G4462" t="s">
        <v>58</v>
      </c>
      <c r="H4462" t="s">
        <v>16</v>
      </c>
      <c r="I4462">
        <v>5</v>
      </c>
      <c r="J4462">
        <v>0</v>
      </c>
      <c r="K4462">
        <v>5</v>
      </c>
    </row>
    <row r="4463" spans="1:11" x14ac:dyDescent="0.25">
      <c r="A4463" t="s">
        <v>4503</v>
      </c>
      <c r="B4463" s="1">
        <v>46096.868946759256</v>
      </c>
      <c r="C4463" s="2" t="s">
        <v>29</v>
      </c>
      <c r="D4463" t="s">
        <v>19</v>
      </c>
      <c r="E4463">
        <v>12547</v>
      </c>
      <c r="F4463" t="s">
        <v>50</v>
      </c>
      <c r="G4463" t="s">
        <v>58</v>
      </c>
      <c r="H4463" t="s">
        <v>16</v>
      </c>
      <c r="I4463">
        <v>5</v>
      </c>
      <c r="J4463">
        <v>0</v>
      </c>
      <c r="K4463">
        <v>5</v>
      </c>
    </row>
    <row r="4464" spans="1:11" x14ac:dyDescent="0.25">
      <c r="A4464" t="s">
        <v>4504</v>
      </c>
      <c r="B4464" s="1">
        <v>45933.333321759259</v>
      </c>
      <c r="C4464" s="2" t="s">
        <v>32</v>
      </c>
      <c r="D4464" t="s">
        <v>13</v>
      </c>
      <c r="E4464">
        <v>247000</v>
      </c>
      <c r="F4464" t="s">
        <v>50</v>
      </c>
      <c r="G4464" t="s">
        <v>34</v>
      </c>
      <c r="H4464" t="s">
        <v>16</v>
      </c>
      <c r="I4464">
        <v>4569.5</v>
      </c>
      <c r="J4464">
        <v>1827.8</v>
      </c>
      <c r="K4464">
        <v>2741.7</v>
      </c>
    </row>
    <row r="4465" spans="1:11" x14ac:dyDescent="0.25">
      <c r="A4465" t="s">
        <v>4505</v>
      </c>
      <c r="B4465" s="1">
        <v>46109.887604166666</v>
      </c>
      <c r="C4465" s="2" t="s">
        <v>12</v>
      </c>
      <c r="D4465" t="s">
        <v>23</v>
      </c>
      <c r="E4465">
        <v>33</v>
      </c>
      <c r="F4465" t="s">
        <v>14</v>
      </c>
      <c r="G4465" t="s">
        <v>27</v>
      </c>
      <c r="H4465" t="s">
        <v>16</v>
      </c>
      <c r="I4465">
        <v>0</v>
      </c>
      <c r="J4465">
        <v>0</v>
      </c>
      <c r="K4465">
        <v>0</v>
      </c>
    </row>
    <row r="4466" spans="1:11" x14ac:dyDescent="0.25">
      <c r="A4466" t="s">
        <v>4506</v>
      </c>
      <c r="B4466" s="1">
        <v>46138.032164351855</v>
      </c>
      <c r="C4466" s="2" t="s">
        <v>29</v>
      </c>
      <c r="D4466" t="s">
        <v>23</v>
      </c>
      <c r="E4466">
        <v>1770</v>
      </c>
      <c r="F4466" t="s">
        <v>14</v>
      </c>
      <c r="G4466" t="s">
        <v>24</v>
      </c>
      <c r="H4466" t="s">
        <v>16</v>
      </c>
      <c r="I4466">
        <v>0</v>
      </c>
      <c r="J4466">
        <v>0</v>
      </c>
      <c r="K4466">
        <v>0</v>
      </c>
    </row>
    <row r="4467" spans="1:11" x14ac:dyDescent="0.25">
      <c r="A4467" t="s">
        <v>4507</v>
      </c>
      <c r="B4467" s="1">
        <v>46068.993437500001</v>
      </c>
      <c r="C4467" s="2" t="s">
        <v>26</v>
      </c>
      <c r="D4467" t="s">
        <v>45</v>
      </c>
      <c r="E4467">
        <v>1817</v>
      </c>
      <c r="F4467" t="s">
        <v>14</v>
      </c>
      <c r="G4467" t="s">
        <v>24</v>
      </c>
      <c r="H4467" t="s">
        <v>178</v>
      </c>
      <c r="I4467">
        <v>18.170000000000002</v>
      </c>
      <c r="J4467">
        <v>0</v>
      </c>
      <c r="K4467">
        <v>18.170000000000002</v>
      </c>
    </row>
    <row r="4468" spans="1:11" x14ac:dyDescent="0.25">
      <c r="A4468" t="s">
        <v>4508</v>
      </c>
      <c r="B4468" s="1">
        <v>45817.021493055552</v>
      </c>
      <c r="C4468" s="2" t="s">
        <v>22</v>
      </c>
      <c r="D4468" t="s">
        <v>13</v>
      </c>
      <c r="E4468">
        <v>130000</v>
      </c>
      <c r="F4468" t="s">
        <v>14</v>
      </c>
      <c r="G4468" t="s">
        <v>24</v>
      </c>
      <c r="H4468" t="s">
        <v>16</v>
      </c>
      <c r="I4468">
        <v>2405</v>
      </c>
      <c r="J4468">
        <v>962</v>
      </c>
      <c r="K4468">
        <v>1443</v>
      </c>
    </row>
    <row r="4469" spans="1:11" x14ac:dyDescent="0.25">
      <c r="A4469" t="s">
        <v>4509</v>
      </c>
      <c r="B4469" s="1">
        <v>45913.074270833335</v>
      </c>
      <c r="C4469" s="2" t="s">
        <v>41</v>
      </c>
      <c r="D4469" t="s">
        <v>45</v>
      </c>
      <c r="E4469">
        <v>96279</v>
      </c>
      <c r="F4469" t="s">
        <v>50</v>
      </c>
      <c r="G4469" t="s">
        <v>51</v>
      </c>
      <c r="H4469" t="s">
        <v>178</v>
      </c>
      <c r="I4469">
        <v>962.79</v>
      </c>
      <c r="J4469">
        <v>0</v>
      </c>
      <c r="K4469">
        <v>962.79</v>
      </c>
    </row>
    <row r="4470" spans="1:11" x14ac:dyDescent="0.25">
      <c r="A4470" t="s">
        <v>4510</v>
      </c>
      <c r="B4470" s="1">
        <v>45996.792581018519</v>
      </c>
      <c r="C4470" s="2" t="s">
        <v>26</v>
      </c>
      <c r="D4470" t="s">
        <v>23</v>
      </c>
      <c r="E4470">
        <v>4366</v>
      </c>
      <c r="F4470" t="s">
        <v>14</v>
      </c>
      <c r="G4470" t="s">
        <v>27</v>
      </c>
      <c r="H4470" t="s">
        <v>16</v>
      </c>
      <c r="I4470">
        <v>0</v>
      </c>
      <c r="J4470">
        <v>0</v>
      </c>
      <c r="K4470">
        <v>0</v>
      </c>
    </row>
    <row r="4471" spans="1:11" x14ac:dyDescent="0.25">
      <c r="A4471" t="s">
        <v>4511</v>
      </c>
      <c r="B4471" s="1">
        <v>45806.938842592594</v>
      </c>
      <c r="C4471" s="2" t="s">
        <v>32</v>
      </c>
      <c r="D4471" t="s">
        <v>23</v>
      </c>
      <c r="E4471">
        <v>2286</v>
      </c>
      <c r="F4471" t="s">
        <v>14</v>
      </c>
      <c r="G4471" t="s">
        <v>51</v>
      </c>
      <c r="H4471" t="s">
        <v>16</v>
      </c>
      <c r="I4471">
        <v>0</v>
      </c>
      <c r="J4471">
        <v>0</v>
      </c>
      <c r="K4471">
        <v>0</v>
      </c>
    </row>
    <row r="4472" spans="1:11" x14ac:dyDescent="0.25">
      <c r="A4472" t="s">
        <v>4512</v>
      </c>
      <c r="B4472" s="1">
        <v>46066.828460648147</v>
      </c>
      <c r="C4472" s="2" t="s">
        <v>29</v>
      </c>
      <c r="D4472" t="s">
        <v>19</v>
      </c>
      <c r="E4472">
        <v>11677</v>
      </c>
      <c r="F4472" t="s">
        <v>14</v>
      </c>
      <c r="G4472" t="s">
        <v>20</v>
      </c>
      <c r="H4472" t="s">
        <v>16</v>
      </c>
      <c r="I4472">
        <v>5</v>
      </c>
      <c r="J4472">
        <v>0</v>
      </c>
      <c r="K4472">
        <v>5</v>
      </c>
    </row>
    <row r="4473" spans="1:11" x14ac:dyDescent="0.25">
      <c r="A4473" t="s">
        <v>4513</v>
      </c>
      <c r="B4473" s="1">
        <v>45848.993194444447</v>
      </c>
      <c r="C4473" s="2" t="s">
        <v>29</v>
      </c>
      <c r="D4473" t="s">
        <v>45</v>
      </c>
      <c r="E4473">
        <v>88494</v>
      </c>
      <c r="F4473" t="s">
        <v>14</v>
      </c>
      <c r="G4473" t="s">
        <v>20</v>
      </c>
      <c r="H4473" t="s">
        <v>59</v>
      </c>
      <c r="I4473">
        <v>884.94</v>
      </c>
      <c r="J4473">
        <v>0</v>
      </c>
      <c r="K4473">
        <v>884.94</v>
      </c>
    </row>
    <row r="4474" spans="1:11" x14ac:dyDescent="0.25">
      <c r="A4474" t="s">
        <v>4514</v>
      </c>
      <c r="B4474" s="1">
        <v>45784.708912037036</v>
      </c>
      <c r="C4474" s="2" t="s">
        <v>32</v>
      </c>
      <c r="D4474" t="s">
        <v>33</v>
      </c>
      <c r="E4474">
        <v>13462</v>
      </c>
      <c r="F4474" t="s">
        <v>14</v>
      </c>
      <c r="G4474" t="s">
        <v>58</v>
      </c>
      <c r="H4474" t="s">
        <v>16</v>
      </c>
      <c r="I4474">
        <v>0</v>
      </c>
      <c r="J4474">
        <v>0</v>
      </c>
      <c r="K4474">
        <v>0</v>
      </c>
    </row>
    <row r="4475" spans="1:11" x14ac:dyDescent="0.25">
      <c r="A4475" t="s">
        <v>4515</v>
      </c>
      <c r="B4475" s="1">
        <v>46112.405902777777</v>
      </c>
      <c r="C4475" s="2" t="s">
        <v>12</v>
      </c>
      <c r="D4475" t="s">
        <v>45</v>
      </c>
      <c r="E4475">
        <v>81854</v>
      </c>
      <c r="F4475" t="s">
        <v>14</v>
      </c>
      <c r="G4475" t="s">
        <v>34</v>
      </c>
      <c r="H4475" t="s">
        <v>56</v>
      </c>
      <c r="I4475">
        <v>818.54</v>
      </c>
      <c r="J4475">
        <v>0</v>
      </c>
      <c r="K4475">
        <v>818.54</v>
      </c>
    </row>
    <row r="4476" spans="1:11" x14ac:dyDescent="0.25">
      <c r="A4476" t="s">
        <v>4516</v>
      </c>
      <c r="B4476" s="1">
        <v>46023.568715277775</v>
      </c>
      <c r="C4476" s="2" t="s">
        <v>32</v>
      </c>
      <c r="D4476" t="s">
        <v>19</v>
      </c>
      <c r="E4476">
        <v>77123</v>
      </c>
      <c r="F4476" t="s">
        <v>14</v>
      </c>
      <c r="G4476" t="s">
        <v>15</v>
      </c>
      <c r="H4476" t="s">
        <v>16</v>
      </c>
      <c r="I4476">
        <v>5</v>
      </c>
      <c r="J4476">
        <v>0</v>
      </c>
      <c r="K4476">
        <v>5</v>
      </c>
    </row>
    <row r="4477" spans="1:11" x14ac:dyDescent="0.25">
      <c r="A4477" t="s">
        <v>4517</v>
      </c>
      <c r="B4477" s="1">
        <v>46122.590752314813</v>
      </c>
      <c r="C4477" s="2" t="s">
        <v>32</v>
      </c>
      <c r="D4477" t="s">
        <v>33</v>
      </c>
      <c r="E4477">
        <v>4704</v>
      </c>
      <c r="F4477" t="s">
        <v>14</v>
      </c>
      <c r="G4477" t="s">
        <v>27</v>
      </c>
      <c r="H4477" t="s">
        <v>16</v>
      </c>
      <c r="I4477">
        <v>0</v>
      </c>
      <c r="J4477">
        <v>0</v>
      </c>
      <c r="K4477">
        <v>0</v>
      </c>
    </row>
    <row r="4478" spans="1:11" x14ac:dyDescent="0.25">
      <c r="A4478" t="s">
        <v>4518</v>
      </c>
      <c r="B4478" s="1">
        <v>46064.843518518515</v>
      </c>
      <c r="C4478" s="2" t="s">
        <v>39</v>
      </c>
      <c r="D4478" t="s">
        <v>23</v>
      </c>
      <c r="E4478">
        <v>3682</v>
      </c>
      <c r="F4478" t="s">
        <v>14</v>
      </c>
      <c r="G4478" t="s">
        <v>34</v>
      </c>
      <c r="H4478" t="s">
        <v>16</v>
      </c>
      <c r="I4478">
        <v>0</v>
      </c>
      <c r="J4478">
        <v>0</v>
      </c>
      <c r="K4478">
        <v>0</v>
      </c>
    </row>
    <row r="4479" spans="1:11" x14ac:dyDescent="0.25">
      <c r="A4479" t="s">
        <v>4519</v>
      </c>
      <c r="B4479" s="1">
        <v>46139.900648148148</v>
      </c>
      <c r="C4479" s="2" t="s">
        <v>26</v>
      </c>
      <c r="D4479" t="s">
        <v>23</v>
      </c>
      <c r="E4479">
        <v>4106</v>
      </c>
      <c r="F4479" t="s">
        <v>14</v>
      </c>
      <c r="G4479" t="s">
        <v>51</v>
      </c>
      <c r="H4479" t="s">
        <v>16</v>
      </c>
      <c r="I4479">
        <v>0</v>
      </c>
      <c r="J4479">
        <v>0</v>
      </c>
      <c r="K4479">
        <v>0</v>
      </c>
    </row>
    <row r="4480" spans="1:11" x14ac:dyDescent="0.25">
      <c r="A4480" t="s">
        <v>4520</v>
      </c>
      <c r="B4480" s="1">
        <v>45828.796168981484</v>
      </c>
      <c r="C4480" s="2" t="s">
        <v>22</v>
      </c>
      <c r="D4480" t="s">
        <v>19</v>
      </c>
      <c r="E4480">
        <v>74284</v>
      </c>
      <c r="F4480" t="s">
        <v>14</v>
      </c>
      <c r="G4480" t="s">
        <v>34</v>
      </c>
      <c r="H4480" t="s">
        <v>16</v>
      </c>
      <c r="I4480">
        <v>5</v>
      </c>
      <c r="J4480">
        <v>0</v>
      </c>
      <c r="K4480">
        <v>5</v>
      </c>
    </row>
    <row r="4481" spans="1:11" x14ac:dyDescent="0.25">
      <c r="A4481" t="s">
        <v>4521</v>
      </c>
      <c r="B4481" s="1">
        <v>46137.151469907411</v>
      </c>
      <c r="C4481" s="2" t="s">
        <v>22</v>
      </c>
      <c r="D4481" t="s">
        <v>19</v>
      </c>
      <c r="E4481">
        <v>118719</v>
      </c>
      <c r="F4481" t="s">
        <v>99</v>
      </c>
      <c r="G4481" t="s">
        <v>15</v>
      </c>
      <c r="H4481" t="s">
        <v>16</v>
      </c>
      <c r="I4481">
        <v>5</v>
      </c>
      <c r="J4481">
        <v>0</v>
      </c>
      <c r="K4481">
        <v>5</v>
      </c>
    </row>
    <row r="4482" spans="1:11" x14ac:dyDescent="0.25">
      <c r="A4482" t="s">
        <v>4522</v>
      </c>
      <c r="B4482" s="1">
        <v>45781.772870370369</v>
      </c>
      <c r="C4482" s="2" t="s">
        <v>39</v>
      </c>
      <c r="D4482" t="s">
        <v>23</v>
      </c>
      <c r="E4482">
        <v>966</v>
      </c>
      <c r="F4482" t="s">
        <v>14</v>
      </c>
      <c r="G4482" t="s">
        <v>15</v>
      </c>
      <c r="H4482" t="s">
        <v>16</v>
      </c>
      <c r="I4482">
        <v>0</v>
      </c>
      <c r="J4482">
        <v>0</v>
      </c>
      <c r="K4482">
        <v>0</v>
      </c>
    </row>
    <row r="4483" spans="1:11" x14ac:dyDescent="0.25">
      <c r="A4483" t="s">
        <v>4523</v>
      </c>
      <c r="B4483" s="1">
        <v>46140.8752662037</v>
      </c>
      <c r="C4483" s="2" t="s">
        <v>41</v>
      </c>
      <c r="D4483" t="s">
        <v>13</v>
      </c>
      <c r="E4483">
        <v>50000</v>
      </c>
      <c r="F4483" t="s">
        <v>14</v>
      </c>
      <c r="G4483" t="s">
        <v>58</v>
      </c>
      <c r="H4483" t="s">
        <v>16</v>
      </c>
      <c r="I4483">
        <v>925</v>
      </c>
      <c r="J4483">
        <v>370</v>
      </c>
      <c r="K4483">
        <v>555</v>
      </c>
    </row>
    <row r="4484" spans="1:11" x14ac:dyDescent="0.25">
      <c r="A4484" t="s">
        <v>4524</v>
      </c>
      <c r="B4484" s="1">
        <v>46102.596435185187</v>
      </c>
      <c r="C4484" s="2" t="s">
        <v>12</v>
      </c>
      <c r="D4484" t="s">
        <v>23</v>
      </c>
      <c r="E4484">
        <v>686</v>
      </c>
      <c r="F4484" t="s">
        <v>50</v>
      </c>
      <c r="G4484" t="s">
        <v>15</v>
      </c>
      <c r="H4484" t="s">
        <v>16</v>
      </c>
      <c r="I4484">
        <v>0</v>
      </c>
      <c r="J4484">
        <v>0</v>
      </c>
      <c r="K4484">
        <v>0</v>
      </c>
    </row>
    <row r="4485" spans="1:11" x14ac:dyDescent="0.25">
      <c r="A4485" t="s">
        <v>4525</v>
      </c>
      <c r="B4485" s="1">
        <v>46057.321736111109</v>
      </c>
      <c r="C4485" s="2" t="s">
        <v>26</v>
      </c>
      <c r="D4485" t="s">
        <v>13</v>
      </c>
      <c r="E4485">
        <v>228500</v>
      </c>
      <c r="F4485" t="s">
        <v>14</v>
      </c>
      <c r="G4485" t="s">
        <v>24</v>
      </c>
      <c r="H4485" t="s">
        <v>16</v>
      </c>
      <c r="I4485">
        <v>4227.25</v>
      </c>
      <c r="J4485">
        <v>1690.9</v>
      </c>
      <c r="K4485">
        <v>2536.35</v>
      </c>
    </row>
    <row r="4486" spans="1:11" x14ac:dyDescent="0.25">
      <c r="A4486" t="s">
        <v>4526</v>
      </c>
      <c r="B4486" s="1">
        <v>45942.324074074073</v>
      </c>
      <c r="C4486" s="2" t="s">
        <v>39</v>
      </c>
      <c r="D4486" t="s">
        <v>19</v>
      </c>
      <c r="E4486">
        <v>88365</v>
      </c>
      <c r="F4486" t="s">
        <v>50</v>
      </c>
      <c r="G4486" t="s">
        <v>30</v>
      </c>
      <c r="H4486" t="s">
        <v>16</v>
      </c>
      <c r="I4486">
        <v>5</v>
      </c>
      <c r="J4486">
        <v>0</v>
      </c>
      <c r="K4486">
        <v>5</v>
      </c>
    </row>
    <row r="4487" spans="1:11" x14ac:dyDescent="0.25">
      <c r="A4487" t="s">
        <v>4527</v>
      </c>
      <c r="B4487" s="1">
        <v>46119.923067129632</v>
      </c>
      <c r="C4487" s="2" t="s">
        <v>32</v>
      </c>
      <c r="D4487" t="s">
        <v>33</v>
      </c>
      <c r="E4487">
        <v>31931</v>
      </c>
      <c r="F4487" t="s">
        <v>14</v>
      </c>
      <c r="G4487" t="s">
        <v>58</v>
      </c>
      <c r="H4487" t="s">
        <v>16</v>
      </c>
      <c r="I4487">
        <v>0</v>
      </c>
      <c r="J4487">
        <v>0</v>
      </c>
      <c r="K4487">
        <v>0</v>
      </c>
    </row>
    <row r="4488" spans="1:11" x14ac:dyDescent="0.25">
      <c r="A4488" t="s">
        <v>4528</v>
      </c>
      <c r="B4488" s="1">
        <v>45919.4690162037</v>
      </c>
      <c r="C4488" s="2" t="s">
        <v>12</v>
      </c>
      <c r="D4488" t="s">
        <v>33</v>
      </c>
      <c r="E4488">
        <v>92521</v>
      </c>
      <c r="F4488" t="s">
        <v>14</v>
      </c>
      <c r="G4488" t="s">
        <v>20</v>
      </c>
      <c r="H4488" t="s">
        <v>16</v>
      </c>
      <c r="I4488">
        <v>0</v>
      </c>
      <c r="J4488">
        <v>0</v>
      </c>
      <c r="K4488">
        <v>0</v>
      </c>
    </row>
    <row r="4489" spans="1:11" x14ac:dyDescent="0.25">
      <c r="A4489" t="s">
        <v>4529</v>
      </c>
      <c r="B4489" s="1">
        <v>45814.424259259256</v>
      </c>
      <c r="C4489" s="2" t="s">
        <v>39</v>
      </c>
      <c r="D4489" t="s">
        <v>23</v>
      </c>
      <c r="E4489">
        <v>2861</v>
      </c>
      <c r="F4489" t="s">
        <v>50</v>
      </c>
      <c r="G4489" t="s">
        <v>15</v>
      </c>
      <c r="H4489" t="s">
        <v>16</v>
      </c>
      <c r="I4489">
        <v>0</v>
      </c>
      <c r="J4489">
        <v>0</v>
      </c>
      <c r="K4489">
        <v>0</v>
      </c>
    </row>
    <row r="4490" spans="1:11" x14ac:dyDescent="0.25">
      <c r="A4490" t="s">
        <v>4530</v>
      </c>
      <c r="B4490" s="1">
        <v>46019.476979166669</v>
      </c>
      <c r="C4490" s="2" t="s">
        <v>41</v>
      </c>
      <c r="D4490" t="s">
        <v>23</v>
      </c>
      <c r="E4490">
        <v>1706</v>
      </c>
      <c r="F4490" t="s">
        <v>14</v>
      </c>
      <c r="G4490" t="s">
        <v>51</v>
      </c>
      <c r="H4490" t="s">
        <v>16</v>
      </c>
      <c r="I4490">
        <v>0</v>
      </c>
      <c r="J4490">
        <v>0</v>
      </c>
      <c r="K4490">
        <v>0</v>
      </c>
    </row>
    <row r="4491" spans="1:11" x14ac:dyDescent="0.25">
      <c r="A4491" t="s">
        <v>4531</v>
      </c>
      <c r="B4491" s="1">
        <v>45859.044166666667</v>
      </c>
      <c r="C4491" s="2" t="s">
        <v>41</v>
      </c>
      <c r="D4491" t="s">
        <v>13</v>
      </c>
      <c r="E4491">
        <v>29500</v>
      </c>
      <c r="F4491" t="s">
        <v>14</v>
      </c>
      <c r="G4491" t="s">
        <v>58</v>
      </c>
      <c r="H4491" t="s">
        <v>16</v>
      </c>
      <c r="I4491">
        <v>545.75</v>
      </c>
      <c r="J4491">
        <v>218.3</v>
      </c>
      <c r="K4491">
        <v>327.45</v>
      </c>
    </row>
    <row r="4492" spans="1:11" x14ac:dyDescent="0.25">
      <c r="A4492" t="s">
        <v>4532</v>
      </c>
      <c r="B4492" s="1">
        <v>46029.739652777775</v>
      </c>
      <c r="C4492" s="2" t="s">
        <v>39</v>
      </c>
      <c r="D4492" t="s">
        <v>23</v>
      </c>
      <c r="E4492">
        <v>4352</v>
      </c>
      <c r="F4492" t="s">
        <v>14</v>
      </c>
      <c r="G4492" t="s">
        <v>27</v>
      </c>
      <c r="H4492" t="s">
        <v>16</v>
      </c>
      <c r="I4492">
        <v>0</v>
      </c>
      <c r="J4492">
        <v>0</v>
      </c>
      <c r="K4492">
        <v>0</v>
      </c>
    </row>
    <row r="4493" spans="1:11" x14ac:dyDescent="0.25">
      <c r="A4493" t="s">
        <v>4533</v>
      </c>
      <c r="B4493" s="1">
        <v>46117.024282407408</v>
      </c>
      <c r="C4493" s="2" t="s">
        <v>41</v>
      </c>
      <c r="D4493" t="s">
        <v>33</v>
      </c>
      <c r="E4493">
        <v>23519</v>
      </c>
      <c r="F4493" t="s">
        <v>14</v>
      </c>
      <c r="G4493" t="s">
        <v>51</v>
      </c>
      <c r="H4493" t="s">
        <v>16</v>
      </c>
      <c r="I4493">
        <v>0</v>
      </c>
      <c r="J4493">
        <v>0</v>
      </c>
      <c r="K4493">
        <v>0</v>
      </c>
    </row>
    <row r="4494" spans="1:11" x14ac:dyDescent="0.25">
      <c r="A4494" t="s">
        <v>4534</v>
      </c>
      <c r="B4494" s="1">
        <v>46013.002858796295</v>
      </c>
      <c r="C4494" s="2" t="s">
        <v>22</v>
      </c>
      <c r="D4494" t="s">
        <v>23</v>
      </c>
      <c r="E4494">
        <v>1430</v>
      </c>
      <c r="F4494" t="s">
        <v>14</v>
      </c>
      <c r="G4494" t="s">
        <v>84</v>
      </c>
      <c r="H4494" t="s">
        <v>16</v>
      </c>
      <c r="I4494">
        <v>0</v>
      </c>
      <c r="J4494">
        <v>0</v>
      </c>
      <c r="K4494">
        <v>0</v>
      </c>
    </row>
    <row r="4495" spans="1:11" x14ac:dyDescent="0.25">
      <c r="A4495" t="s">
        <v>4535</v>
      </c>
      <c r="B4495" s="1">
        <v>45985.577372685184</v>
      </c>
      <c r="C4495" s="2" t="s">
        <v>18</v>
      </c>
      <c r="D4495" t="s">
        <v>19</v>
      </c>
      <c r="E4495">
        <v>80165</v>
      </c>
      <c r="F4495" t="s">
        <v>14</v>
      </c>
      <c r="G4495" t="s">
        <v>84</v>
      </c>
      <c r="H4495" t="s">
        <v>16</v>
      </c>
      <c r="I4495">
        <v>5</v>
      </c>
      <c r="J4495">
        <v>0</v>
      </c>
      <c r="K4495">
        <v>5</v>
      </c>
    </row>
    <row r="4496" spans="1:11" x14ac:dyDescent="0.25">
      <c r="A4496" t="s">
        <v>4536</v>
      </c>
      <c r="B4496" s="1">
        <v>46006.276041666664</v>
      </c>
      <c r="C4496" s="2" t="s">
        <v>29</v>
      </c>
      <c r="D4496" t="s">
        <v>45</v>
      </c>
      <c r="E4496">
        <v>8017</v>
      </c>
      <c r="F4496" t="s">
        <v>14</v>
      </c>
      <c r="G4496" t="s">
        <v>20</v>
      </c>
      <c r="H4496" t="s">
        <v>178</v>
      </c>
      <c r="I4496">
        <v>80.17</v>
      </c>
      <c r="J4496">
        <v>0</v>
      </c>
      <c r="K4496">
        <v>80.17</v>
      </c>
    </row>
    <row r="4497" spans="1:11" x14ac:dyDescent="0.25">
      <c r="A4497" t="s">
        <v>4537</v>
      </c>
      <c r="B4497" s="1">
        <v>46103.442361111112</v>
      </c>
      <c r="C4497" s="2" t="s">
        <v>18</v>
      </c>
      <c r="D4497" t="s">
        <v>19</v>
      </c>
      <c r="E4497">
        <v>26442</v>
      </c>
      <c r="F4497" t="s">
        <v>14</v>
      </c>
      <c r="G4497" t="s">
        <v>20</v>
      </c>
      <c r="H4497" t="s">
        <v>16</v>
      </c>
      <c r="I4497">
        <v>5</v>
      </c>
      <c r="J4497">
        <v>0</v>
      </c>
      <c r="K4497">
        <v>5</v>
      </c>
    </row>
    <row r="4498" spans="1:11" x14ac:dyDescent="0.25">
      <c r="A4498" t="s">
        <v>4538</v>
      </c>
      <c r="B4498" s="1">
        <v>46128.130497685182</v>
      </c>
      <c r="C4498" s="2" t="s">
        <v>39</v>
      </c>
      <c r="D4498" t="s">
        <v>19</v>
      </c>
      <c r="E4498">
        <v>62777</v>
      </c>
      <c r="F4498" t="s">
        <v>50</v>
      </c>
      <c r="G4498" t="s">
        <v>58</v>
      </c>
      <c r="H4498" t="s">
        <v>16</v>
      </c>
      <c r="I4498">
        <v>5</v>
      </c>
      <c r="J4498">
        <v>0</v>
      </c>
      <c r="K4498">
        <v>5</v>
      </c>
    </row>
    <row r="4499" spans="1:11" x14ac:dyDescent="0.25">
      <c r="A4499" t="s">
        <v>4539</v>
      </c>
      <c r="B4499" s="1">
        <v>46138.412222222221</v>
      </c>
      <c r="C4499" s="2" t="s">
        <v>32</v>
      </c>
      <c r="D4499" t="s">
        <v>13</v>
      </c>
      <c r="E4499">
        <v>45000</v>
      </c>
      <c r="F4499" t="s">
        <v>14</v>
      </c>
      <c r="G4499" t="s">
        <v>15</v>
      </c>
      <c r="H4499" t="s">
        <v>16</v>
      </c>
      <c r="I4499">
        <v>832.5</v>
      </c>
      <c r="J4499">
        <v>333</v>
      </c>
      <c r="K4499">
        <v>499.5</v>
      </c>
    </row>
    <row r="4500" spans="1:11" x14ac:dyDescent="0.25">
      <c r="A4500" t="s">
        <v>4540</v>
      </c>
      <c r="B4500" s="1">
        <v>45835.548101851855</v>
      </c>
      <c r="C4500" s="2" t="s">
        <v>22</v>
      </c>
      <c r="D4500" t="s">
        <v>13</v>
      </c>
      <c r="E4500">
        <v>231000</v>
      </c>
      <c r="F4500" t="s">
        <v>14</v>
      </c>
      <c r="G4500" t="s">
        <v>20</v>
      </c>
      <c r="H4500" t="s">
        <v>16</v>
      </c>
      <c r="I4500">
        <v>4273.5</v>
      </c>
      <c r="J4500">
        <v>1709.4</v>
      </c>
      <c r="K4500">
        <v>2564.1</v>
      </c>
    </row>
    <row r="4501" spans="1:11" x14ac:dyDescent="0.25">
      <c r="A4501" t="s">
        <v>4541</v>
      </c>
      <c r="B4501" s="1">
        <v>45874.463009259256</v>
      </c>
      <c r="C4501" s="2" t="s">
        <v>39</v>
      </c>
      <c r="D4501" t="s">
        <v>45</v>
      </c>
      <c r="E4501">
        <v>75042</v>
      </c>
      <c r="F4501" t="s">
        <v>14</v>
      </c>
      <c r="G4501" t="s">
        <v>24</v>
      </c>
      <c r="H4501" t="s">
        <v>59</v>
      </c>
      <c r="I4501">
        <v>750.42</v>
      </c>
      <c r="J4501">
        <v>0</v>
      </c>
      <c r="K4501">
        <v>750.42</v>
      </c>
    </row>
    <row r="4502" spans="1:11" x14ac:dyDescent="0.25">
      <c r="A4502" t="s">
        <v>4542</v>
      </c>
      <c r="B4502" s="1">
        <v>45975.122407407405</v>
      </c>
      <c r="C4502" s="2" t="s">
        <v>39</v>
      </c>
      <c r="D4502" t="s">
        <v>33</v>
      </c>
      <c r="E4502">
        <v>9004</v>
      </c>
      <c r="F4502" t="s">
        <v>50</v>
      </c>
      <c r="G4502" t="s">
        <v>20</v>
      </c>
      <c r="H4502" t="s">
        <v>16</v>
      </c>
      <c r="I4502">
        <v>0</v>
      </c>
      <c r="J4502">
        <v>0</v>
      </c>
      <c r="K4502">
        <v>0</v>
      </c>
    </row>
    <row r="4503" spans="1:11" x14ac:dyDescent="0.25">
      <c r="A4503" t="s">
        <v>4543</v>
      </c>
      <c r="B4503" s="1">
        <v>45811.619606481479</v>
      </c>
      <c r="C4503" s="2" t="s">
        <v>29</v>
      </c>
      <c r="D4503" t="s">
        <v>23</v>
      </c>
      <c r="E4503">
        <v>1938</v>
      </c>
      <c r="F4503" t="s">
        <v>14</v>
      </c>
      <c r="G4503" t="s">
        <v>27</v>
      </c>
      <c r="H4503" t="s">
        <v>16</v>
      </c>
      <c r="I4503">
        <v>0</v>
      </c>
      <c r="J4503">
        <v>0</v>
      </c>
      <c r="K4503">
        <v>0</v>
      </c>
    </row>
    <row r="4504" spans="1:11" x14ac:dyDescent="0.25">
      <c r="A4504" t="s">
        <v>4544</v>
      </c>
      <c r="B4504" s="1">
        <v>45897.409317129626</v>
      </c>
      <c r="C4504" s="2" t="s">
        <v>39</v>
      </c>
      <c r="D4504" t="s">
        <v>13</v>
      </c>
      <c r="E4504">
        <v>249000</v>
      </c>
      <c r="F4504" t="s">
        <v>50</v>
      </c>
      <c r="G4504" t="s">
        <v>20</v>
      </c>
      <c r="H4504" t="s">
        <v>16</v>
      </c>
      <c r="I4504">
        <v>4606.5</v>
      </c>
      <c r="J4504">
        <v>1842.6</v>
      </c>
      <c r="K4504">
        <v>2763.9</v>
      </c>
    </row>
    <row r="4505" spans="1:11" x14ac:dyDescent="0.25">
      <c r="A4505" t="s">
        <v>4545</v>
      </c>
      <c r="B4505" s="1">
        <v>46059.48704861111</v>
      </c>
      <c r="C4505" s="2" t="s">
        <v>39</v>
      </c>
      <c r="D4505" t="s">
        <v>19</v>
      </c>
      <c r="E4505">
        <v>100240</v>
      </c>
      <c r="F4505" t="s">
        <v>14</v>
      </c>
      <c r="G4505" t="s">
        <v>51</v>
      </c>
      <c r="H4505" t="s">
        <v>16</v>
      </c>
      <c r="I4505">
        <v>5</v>
      </c>
      <c r="J4505">
        <v>0</v>
      </c>
      <c r="K4505">
        <v>5</v>
      </c>
    </row>
    <row r="4506" spans="1:11" x14ac:dyDescent="0.25">
      <c r="A4506" t="s">
        <v>4546</v>
      </c>
      <c r="B4506" s="1">
        <v>45867.610532407409</v>
      </c>
      <c r="C4506" s="2" t="s">
        <v>29</v>
      </c>
      <c r="D4506" t="s">
        <v>33</v>
      </c>
      <c r="E4506">
        <v>50196</v>
      </c>
      <c r="F4506" t="s">
        <v>50</v>
      </c>
      <c r="G4506" t="s">
        <v>24</v>
      </c>
      <c r="H4506" t="s">
        <v>16</v>
      </c>
      <c r="I4506">
        <v>0</v>
      </c>
      <c r="J4506">
        <v>0</v>
      </c>
      <c r="K4506">
        <v>0</v>
      </c>
    </row>
    <row r="4507" spans="1:11" x14ac:dyDescent="0.25">
      <c r="A4507" t="s">
        <v>4547</v>
      </c>
      <c r="B4507" s="1">
        <v>45784.704340277778</v>
      </c>
      <c r="C4507" s="2" t="s">
        <v>12</v>
      </c>
      <c r="D4507" t="s">
        <v>33</v>
      </c>
      <c r="E4507">
        <v>103239</v>
      </c>
      <c r="F4507" t="s">
        <v>14</v>
      </c>
      <c r="G4507" t="s">
        <v>27</v>
      </c>
      <c r="H4507" t="s">
        <v>16</v>
      </c>
      <c r="I4507">
        <v>0</v>
      </c>
      <c r="J4507">
        <v>0</v>
      </c>
      <c r="K4507">
        <v>0</v>
      </c>
    </row>
    <row r="4508" spans="1:11" x14ac:dyDescent="0.25">
      <c r="A4508" t="s">
        <v>4548</v>
      </c>
      <c r="B4508" s="1">
        <v>46102.74496527778</v>
      </c>
      <c r="C4508" s="2" t="s">
        <v>22</v>
      </c>
      <c r="D4508" t="s">
        <v>23</v>
      </c>
      <c r="E4508">
        <v>209</v>
      </c>
      <c r="F4508" t="s">
        <v>14</v>
      </c>
      <c r="G4508" t="s">
        <v>24</v>
      </c>
      <c r="H4508" t="s">
        <v>16</v>
      </c>
      <c r="I4508">
        <v>0</v>
      </c>
      <c r="J4508">
        <v>0</v>
      </c>
      <c r="K4508">
        <v>0</v>
      </c>
    </row>
    <row r="4509" spans="1:11" x14ac:dyDescent="0.25">
      <c r="A4509" t="s">
        <v>4549</v>
      </c>
      <c r="B4509" s="1">
        <v>46110.271192129629</v>
      </c>
      <c r="C4509" s="2" t="s">
        <v>18</v>
      </c>
      <c r="D4509" t="s">
        <v>19</v>
      </c>
      <c r="E4509">
        <v>57060</v>
      </c>
      <c r="F4509" t="s">
        <v>50</v>
      </c>
      <c r="G4509" t="s">
        <v>51</v>
      </c>
      <c r="H4509" t="s">
        <v>16</v>
      </c>
      <c r="I4509">
        <v>5</v>
      </c>
      <c r="J4509">
        <v>0</v>
      </c>
      <c r="K4509">
        <v>5</v>
      </c>
    </row>
    <row r="4510" spans="1:11" x14ac:dyDescent="0.25">
      <c r="A4510" t="s">
        <v>4550</v>
      </c>
      <c r="B4510" s="1">
        <v>45912.688796296294</v>
      </c>
      <c r="C4510" s="2" t="s">
        <v>41</v>
      </c>
      <c r="D4510" t="s">
        <v>13</v>
      </c>
      <c r="E4510">
        <v>245000</v>
      </c>
      <c r="F4510" t="s">
        <v>14</v>
      </c>
      <c r="G4510" t="s">
        <v>30</v>
      </c>
      <c r="H4510" t="s">
        <v>16</v>
      </c>
      <c r="I4510">
        <v>4532.5</v>
      </c>
      <c r="J4510">
        <v>1813</v>
      </c>
      <c r="K4510">
        <v>2719.5</v>
      </c>
    </row>
    <row r="4511" spans="1:11" x14ac:dyDescent="0.25">
      <c r="A4511" t="s">
        <v>4551</v>
      </c>
      <c r="B4511" s="1">
        <v>45826.784629629627</v>
      </c>
      <c r="C4511" s="2" t="s">
        <v>22</v>
      </c>
      <c r="D4511" t="s">
        <v>13</v>
      </c>
      <c r="E4511">
        <v>138500</v>
      </c>
      <c r="F4511" t="s">
        <v>14</v>
      </c>
      <c r="G4511" t="s">
        <v>34</v>
      </c>
      <c r="H4511" t="s">
        <v>16</v>
      </c>
      <c r="I4511">
        <v>2562.25</v>
      </c>
      <c r="J4511">
        <v>1024.9000000000001</v>
      </c>
      <c r="K4511">
        <v>1537.35</v>
      </c>
    </row>
    <row r="4512" spans="1:11" x14ac:dyDescent="0.25">
      <c r="A4512" t="s">
        <v>4552</v>
      </c>
      <c r="B4512" s="1">
        <v>46028.069201388891</v>
      </c>
      <c r="C4512" s="2" t="s">
        <v>39</v>
      </c>
      <c r="D4512" t="s">
        <v>19</v>
      </c>
      <c r="E4512">
        <v>144910</v>
      </c>
      <c r="F4512" t="s">
        <v>50</v>
      </c>
      <c r="G4512" t="s">
        <v>51</v>
      </c>
      <c r="H4512" t="s">
        <v>16</v>
      </c>
      <c r="I4512">
        <v>5</v>
      </c>
      <c r="J4512">
        <v>0</v>
      </c>
      <c r="K4512">
        <v>5</v>
      </c>
    </row>
    <row r="4513" spans="1:11" x14ac:dyDescent="0.25">
      <c r="A4513" t="s">
        <v>4553</v>
      </c>
      <c r="B4513" s="1">
        <v>46052.36446759259</v>
      </c>
      <c r="C4513" s="2" t="s">
        <v>39</v>
      </c>
      <c r="D4513" t="s">
        <v>45</v>
      </c>
      <c r="E4513">
        <v>129737</v>
      </c>
      <c r="F4513" t="s">
        <v>14</v>
      </c>
      <c r="G4513" t="s">
        <v>20</v>
      </c>
      <c r="H4513" t="s">
        <v>71</v>
      </c>
      <c r="I4513">
        <v>1297.3699999999999</v>
      </c>
      <c r="J4513">
        <v>0</v>
      </c>
      <c r="K4513">
        <v>1297.3699999999999</v>
      </c>
    </row>
    <row r="4514" spans="1:11" x14ac:dyDescent="0.25">
      <c r="A4514" t="s">
        <v>4554</v>
      </c>
      <c r="B4514" s="1">
        <v>46069.119895833333</v>
      </c>
      <c r="C4514" s="2" t="s">
        <v>22</v>
      </c>
      <c r="D4514" t="s">
        <v>13</v>
      </c>
      <c r="E4514">
        <v>205000</v>
      </c>
      <c r="F4514" t="s">
        <v>14</v>
      </c>
      <c r="G4514" t="s">
        <v>34</v>
      </c>
      <c r="H4514" t="s">
        <v>16</v>
      </c>
      <c r="I4514">
        <v>3792.5</v>
      </c>
      <c r="J4514">
        <v>1517</v>
      </c>
      <c r="K4514">
        <v>2275.5</v>
      </c>
    </row>
    <row r="4515" spans="1:11" x14ac:dyDescent="0.25">
      <c r="A4515" t="s">
        <v>4555</v>
      </c>
      <c r="B4515" s="1">
        <v>45788.983391203707</v>
      </c>
      <c r="C4515" s="2" t="s">
        <v>32</v>
      </c>
      <c r="D4515" t="s">
        <v>33</v>
      </c>
      <c r="E4515">
        <v>113761</v>
      </c>
      <c r="F4515" t="s">
        <v>14</v>
      </c>
      <c r="G4515" t="s">
        <v>20</v>
      </c>
      <c r="H4515" t="s">
        <v>16</v>
      </c>
      <c r="I4515">
        <v>0</v>
      </c>
      <c r="J4515">
        <v>0</v>
      </c>
      <c r="K4515">
        <v>0</v>
      </c>
    </row>
    <row r="4516" spans="1:11" x14ac:dyDescent="0.25">
      <c r="A4516" t="s">
        <v>4556</v>
      </c>
      <c r="B4516" s="1">
        <v>46055.086828703701</v>
      </c>
      <c r="C4516" s="2" t="s">
        <v>32</v>
      </c>
      <c r="D4516" t="s">
        <v>23</v>
      </c>
      <c r="E4516">
        <v>1299</v>
      </c>
      <c r="F4516" t="s">
        <v>50</v>
      </c>
      <c r="G4516" t="s">
        <v>58</v>
      </c>
      <c r="H4516" t="s">
        <v>16</v>
      </c>
      <c r="I4516">
        <v>0</v>
      </c>
      <c r="J4516">
        <v>0</v>
      </c>
      <c r="K4516">
        <v>0</v>
      </c>
    </row>
    <row r="4517" spans="1:11" x14ac:dyDescent="0.25">
      <c r="A4517" t="s">
        <v>4557</v>
      </c>
      <c r="B4517" s="1">
        <v>45930.667962962965</v>
      </c>
      <c r="C4517" s="2" t="s">
        <v>18</v>
      </c>
      <c r="D4517" t="s">
        <v>19</v>
      </c>
      <c r="E4517">
        <v>33995</v>
      </c>
      <c r="F4517" t="s">
        <v>50</v>
      </c>
      <c r="G4517" t="s">
        <v>34</v>
      </c>
      <c r="H4517" t="s">
        <v>16</v>
      </c>
      <c r="I4517">
        <v>5</v>
      </c>
      <c r="J4517">
        <v>0</v>
      </c>
      <c r="K4517">
        <v>5</v>
      </c>
    </row>
    <row r="4518" spans="1:11" x14ac:dyDescent="0.25">
      <c r="A4518" t="s">
        <v>4558</v>
      </c>
      <c r="B4518" s="1">
        <v>45848.735034722224</v>
      </c>
      <c r="C4518" s="2" t="s">
        <v>18</v>
      </c>
      <c r="D4518" t="s">
        <v>33</v>
      </c>
      <c r="E4518">
        <v>97625</v>
      </c>
      <c r="F4518" t="s">
        <v>14</v>
      </c>
      <c r="G4518" t="s">
        <v>27</v>
      </c>
      <c r="H4518" t="s">
        <v>16</v>
      </c>
      <c r="I4518">
        <v>0</v>
      </c>
      <c r="J4518">
        <v>0</v>
      </c>
      <c r="K4518">
        <v>0</v>
      </c>
    </row>
    <row r="4519" spans="1:11" x14ac:dyDescent="0.25">
      <c r="A4519" t="s">
        <v>4559</v>
      </c>
      <c r="B4519" s="1">
        <v>45879.143645833334</v>
      </c>
      <c r="C4519" s="2" t="s">
        <v>12</v>
      </c>
      <c r="D4519" t="s">
        <v>33</v>
      </c>
      <c r="E4519">
        <v>140399</v>
      </c>
      <c r="F4519" t="s">
        <v>14</v>
      </c>
      <c r="G4519" t="s">
        <v>58</v>
      </c>
      <c r="H4519" t="s">
        <v>16</v>
      </c>
      <c r="I4519">
        <v>0</v>
      </c>
      <c r="J4519">
        <v>0</v>
      </c>
      <c r="K4519">
        <v>0</v>
      </c>
    </row>
    <row r="4520" spans="1:11" x14ac:dyDescent="0.25">
      <c r="A4520" t="s">
        <v>4560</v>
      </c>
      <c r="B4520" s="1">
        <v>46039.982002314813</v>
      </c>
      <c r="C4520" s="2" t="s">
        <v>12</v>
      </c>
      <c r="D4520" t="s">
        <v>33</v>
      </c>
      <c r="E4520">
        <v>73154</v>
      </c>
      <c r="F4520" t="s">
        <v>14</v>
      </c>
      <c r="G4520" t="s">
        <v>27</v>
      </c>
      <c r="H4520" t="s">
        <v>16</v>
      </c>
      <c r="I4520">
        <v>0</v>
      </c>
      <c r="J4520">
        <v>0</v>
      </c>
      <c r="K4520">
        <v>0</v>
      </c>
    </row>
    <row r="4521" spans="1:11" x14ac:dyDescent="0.25">
      <c r="A4521" t="s">
        <v>4561</v>
      </c>
      <c r="B4521" s="1">
        <v>45822.654930555553</v>
      </c>
      <c r="C4521" s="2" t="s">
        <v>29</v>
      </c>
      <c r="D4521" t="s">
        <v>19</v>
      </c>
      <c r="E4521">
        <v>62858</v>
      </c>
      <c r="F4521" t="s">
        <v>14</v>
      </c>
      <c r="G4521" t="s">
        <v>58</v>
      </c>
      <c r="H4521" t="s">
        <v>16</v>
      </c>
      <c r="I4521">
        <v>5</v>
      </c>
      <c r="J4521">
        <v>0</v>
      </c>
      <c r="K4521">
        <v>5</v>
      </c>
    </row>
    <row r="4522" spans="1:11" x14ac:dyDescent="0.25">
      <c r="A4522" t="s">
        <v>4562</v>
      </c>
      <c r="B4522" s="1">
        <v>45842.118680555555</v>
      </c>
      <c r="C4522" s="2" t="s">
        <v>22</v>
      </c>
      <c r="D4522" t="s">
        <v>13</v>
      </c>
      <c r="E4522">
        <v>219500</v>
      </c>
      <c r="F4522" t="s">
        <v>14</v>
      </c>
      <c r="G4522" t="s">
        <v>34</v>
      </c>
      <c r="H4522" t="s">
        <v>16</v>
      </c>
      <c r="I4522">
        <v>4060.75</v>
      </c>
      <c r="J4522">
        <v>1624.3</v>
      </c>
      <c r="K4522">
        <v>2436.4499999999998</v>
      </c>
    </row>
    <row r="4523" spans="1:11" x14ac:dyDescent="0.25">
      <c r="A4523" t="s">
        <v>4563</v>
      </c>
      <c r="B4523" s="1">
        <v>46042.802094907405</v>
      </c>
      <c r="C4523" s="2" t="s">
        <v>32</v>
      </c>
      <c r="D4523" t="s">
        <v>33</v>
      </c>
      <c r="E4523">
        <v>34560</v>
      </c>
      <c r="F4523" t="s">
        <v>14</v>
      </c>
      <c r="G4523" t="s">
        <v>20</v>
      </c>
      <c r="H4523" t="s">
        <v>16</v>
      </c>
      <c r="I4523">
        <v>0</v>
      </c>
      <c r="J4523">
        <v>0</v>
      </c>
      <c r="K4523">
        <v>0</v>
      </c>
    </row>
    <row r="4524" spans="1:11" x14ac:dyDescent="0.25">
      <c r="A4524" t="s">
        <v>4564</v>
      </c>
      <c r="B4524" s="1">
        <v>46109.679097222222</v>
      </c>
      <c r="C4524" s="2" t="s">
        <v>22</v>
      </c>
      <c r="D4524" t="s">
        <v>33</v>
      </c>
      <c r="E4524">
        <v>110545</v>
      </c>
      <c r="F4524" t="s">
        <v>14</v>
      </c>
      <c r="G4524" t="s">
        <v>51</v>
      </c>
      <c r="H4524" t="s">
        <v>16</v>
      </c>
      <c r="I4524">
        <v>0</v>
      </c>
      <c r="J4524">
        <v>0</v>
      </c>
      <c r="K4524">
        <v>0</v>
      </c>
    </row>
    <row r="4525" spans="1:11" x14ac:dyDescent="0.25">
      <c r="A4525" t="s">
        <v>4565</v>
      </c>
      <c r="B4525" s="1">
        <v>45821.92391203704</v>
      </c>
      <c r="C4525" s="2" t="s">
        <v>29</v>
      </c>
      <c r="D4525" t="s">
        <v>33</v>
      </c>
      <c r="E4525">
        <v>48173</v>
      </c>
      <c r="F4525" t="s">
        <v>50</v>
      </c>
      <c r="G4525" t="s">
        <v>24</v>
      </c>
      <c r="H4525" t="s">
        <v>16</v>
      </c>
      <c r="I4525">
        <v>0</v>
      </c>
      <c r="J4525">
        <v>0</v>
      </c>
      <c r="K4525">
        <v>0</v>
      </c>
    </row>
    <row r="4526" spans="1:11" x14ac:dyDescent="0.25">
      <c r="A4526" t="s">
        <v>4566</v>
      </c>
      <c r="B4526" s="1">
        <v>45797.668888888889</v>
      </c>
      <c r="C4526" s="2" t="s">
        <v>29</v>
      </c>
      <c r="D4526" t="s">
        <v>23</v>
      </c>
      <c r="E4526">
        <v>4438</v>
      </c>
      <c r="F4526" t="s">
        <v>14</v>
      </c>
      <c r="G4526" t="s">
        <v>58</v>
      </c>
      <c r="H4526" t="s">
        <v>16</v>
      </c>
      <c r="I4526">
        <v>0</v>
      </c>
      <c r="J4526">
        <v>0</v>
      </c>
      <c r="K4526">
        <v>0</v>
      </c>
    </row>
    <row r="4527" spans="1:11" x14ac:dyDescent="0.25">
      <c r="A4527" t="s">
        <v>4567</v>
      </c>
      <c r="B4527" s="1">
        <v>45945.165138888886</v>
      </c>
      <c r="C4527" s="2" t="s">
        <v>22</v>
      </c>
      <c r="D4527" t="s">
        <v>45</v>
      </c>
      <c r="E4527">
        <v>14801</v>
      </c>
      <c r="F4527" t="s">
        <v>99</v>
      </c>
      <c r="G4527" t="s">
        <v>34</v>
      </c>
      <c r="H4527" t="s">
        <v>178</v>
      </c>
      <c r="I4527">
        <v>148.01</v>
      </c>
      <c r="J4527">
        <v>0</v>
      </c>
      <c r="K4527">
        <v>148.01</v>
      </c>
    </row>
    <row r="4528" spans="1:11" x14ac:dyDescent="0.25">
      <c r="A4528" t="s">
        <v>4568</v>
      </c>
      <c r="B4528" s="1">
        <v>45801.939259259256</v>
      </c>
      <c r="C4528" s="2" t="s">
        <v>39</v>
      </c>
      <c r="D4528" t="s">
        <v>23</v>
      </c>
      <c r="E4528">
        <v>1072</v>
      </c>
      <c r="F4528" t="s">
        <v>14</v>
      </c>
      <c r="G4528" t="s">
        <v>34</v>
      </c>
      <c r="H4528" t="s">
        <v>16</v>
      </c>
      <c r="I4528">
        <v>0</v>
      </c>
      <c r="J4528">
        <v>0</v>
      </c>
      <c r="K4528">
        <v>0</v>
      </c>
    </row>
    <row r="4529" spans="1:11" x14ac:dyDescent="0.25">
      <c r="A4529" t="s">
        <v>4569</v>
      </c>
      <c r="B4529" s="1">
        <v>45864.910856481481</v>
      </c>
      <c r="C4529" s="2" t="s">
        <v>18</v>
      </c>
      <c r="D4529" t="s">
        <v>45</v>
      </c>
      <c r="E4529">
        <v>47082</v>
      </c>
      <c r="F4529" t="s">
        <v>14</v>
      </c>
      <c r="G4529" t="s">
        <v>15</v>
      </c>
      <c r="H4529" t="s">
        <v>46</v>
      </c>
      <c r="I4529">
        <v>470.82</v>
      </c>
      <c r="J4529">
        <v>0</v>
      </c>
      <c r="K4529">
        <v>470.82</v>
      </c>
    </row>
    <row r="4530" spans="1:11" x14ac:dyDescent="0.25">
      <c r="A4530" t="s">
        <v>4570</v>
      </c>
      <c r="B4530" s="1">
        <v>46050.538414351853</v>
      </c>
      <c r="C4530" s="2" t="s">
        <v>39</v>
      </c>
      <c r="D4530" t="s">
        <v>19</v>
      </c>
      <c r="E4530">
        <v>95873</v>
      </c>
      <c r="F4530" t="s">
        <v>50</v>
      </c>
      <c r="G4530" t="s">
        <v>20</v>
      </c>
      <c r="H4530" t="s">
        <v>16</v>
      </c>
      <c r="I4530">
        <v>5</v>
      </c>
      <c r="J4530">
        <v>0</v>
      </c>
      <c r="K4530">
        <v>5</v>
      </c>
    </row>
    <row r="4531" spans="1:11" x14ac:dyDescent="0.25">
      <c r="A4531" t="s">
        <v>4571</v>
      </c>
      <c r="B4531" s="1">
        <v>45934.353402777779</v>
      </c>
      <c r="C4531" s="2" t="s">
        <v>41</v>
      </c>
      <c r="D4531" t="s">
        <v>33</v>
      </c>
      <c r="E4531">
        <v>26710</v>
      </c>
      <c r="F4531" t="s">
        <v>14</v>
      </c>
      <c r="G4531" t="s">
        <v>24</v>
      </c>
      <c r="H4531" t="s">
        <v>16</v>
      </c>
      <c r="I4531">
        <v>0</v>
      </c>
      <c r="J4531">
        <v>0</v>
      </c>
      <c r="K4531">
        <v>0</v>
      </c>
    </row>
    <row r="4532" spans="1:11" x14ac:dyDescent="0.25">
      <c r="A4532" t="s">
        <v>4572</v>
      </c>
      <c r="B4532" s="1">
        <v>46085.835648148146</v>
      </c>
      <c r="C4532" s="2" t="s">
        <v>12</v>
      </c>
      <c r="D4532" t="s">
        <v>23</v>
      </c>
      <c r="E4532">
        <v>561</v>
      </c>
      <c r="F4532" t="s">
        <v>50</v>
      </c>
      <c r="G4532" t="s">
        <v>84</v>
      </c>
      <c r="H4532" t="s">
        <v>16</v>
      </c>
      <c r="I4532">
        <v>0</v>
      </c>
      <c r="J4532">
        <v>0</v>
      </c>
      <c r="K4532">
        <v>0</v>
      </c>
    </row>
    <row r="4533" spans="1:11" x14ac:dyDescent="0.25">
      <c r="A4533" t="s">
        <v>4573</v>
      </c>
      <c r="B4533" s="1">
        <v>45999.960775462961</v>
      </c>
      <c r="C4533" s="2" t="s">
        <v>12</v>
      </c>
      <c r="D4533" t="s">
        <v>45</v>
      </c>
      <c r="E4533">
        <v>61448</v>
      </c>
      <c r="F4533" t="s">
        <v>14</v>
      </c>
      <c r="G4533" t="s">
        <v>20</v>
      </c>
      <c r="H4533" t="s">
        <v>56</v>
      </c>
      <c r="I4533">
        <v>614.48</v>
      </c>
      <c r="J4533">
        <v>0</v>
      </c>
      <c r="K4533">
        <v>614.48</v>
      </c>
    </row>
    <row r="4534" spans="1:11" x14ac:dyDescent="0.25">
      <c r="A4534" t="s">
        <v>4574</v>
      </c>
      <c r="B4534" s="1">
        <v>46044.220324074071</v>
      </c>
      <c r="C4534" s="2" t="s">
        <v>32</v>
      </c>
      <c r="D4534" t="s">
        <v>13</v>
      </c>
      <c r="E4534">
        <v>191500</v>
      </c>
      <c r="F4534" t="s">
        <v>14</v>
      </c>
      <c r="G4534" t="s">
        <v>24</v>
      </c>
      <c r="H4534" t="s">
        <v>16</v>
      </c>
      <c r="I4534">
        <v>3542.75</v>
      </c>
      <c r="J4534">
        <v>1417.1</v>
      </c>
      <c r="K4534">
        <v>2125.65</v>
      </c>
    </row>
    <row r="4535" spans="1:11" x14ac:dyDescent="0.25">
      <c r="A4535" t="s">
        <v>4575</v>
      </c>
      <c r="B4535" s="1">
        <v>45796.152106481481</v>
      </c>
      <c r="C4535" s="2" t="s">
        <v>32</v>
      </c>
      <c r="D4535" t="s">
        <v>45</v>
      </c>
      <c r="E4535">
        <v>1663</v>
      </c>
      <c r="F4535" t="s">
        <v>14</v>
      </c>
      <c r="G4535" t="s">
        <v>20</v>
      </c>
      <c r="H4535" t="s">
        <v>71</v>
      </c>
      <c r="I4535">
        <v>16.63</v>
      </c>
      <c r="J4535">
        <v>0</v>
      </c>
      <c r="K4535">
        <v>16.63</v>
      </c>
    </row>
    <row r="4536" spans="1:11" x14ac:dyDescent="0.25">
      <c r="A4536" t="s">
        <v>4576</v>
      </c>
      <c r="B4536" s="1">
        <v>45842.096180555556</v>
      </c>
      <c r="C4536" s="2" t="s">
        <v>32</v>
      </c>
      <c r="D4536" t="s">
        <v>23</v>
      </c>
      <c r="E4536">
        <v>779</v>
      </c>
      <c r="F4536" t="s">
        <v>14</v>
      </c>
      <c r="G4536" t="s">
        <v>51</v>
      </c>
      <c r="H4536" t="s">
        <v>16</v>
      </c>
      <c r="I4536">
        <v>0</v>
      </c>
      <c r="J4536">
        <v>0</v>
      </c>
      <c r="K4536">
        <v>0</v>
      </c>
    </row>
    <row r="4537" spans="1:11" x14ac:dyDescent="0.25">
      <c r="A4537" t="s">
        <v>4577</v>
      </c>
      <c r="B4537" s="1">
        <v>45960.63349537037</v>
      </c>
      <c r="C4537" s="2" t="s">
        <v>41</v>
      </c>
      <c r="D4537" t="s">
        <v>13</v>
      </c>
      <c r="E4537">
        <v>108000</v>
      </c>
      <c r="F4537" t="s">
        <v>50</v>
      </c>
      <c r="G4537" t="s">
        <v>27</v>
      </c>
      <c r="H4537" t="s">
        <v>16</v>
      </c>
      <c r="I4537">
        <v>1998</v>
      </c>
      <c r="J4537">
        <v>799.2</v>
      </c>
      <c r="K4537">
        <v>1198.8</v>
      </c>
    </row>
    <row r="4538" spans="1:11" x14ac:dyDescent="0.25">
      <c r="A4538" t="s">
        <v>4578</v>
      </c>
      <c r="B4538" s="1">
        <v>45828.600787037038</v>
      </c>
      <c r="C4538" s="2" t="s">
        <v>29</v>
      </c>
      <c r="D4538" t="s">
        <v>19</v>
      </c>
      <c r="E4538">
        <v>147247</v>
      </c>
      <c r="F4538" t="s">
        <v>14</v>
      </c>
      <c r="G4538" t="s">
        <v>58</v>
      </c>
      <c r="H4538" t="s">
        <v>16</v>
      </c>
      <c r="I4538">
        <v>5</v>
      </c>
      <c r="J4538">
        <v>0</v>
      </c>
      <c r="K4538">
        <v>5</v>
      </c>
    </row>
    <row r="4539" spans="1:11" x14ac:dyDescent="0.25">
      <c r="A4539" t="s">
        <v>4579</v>
      </c>
      <c r="B4539" s="1">
        <v>45911.524664351855</v>
      </c>
      <c r="C4539" s="2" t="s">
        <v>12</v>
      </c>
      <c r="D4539" t="s">
        <v>13</v>
      </c>
      <c r="E4539">
        <v>203000</v>
      </c>
      <c r="F4539" t="s">
        <v>14</v>
      </c>
      <c r="G4539" t="s">
        <v>58</v>
      </c>
      <c r="H4539" t="s">
        <v>16</v>
      </c>
      <c r="I4539">
        <v>3755.5</v>
      </c>
      <c r="J4539">
        <v>1502.2</v>
      </c>
      <c r="K4539">
        <v>2253.3000000000002</v>
      </c>
    </row>
    <row r="4540" spans="1:11" x14ac:dyDescent="0.25">
      <c r="A4540" t="s">
        <v>4580</v>
      </c>
      <c r="B4540" s="1">
        <v>46088.244131944448</v>
      </c>
      <c r="C4540" s="2" t="s">
        <v>26</v>
      </c>
      <c r="D4540" t="s">
        <v>13</v>
      </c>
      <c r="E4540">
        <v>132000</v>
      </c>
      <c r="F4540" t="s">
        <v>14</v>
      </c>
      <c r="G4540" t="s">
        <v>24</v>
      </c>
      <c r="H4540" t="s">
        <v>16</v>
      </c>
      <c r="I4540">
        <v>2442</v>
      </c>
      <c r="J4540">
        <v>976.8</v>
      </c>
      <c r="K4540">
        <v>1465.2</v>
      </c>
    </row>
    <row r="4541" spans="1:11" x14ac:dyDescent="0.25">
      <c r="A4541" t="s">
        <v>4581</v>
      </c>
      <c r="B4541" s="1">
        <v>46060.284432870372</v>
      </c>
      <c r="C4541" s="2" t="s">
        <v>39</v>
      </c>
      <c r="D4541" t="s">
        <v>19</v>
      </c>
      <c r="E4541">
        <v>101899</v>
      </c>
      <c r="F4541" t="s">
        <v>50</v>
      </c>
      <c r="G4541" t="s">
        <v>20</v>
      </c>
      <c r="H4541" t="s">
        <v>16</v>
      </c>
      <c r="I4541">
        <v>5</v>
      </c>
      <c r="J4541">
        <v>0</v>
      </c>
      <c r="K4541">
        <v>5</v>
      </c>
    </row>
    <row r="4542" spans="1:11" x14ac:dyDescent="0.25">
      <c r="A4542" t="s">
        <v>4582</v>
      </c>
      <c r="B4542" s="1">
        <v>45989.244108796294</v>
      </c>
      <c r="C4542" s="2" t="s">
        <v>29</v>
      </c>
      <c r="D4542" t="s">
        <v>13</v>
      </c>
      <c r="E4542">
        <v>114500</v>
      </c>
      <c r="F4542" t="s">
        <v>14</v>
      </c>
      <c r="G4542" t="s">
        <v>24</v>
      </c>
      <c r="H4542" t="s">
        <v>16</v>
      </c>
      <c r="I4542">
        <v>2118.25</v>
      </c>
      <c r="J4542">
        <v>847.3</v>
      </c>
      <c r="K4542">
        <v>1270.95</v>
      </c>
    </row>
    <row r="4543" spans="1:11" x14ac:dyDescent="0.25">
      <c r="A4543" t="s">
        <v>4583</v>
      </c>
      <c r="B4543" s="1">
        <v>46123.720393518517</v>
      </c>
      <c r="C4543" s="2" t="s">
        <v>41</v>
      </c>
      <c r="D4543" t="s">
        <v>13</v>
      </c>
      <c r="E4543">
        <v>38500</v>
      </c>
      <c r="F4543" t="s">
        <v>50</v>
      </c>
      <c r="G4543" t="s">
        <v>24</v>
      </c>
      <c r="H4543" t="s">
        <v>16</v>
      </c>
      <c r="I4543">
        <v>712.25</v>
      </c>
      <c r="J4543">
        <v>284.89999999999998</v>
      </c>
      <c r="K4543">
        <v>427.35</v>
      </c>
    </row>
    <row r="4544" spans="1:11" x14ac:dyDescent="0.25">
      <c r="A4544" t="s">
        <v>4584</v>
      </c>
      <c r="B4544" s="1">
        <v>46009.368055555555</v>
      </c>
      <c r="C4544" s="2" t="s">
        <v>22</v>
      </c>
      <c r="D4544" t="s">
        <v>33</v>
      </c>
      <c r="E4544">
        <v>64148</v>
      </c>
      <c r="F4544" t="s">
        <v>14</v>
      </c>
      <c r="G4544" t="s">
        <v>34</v>
      </c>
      <c r="H4544" t="s">
        <v>16</v>
      </c>
      <c r="I4544">
        <v>0</v>
      </c>
      <c r="J4544">
        <v>0</v>
      </c>
      <c r="K4544">
        <v>0</v>
      </c>
    </row>
    <row r="4545" spans="1:11" x14ac:dyDescent="0.25">
      <c r="A4545" t="s">
        <v>4585</v>
      </c>
      <c r="B4545" s="1">
        <v>45907.272337962961</v>
      </c>
      <c r="C4545" s="2" t="s">
        <v>26</v>
      </c>
      <c r="D4545" t="s">
        <v>19</v>
      </c>
      <c r="E4545">
        <v>96707</v>
      </c>
      <c r="F4545" t="s">
        <v>14</v>
      </c>
      <c r="G4545" t="s">
        <v>84</v>
      </c>
      <c r="H4545" t="s">
        <v>16</v>
      </c>
      <c r="I4545">
        <v>5</v>
      </c>
      <c r="J4545">
        <v>0</v>
      </c>
      <c r="K4545">
        <v>5</v>
      </c>
    </row>
    <row r="4546" spans="1:11" x14ac:dyDescent="0.25">
      <c r="A4546" t="s">
        <v>4586</v>
      </c>
      <c r="B4546" s="1">
        <v>46142.643206018518</v>
      </c>
      <c r="C4546" s="2" t="s">
        <v>41</v>
      </c>
      <c r="D4546" t="s">
        <v>23</v>
      </c>
      <c r="E4546">
        <v>3767</v>
      </c>
      <c r="F4546" t="s">
        <v>50</v>
      </c>
      <c r="G4546" t="s">
        <v>24</v>
      </c>
      <c r="H4546" t="s">
        <v>16</v>
      </c>
      <c r="I4546">
        <v>0</v>
      </c>
      <c r="J4546">
        <v>0</v>
      </c>
      <c r="K4546">
        <v>0</v>
      </c>
    </row>
    <row r="4547" spans="1:11" x14ac:dyDescent="0.25">
      <c r="A4547" t="s">
        <v>4587</v>
      </c>
      <c r="B4547" s="1">
        <v>46089.621562499997</v>
      </c>
      <c r="C4547" s="2" t="s">
        <v>12</v>
      </c>
      <c r="D4547" t="s">
        <v>13</v>
      </c>
      <c r="E4547">
        <v>60000</v>
      </c>
      <c r="F4547" t="s">
        <v>14</v>
      </c>
      <c r="G4547" t="s">
        <v>27</v>
      </c>
      <c r="H4547" t="s">
        <v>16</v>
      </c>
      <c r="I4547">
        <v>1110</v>
      </c>
      <c r="J4547">
        <v>444</v>
      </c>
      <c r="K4547">
        <v>666</v>
      </c>
    </row>
    <row r="4548" spans="1:11" x14ac:dyDescent="0.25">
      <c r="A4548" t="s">
        <v>4588</v>
      </c>
      <c r="B4548" s="1">
        <v>46100.39472222222</v>
      </c>
      <c r="C4548" s="2" t="s">
        <v>22</v>
      </c>
      <c r="D4548" t="s">
        <v>45</v>
      </c>
      <c r="E4548">
        <v>77821</v>
      </c>
      <c r="F4548" t="s">
        <v>14</v>
      </c>
      <c r="G4548" t="s">
        <v>27</v>
      </c>
      <c r="H4548" t="s">
        <v>46</v>
      </c>
      <c r="I4548">
        <v>778.21</v>
      </c>
      <c r="J4548">
        <v>0</v>
      </c>
      <c r="K4548">
        <v>778.21</v>
      </c>
    </row>
    <row r="4549" spans="1:11" x14ac:dyDescent="0.25">
      <c r="A4549" t="s">
        <v>4589</v>
      </c>
      <c r="B4549" s="1">
        <v>45931.264664351853</v>
      </c>
      <c r="C4549" s="2" t="s">
        <v>29</v>
      </c>
      <c r="D4549" t="s">
        <v>23</v>
      </c>
      <c r="E4549">
        <v>1639</v>
      </c>
      <c r="F4549" t="s">
        <v>14</v>
      </c>
      <c r="G4549" t="s">
        <v>30</v>
      </c>
      <c r="H4549" t="s">
        <v>16</v>
      </c>
      <c r="I4549">
        <v>0</v>
      </c>
      <c r="J4549">
        <v>0</v>
      </c>
      <c r="K4549">
        <v>0</v>
      </c>
    </row>
    <row r="4550" spans="1:11" x14ac:dyDescent="0.25">
      <c r="A4550" t="s">
        <v>4590</v>
      </c>
      <c r="B4550" s="1">
        <v>45911.511689814812</v>
      </c>
      <c r="C4550" s="2" t="s">
        <v>39</v>
      </c>
      <c r="D4550" t="s">
        <v>45</v>
      </c>
      <c r="E4550">
        <v>48595</v>
      </c>
      <c r="F4550" t="s">
        <v>14</v>
      </c>
      <c r="G4550" t="s">
        <v>24</v>
      </c>
      <c r="H4550" t="s">
        <v>46</v>
      </c>
      <c r="I4550">
        <v>485.95</v>
      </c>
      <c r="J4550">
        <v>0</v>
      </c>
      <c r="K4550">
        <v>485.95</v>
      </c>
    </row>
    <row r="4551" spans="1:11" x14ac:dyDescent="0.25">
      <c r="A4551" t="s">
        <v>4591</v>
      </c>
      <c r="B4551" s="1">
        <v>46080.415254629632</v>
      </c>
      <c r="C4551" s="2" t="s">
        <v>32</v>
      </c>
      <c r="D4551" t="s">
        <v>33</v>
      </c>
      <c r="E4551">
        <v>112430</v>
      </c>
      <c r="F4551" t="s">
        <v>14</v>
      </c>
      <c r="G4551" t="s">
        <v>34</v>
      </c>
      <c r="H4551" t="s">
        <v>16</v>
      </c>
      <c r="I4551">
        <v>0</v>
      </c>
      <c r="J4551">
        <v>0</v>
      </c>
      <c r="K4551">
        <v>0</v>
      </c>
    </row>
    <row r="4552" spans="1:11" x14ac:dyDescent="0.25">
      <c r="A4552" t="s">
        <v>4592</v>
      </c>
      <c r="B4552" s="1">
        <v>45896.316805555558</v>
      </c>
      <c r="C4552" s="2" t="s">
        <v>26</v>
      </c>
      <c r="D4552" t="s">
        <v>45</v>
      </c>
      <c r="E4552">
        <v>65086</v>
      </c>
      <c r="F4552" t="s">
        <v>14</v>
      </c>
      <c r="G4552" t="s">
        <v>30</v>
      </c>
      <c r="H4552" t="s">
        <v>178</v>
      </c>
      <c r="I4552">
        <v>650.86</v>
      </c>
      <c r="J4552">
        <v>0</v>
      </c>
      <c r="K4552">
        <v>650.86</v>
      </c>
    </row>
    <row r="4553" spans="1:11" x14ac:dyDescent="0.25">
      <c r="A4553" t="s">
        <v>4593</v>
      </c>
      <c r="B4553" s="1">
        <v>46127.720601851855</v>
      </c>
      <c r="C4553" s="2" t="s">
        <v>41</v>
      </c>
      <c r="D4553" t="s">
        <v>33</v>
      </c>
      <c r="E4553">
        <v>111185</v>
      </c>
      <c r="F4553" t="s">
        <v>14</v>
      </c>
      <c r="G4553" t="s">
        <v>51</v>
      </c>
      <c r="H4553" t="s">
        <v>16</v>
      </c>
      <c r="I4553">
        <v>0</v>
      </c>
      <c r="J4553">
        <v>0</v>
      </c>
      <c r="K4553">
        <v>0</v>
      </c>
    </row>
    <row r="4554" spans="1:11" x14ac:dyDescent="0.25">
      <c r="A4554" t="s">
        <v>4594</v>
      </c>
      <c r="B4554" s="1">
        <v>46139.751747685186</v>
      </c>
      <c r="C4554" s="2" t="s">
        <v>22</v>
      </c>
      <c r="D4554" t="s">
        <v>33</v>
      </c>
      <c r="E4554">
        <v>34577</v>
      </c>
      <c r="F4554" t="s">
        <v>14</v>
      </c>
      <c r="G4554" t="s">
        <v>15</v>
      </c>
      <c r="H4554" t="s">
        <v>16</v>
      </c>
      <c r="I4554">
        <v>0</v>
      </c>
      <c r="J4554">
        <v>0</v>
      </c>
      <c r="K4554">
        <v>0</v>
      </c>
    </row>
    <row r="4555" spans="1:11" x14ac:dyDescent="0.25">
      <c r="A4555" t="s">
        <v>4595</v>
      </c>
      <c r="B4555" s="1">
        <v>45857.443888888891</v>
      </c>
      <c r="C4555" s="2" t="s">
        <v>12</v>
      </c>
      <c r="D4555" t="s">
        <v>19</v>
      </c>
      <c r="E4555">
        <v>76839</v>
      </c>
      <c r="F4555" t="s">
        <v>14</v>
      </c>
      <c r="G4555" t="s">
        <v>58</v>
      </c>
      <c r="H4555" t="s">
        <v>16</v>
      </c>
      <c r="I4555">
        <v>5</v>
      </c>
      <c r="J4555">
        <v>0</v>
      </c>
      <c r="K4555">
        <v>5</v>
      </c>
    </row>
    <row r="4556" spans="1:11" x14ac:dyDescent="0.25">
      <c r="A4556" t="s">
        <v>4596</v>
      </c>
      <c r="B4556" s="1">
        <v>45804.974421296298</v>
      </c>
      <c r="C4556" s="2" t="s">
        <v>22</v>
      </c>
      <c r="D4556" t="s">
        <v>33</v>
      </c>
      <c r="E4556">
        <v>48232</v>
      </c>
      <c r="F4556" t="s">
        <v>14</v>
      </c>
      <c r="G4556" t="s">
        <v>20</v>
      </c>
      <c r="H4556" t="s">
        <v>16</v>
      </c>
      <c r="I4556">
        <v>0</v>
      </c>
      <c r="J4556">
        <v>0</v>
      </c>
      <c r="K4556">
        <v>0</v>
      </c>
    </row>
    <row r="4557" spans="1:11" x14ac:dyDescent="0.25">
      <c r="A4557" t="s">
        <v>4597</v>
      </c>
      <c r="B4557" s="1">
        <v>46123.737662037034</v>
      </c>
      <c r="C4557" s="2" t="s">
        <v>26</v>
      </c>
      <c r="D4557" t="s">
        <v>19</v>
      </c>
      <c r="E4557">
        <v>132766</v>
      </c>
      <c r="F4557" t="s">
        <v>14</v>
      </c>
      <c r="G4557" t="s">
        <v>58</v>
      </c>
      <c r="H4557" t="s">
        <v>16</v>
      </c>
      <c r="I4557">
        <v>5</v>
      </c>
      <c r="J4557">
        <v>0</v>
      </c>
      <c r="K4557">
        <v>5</v>
      </c>
    </row>
    <row r="4558" spans="1:11" x14ac:dyDescent="0.25">
      <c r="A4558" t="s">
        <v>4598</v>
      </c>
      <c r="B4558" s="1">
        <v>45973.864999999998</v>
      </c>
      <c r="C4558" s="2" t="s">
        <v>41</v>
      </c>
      <c r="D4558" t="s">
        <v>23</v>
      </c>
      <c r="E4558">
        <v>1338</v>
      </c>
      <c r="F4558" t="s">
        <v>14</v>
      </c>
      <c r="G4558" t="s">
        <v>15</v>
      </c>
      <c r="H4558" t="s">
        <v>16</v>
      </c>
      <c r="I4558">
        <v>0</v>
      </c>
      <c r="J4558">
        <v>0</v>
      </c>
      <c r="K4558">
        <v>0</v>
      </c>
    </row>
    <row r="4559" spans="1:11" x14ac:dyDescent="0.25">
      <c r="A4559" t="s">
        <v>4599</v>
      </c>
      <c r="B4559" s="1">
        <v>45908.227337962962</v>
      </c>
      <c r="C4559" s="2" t="s">
        <v>41</v>
      </c>
      <c r="D4559" t="s">
        <v>45</v>
      </c>
      <c r="E4559">
        <v>89975</v>
      </c>
      <c r="F4559" t="s">
        <v>14</v>
      </c>
      <c r="G4559" t="s">
        <v>34</v>
      </c>
      <c r="H4559" t="s">
        <v>46</v>
      </c>
      <c r="I4559">
        <v>899.75</v>
      </c>
      <c r="J4559">
        <v>0</v>
      </c>
      <c r="K4559">
        <v>899.75</v>
      </c>
    </row>
    <row r="4560" spans="1:11" x14ac:dyDescent="0.25">
      <c r="A4560" t="s">
        <v>4600</v>
      </c>
      <c r="B4560" s="1">
        <v>45808.047418981485</v>
      </c>
      <c r="C4560" s="2" t="s">
        <v>22</v>
      </c>
      <c r="D4560" t="s">
        <v>19</v>
      </c>
      <c r="E4560">
        <v>51552</v>
      </c>
      <c r="F4560" t="s">
        <v>14</v>
      </c>
      <c r="G4560" t="s">
        <v>27</v>
      </c>
      <c r="H4560" t="s">
        <v>16</v>
      </c>
      <c r="I4560">
        <v>5</v>
      </c>
      <c r="J4560">
        <v>0</v>
      </c>
      <c r="K4560">
        <v>5</v>
      </c>
    </row>
    <row r="4561" spans="1:11" x14ac:dyDescent="0.25">
      <c r="A4561" t="s">
        <v>4601</v>
      </c>
      <c r="B4561" s="1">
        <v>45946.034803240742</v>
      </c>
      <c r="C4561" s="2" t="s">
        <v>39</v>
      </c>
      <c r="D4561" t="s">
        <v>45</v>
      </c>
      <c r="E4561">
        <v>46392</v>
      </c>
      <c r="F4561" t="s">
        <v>14</v>
      </c>
      <c r="G4561" t="s">
        <v>27</v>
      </c>
      <c r="H4561" t="s">
        <v>59</v>
      </c>
      <c r="I4561">
        <v>463.92</v>
      </c>
      <c r="J4561">
        <v>0</v>
      </c>
      <c r="K4561">
        <v>463.92</v>
      </c>
    </row>
    <row r="4562" spans="1:11" x14ac:dyDescent="0.25">
      <c r="A4562" t="s">
        <v>4602</v>
      </c>
      <c r="B4562" s="1">
        <v>45947.412789351853</v>
      </c>
      <c r="C4562" s="2" t="s">
        <v>12</v>
      </c>
      <c r="D4562" t="s">
        <v>13</v>
      </c>
      <c r="E4562">
        <v>175500</v>
      </c>
      <c r="F4562" t="s">
        <v>14</v>
      </c>
      <c r="G4562" t="s">
        <v>58</v>
      </c>
      <c r="H4562" t="s">
        <v>16</v>
      </c>
      <c r="I4562">
        <v>3246.75</v>
      </c>
      <c r="J4562">
        <v>1298.7</v>
      </c>
      <c r="K4562">
        <v>1948.05</v>
      </c>
    </row>
    <row r="4563" spans="1:11" x14ac:dyDescent="0.25">
      <c r="A4563" t="s">
        <v>4603</v>
      </c>
      <c r="B4563" s="1">
        <v>46132.198194444441</v>
      </c>
      <c r="C4563" s="2" t="s">
        <v>12</v>
      </c>
      <c r="D4563" t="s">
        <v>45</v>
      </c>
      <c r="E4563">
        <v>84060</v>
      </c>
      <c r="F4563" t="s">
        <v>14</v>
      </c>
      <c r="G4563" t="s">
        <v>30</v>
      </c>
      <c r="H4563" t="s">
        <v>56</v>
      </c>
      <c r="I4563">
        <v>840.6</v>
      </c>
      <c r="J4563">
        <v>0</v>
      </c>
      <c r="K4563">
        <v>840.6</v>
      </c>
    </row>
    <row r="4564" spans="1:11" x14ac:dyDescent="0.25">
      <c r="A4564" t="s">
        <v>4604</v>
      </c>
      <c r="B4564" s="1">
        <v>45988.92392361111</v>
      </c>
      <c r="C4564" s="2" t="s">
        <v>12</v>
      </c>
      <c r="D4564" t="s">
        <v>19</v>
      </c>
      <c r="E4564">
        <v>47701</v>
      </c>
      <c r="F4564" t="s">
        <v>14</v>
      </c>
      <c r="G4564" t="s">
        <v>27</v>
      </c>
      <c r="H4564" t="s">
        <v>16</v>
      </c>
      <c r="I4564">
        <v>5</v>
      </c>
      <c r="J4564">
        <v>0</v>
      </c>
      <c r="K4564">
        <v>5</v>
      </c>
    </row>
    <row r="4565" spans="1:11" x14ac:dyDescent="0.25">
      <c r="A4565" t="s">
        <v>4605</v>
      </c>
      <c r="B4565" s="1">
        <v>45959.840277777781</v>
      </c>
      <c r="C4565" s="2" t="s">
        <v>32</v>
      </c>
      <c r="D4565" t="s">
        <v>33</v>
      </c>
      <c r="E4565">
        <v>120086</v>
      </c>
      <c r="F4565" t="s">
        <v>99</v>
      </c>
      <c r="G4565" t="s">
        <v>30</v>
      </c>
      <c r="H4565" t="s">
        <v>16</v>
      </c>
      <c r="I4565">
        <v>0</v>
      </c>
      <c r="J4565">
        <v>0</v>
      </c>
      <c r="K4565">
        <v>0</v>
      </c>
    </row>
    <row r="4566" spans="1:11" x14ac:dyDescent="0.25">
      <c r="A4566" t="s">
        <v>4606</v>
      </c>
      <c r="B4566" s="1">
        <v>45933.841909722221</v>
      </c>
      <c r="C4566" s="2" t="s">
        <v>29</v>
      </c>
      <c r="D4566" t="s">
        <v>33</v>
      </c>
      <c r="E4566">
        <v>123149</v>
      </c>
      <c r="F4566" t="s">
        <v>14</v>
      </c>
      <c r="G4566" t="s">
        <v>30</v>
      </c>
      <c r="H4566" t="s">
        <v>16</v>
      </c>
      <c r="I4566">
        <v>0</v>
      </c>
      <c r="J4566">
        <v>0</v>
      </c>
      <c r="K4566">
        <v>0</v>
      </c>
    </row>
    <row r="4567" spans="1:11" x14ac:dyDescent="0.25">
      <c r="A4567" t="s">
        <v>4607</v>
      </c>
      <c r="B4567" s="1">
        <v>45884.236111111109</v>
      </c>
      <c r="C4567" s="2" t="s">
        <v>32</v>
      </c>
      <c r="D4567" t="s">
        <v>33</v>
      </c>
      <c r="E4567">
        <v>148831</v>
      </c>
      <c r="F4567" t="s">
        <v>50</v>
      </c>
      <c r="G4567" t="s">
        <v>58</v>
      </c>
      <c r="H4567" t="s">
        <v>16</v>
      </c>
      <c r="I4567">
        <v>0</v>
      </c>
      <c r="J4567">
        <v>0</v>
      </c>
      <c r="K4567">
        <v>0</v>
      </c>
    </row>
    <row r="4568" spans="1:11" x14ac:dyDescent="0.25">
      <c r="A4568" t="s">
        <v>4608</v>
      </c>
      <c r="B4568" s="1">
        <v>45887.014768518522</v>
      </c>
      <c r="C4568" s="2" t="s">
        <v>32</v>
      </c>
      <c r="D4568" t="s">
        <v>19</v>
      </c>
      <c r="E4568">
        <v>62855</v>
      </c>
      <c r="F4568" t="s">
        <v>14</v>
      </c>
      <c r="G4568" t="s">
        <v>15</v>
      </c>
      <c r="H4568" t="s">
        <v>16</v>
      </c>
      <c r="I4568">
        <v>5</v>
      </c>
      <c r="J4568">
        <v>0</v>
      </c>
      <c r="K4568">
        <v>5</v>
      </c>
    </row>
    <row r="4569" spans="1:11" x14ac:dyDescent="0.25">
      <c r="A4569" t="s">
        <v>4609</v>
      </c>
      <c r="B4569" s="1">
        <v>45800.661898148152</v>
      </c>
      <c r="C4569" s="2" t="s">
        <v>12</v>
      </c>
      <c r="D4569" t="s">
        <v>19</v>
      </c>
      <c r="E4569">
        <v>74023</v>
      </c>
      <c r="F4569" t="s">
        <v>14</v>
      </c>
      <c r="G4569" t="s">
        <v>30</v>
      </c>
      <c r="H4569" t="s">
        <v>16</v>
      </c>
      <c r="I4569">
        <v>5</v>
      </c>
      <c r="J4569">
        <v>0</v>
      </c>
      <c r="K4569">
        <v>5</v>
      </c>
    </row>
    <row r="4570" spans="1:11" x14ac:dyDescent="0.25">
      <c r="A4570" t="s">
        <v>4610</v>
      </c>
      <c r="B4570" s="1">
        <v>45983.133784722224</v>
      </c>
      <c r="C4570" s="2" t="s">
        <v>26</v>
      </c>
      <c r="D4570" t="s">
        <v>13</v>
      </c>
      <c r="E4570">
        <v>161500</v>
      </c>
      <c r="F4570" t="s">
        <v>14</v>
      </c>
      <c r="G4570" t="s">
        <v>51</v>
      </c>
      <c r="H4570" t="s">
        <v>16</v>
      </c>
      <c r="I4570">
        <v>2987.75</v>
      </c>
      <c r="J4570">
        <v>1195.0999999999999</v>
      </c>
      <c r="K4570">
        <v>1792.65</v>
      </c>
    </row>
    <row r="4571" spans="1:11" x14ac:dyDescent="0.25">
      <c r="A4571" t="s">
        <v>4611</v>
      </c>
      <c r="B4571" s="1">
        <v>46062.277025462965</v>
      </c>
      <c r="C4571" s="2" t="s">
        <v>22</v>
      </c>
      <c r="D4571" t="s">
        <v>19</v>
      </c>
      <c r="E4571">
        <v>30421</v>
      </c>
      <c r="F4571" t="s">
        <v>14</v>
      </c>
      <c r="G4571" t="s">
        <v>24</v>
      </c>
      <c r="H4571" t="s">
        <v>16</v>
      </c>
      <c r="I4571">
        <v>5</v>
      </c>
      <c r="J4571">
        <v>0</v>
      </c>
      <c r="K4571">
        <v>5</v>
      </c>
    </row>
    <row r="4572" spans="1:11" x14ac:dyDescent="0.25">
      <c r="A4572" t="s">
        <v>4612</v>
      </c>
      <c r="B4572" s="1">
        <v>46026.664872685185</v>
      </c>
      <c r="C4572" s="2" t="s">
        <v>18</v>
      </c>
      <c r="D4572" t="s">
        <v>33</v>
      </c>
      <c r="E4572">
        <v>73582</v>
      </c>
      <c r="F4572" t="s">
        <v>14</v>
      </c>
      <c r="G4572" t="s">
        <v>15</v>
      </c>
      <c r="H4572" t="s">
        <v>16</v>
      </c>
      <c r="I4572">
        <v>0</v>
      </c>
      <c r="J4572">
        <v>0</v>
      </c>
      <c r="K4572">
        <v>0</v>
      </c>
    </row>
    <row r="4573" spans="1:11" x14ac:dyDescent="0.25">
      <c r="A4573" t="s">
        <v>4613</v>
      </c>
      <c r="B4573" s="1">
        <v>45853.843761574077</v>
      </c>
      <c r="C4573" s="2" t="s">
        <v>39</v>
      </c>
      <c r="D4573" t="s">
        <v>19</v>
      </c>
      <c r="E4573">
        <v>140968</v>
      </c>
      <c r="F4573" t="s">
        <v>14</v>
      </c>
      <c r="G4573" t="s">
        <v>84</v>
      </c>
      <c r="H4573" t="s">
        <v>16</v>
      </c>
      <c r="I4573">
        <v>5</v>
      </c>
      <c r="J4573">
        <v>0</v>
      </c>
      <c r="K4573">
        <v>5</v>
      </c>
    </row>
    <row r="4574" spans="1:11" x14ac:dyDescent="0.25">
      <c r="A4574" t="s">
        <v>4614</v>
      </c>
      <c r="B4574" s="1">
        <v>45811.749236111114</v>
      </c>
      <c r="C4574" s="2" t="s">
        <v>18</v>
      </c>
      <c r="D4574" t="s">
        <v>19</v>
      </c>
      <c r="E4574">
        <v>70401</v>
      </c>
      <c r="F4574" t="s">
        <v>50</v>
      </c>
      <c r="G4574" t="s">
        <v>58</v>
      </c>
      <c r="H4574" t="s">
        <v>16</v>
      </c>
      <c r="I4574">
        <v>5</v>
      </c>
      <c r="J4574">
        <v>0</v>
      </c>
      <c r="K4574">
        <v>5</v>
      </c>
    </row>
    <row r="4575" spans="1:11" x14ac:dyDescent="0.25">
      <c r="A4575" t="s">
        <v>4615</v>
      </c>
      <c r="B4575" s="1">
        <v>45894.856851851851</v>
      </c>
      <c r="C4575" s="2" t="s">
        <v>41</v>
      </c>
      <c r="D4575" t="s">
        <v>45</v>
      </c>
      <c r="E4575">
        <v>66432</v>
      </c>
      <c r="F4575" t="s">
        <v>14</v>
      </c>
      <c r="G4575" t="s">
        <v>15</v>
      </c>
      <c r="H4575" t="s">
        <v>56</v>
      </c>
      <c r="I4575">
        <v>664.32</v>
      </c>
      <c r="J4575">
        <v>0</v>
      </c>
      <c r="K4575">
        <v>664.32</v>
      </c>
    </row>
    <row r="4576" spans="1:11" x14ac:dyDescent="0.25">
      <c r="A4576" t="s">
        <v>4616</v>
      </c>
      <c r="B4576" s="1">
        <v>46026.867280092592</v>
      </c>
      <c r="C4576" s="2" t="s">
        <v>39</v>
      </c>
      <c r="D4576" t="s">
        <v>45</v>
      </c>
      <c r="E4576">
        <v>105870</v>
      </c>
      <c r="F4576" t="s">
        <v>14</v>
      </c>
      <c r="G4576" t="s">
        <v>27</v>
      </c>
      <c r="H4576" t="s">
        <v>71</v>
      </c>
      <c r="I4576">
        <v>1058.7</v>
      </c>
      <c r="J4576">
        <v>0</v>
      </c>
      <c r="K4576">
        <v>1058.7</v>
      </c>
    </row>
    <row r="4577" spans="1:11" x14ac:dyDescent="0.25">
      <c r="A4577" t="s">
        <v>4617</v>
      </c>
      <c r="B4577" s="1">
        <v>45989.552939814814</v>
      </c>
      <c r="C4577" s="2" t="s">
        <v>32</v>
      </c>
      <c r="D4577" t="s">
        <v>33</v>
      </c>
      <c r="E4577">
        <v>59998</v>
      </c>
      <c r="F4577" t="s">
        <v>14</v>
      </c>
      <c r="G4577" t="s">
        <v>24</v>
      </c>
      <c r="H4577" t="s">
        <v>16</v>
      </c>
      <c r="I4577">
        <v>0</v>
      </c>
      <c r="J4577">
        <v>0</v>
      </c>
      <c r="K4577">
        <v>0</v>
      </c>
    </row>
    <row r="4578" spans="1:11" x14ac:dyDescent="0.25">
      <c r="A4578" t="s">
        <v>4618</v>
      </c>
      <c r="B4578" s="1">
        <v>46113.488553240742</v>
      </c>
      <c r="C4578" s="2" t="s">
        <v>32</v>
      </c>
      <c r="D4578" t="s">
        <v>23</v>
      </c>
      <c r="E4578">
        <v>3056</v>
      </c>
      <c r="F4578" t="s">
        <v>14</v>
      </c>
      <c r="G4578" t="s">
        <v>84</v>
      </c>
      <c r="H4578" t="s">
        <v>16</v>
      </c>
      <c r="I4578">
        <v>0</v>
      </c>
      <c r="J4578">
        <v>0</v>
      </c>
      <c r="K4578">
        <v>0</v>
      </c>
    </row>
    <row r="4579" spans="1:11" x14ac:dyDescent="0.25">
      <c r="A4579" t="s">
        <v>4619</v>
      </c>
      <c r="B4579" s="1">
        <v>45800.145115740743</v>
      </c>
      <c r="C4579" s="2" t="s">
        <v>41</v>
      </c>
      <c r="D4579" t="s">
        <v>19</v>
      </c>
      <c r="E4579">
        <v>24595</v>
      </c>
      <c r="F4579" t="s">
        <v>14</v>
      </c>
      <c r="G4579" t="s">
        <v>15</v>
      </c>
      <c r="H4579" t="s">
        <v>16</v>
      </c>
      <c r="I4579">
        <v>5</v>
      </c>
      <c r="J4579">
        <v>0</v>
      </c>
      <c r="K4579">
        <v>5</v>
      </c>
    </row>
    <row r="4580" spans="1:11" x14ac:dyDescent="0.25">
      <c r="A4580" t="s">
        <v>4620</v>
      </c>
      <c r="B4580" s="1">
        <v>46027.293136574073</v>
      </c>
      <c r="C4580" s="2" t="s">
        <v>22</v>
      </c>
      <c r="D4580" t="s">
        <v>19</v>
      </c>
      <c r="E4580">
        <v>93070</v>
      </c>
      <c r="F4580" t="s">
        <v>14</v>
      </c>
      <c r="G4580" t="s">
        <v>34</v>
      </c>
      <c r="H4580" t="s">
        <v>16</v>
      </c>
      <c r="I4580">
        <v>5</v>
      </c>
      <c r="J4580">
        <v>0</v>
      </c>
      <c r="K4580">
        <v>5</v>
      </c>
    </row>
    <row r="4581" spans="1:11" x14ac:dyDescent="0.25">
      <c r="A4581" t="s">
        <v>4621</v>
      </c>
      <c r="B4581" s="1">
        <v>45789.142523148148</v>
      </c>
      <c r="C4581" s="2" t="s">
        <v>41</v>
      </c>
      <c r="D4581" t="s">
        <v>23</v>
      </c>
      <c r="E4581">
        <v>1923</v>
      </c>
      <c r="F4581" t="s">
        <v>14</v>
      </c>
      <c r="G4581" t="s">
        <v>58</v>
      </c>
      <c r="H4581" t="s">
        <v>16</v>
      </c>
      <c r="I4581">
        <v>0</v>
      </c>
      <c r="J4581">
        <v>0</v>
      </c>
      <c r="K4581">
        <v>0</v>
      </c>
    </row>
    <row r="4582" spans="1:11" x14ac:dyDescent="0.25">
      <c r="A4582" t="s">
        <v>4622</v>
      </c>
      <c r="B4582" s="1">
        <v>45929.775381944448</v>
      </c>
      <c r="C4582" s="2" t="s">
        <v>18</v>
      </c>
      <c r="D4582" t="s">
        <v>33</v>
      </c>
      <c r="E4582">
        <v>39911</v>
      </c>
      <c r="F4582" t="s">
        <v>99</v>
      </c>
      <c r="G4582" t="s">
        <v>15</v>
      </c>
      <c r="H4582" t="s">
        <v>16</v>
      </c>
      <c r="I4582">
        <v>0</v>
      </c>
      <c r="J4582">
        <v>0</v>
      </c>
      <c r="K4582">
        <v>0</v>
      </c>
    </row>
    <row r="4583" spans="1:11" x14ac:dyDescent="0.25">
      <c r="A4583" t="s">
        <v>4623</v>
      </c>
      <c r="B4583" s="1">
        <v>46071.288576388892</v>
      </c>
      <c r="C4583" s="2" t="s">
        <v>26</v>
      </c>
      <c r="D4583" t="s">
        <v>33</v>
      </c>
      <c r="E4583">
        <v>109281</v>
      </c>
      <c r="F4583" t="s">
        <v>14</v>
      </c>
      <c r="G4583" t="s">
        <v>24</v>
      </c>
      <c r="H4583" t="s">
        <v>16</v>
      </c>
      <c r="I4583">
        <v>0</v>
      </c>
      <c r="J4583">
        <v>0</v>
      </c>
      <c r="K4583">
        <v>0</v>
      </c>
    </row>
    <row r="4584" spans="1:11" x14ac:dyDescent="0.25">
      <c r="A4584" t="s">
        <v>4624</v>
      </c>
      <c r="B4584" s="1">
        <v>45878.422372685185</v>
      </c>
      <c r="C4584" s="2" t="s">
        <v>32</v>
      </c>
      <c r="D4584" t="s">
        <v>13</v>
      </c>
      <c r="E4584">
        <v>145000</v>
      </c>
      <c r="F4584" t="s">
        <v>14</v>
      </c>
      <c r="G4584" t="s">
        <v>15</v>
      </c>
      <c r="H4584" t="s">
        <v>16</v>
      </c>
      <c r="I4584">
        <v>2682.5</v>
      </c>
      <c r="J4584">
        <v>1073</v>
      </c>
      <c r="K4584">
        <v>1609.5</v>
      </c>
    </row>
    <row r="4585" spans="1:11" x14ac:dyDescent="0.25">
      <c r="A4585" t="s">
        <v>4625</v>
      </c>
      <c r="B4585" s="1">
        <v>46085.253935185188</v>
      </c>
      <c r="C4585" s="2" t="s">
        <v>41</v>
      </c>
      <c r="D4585" t="s">
        <v>19</v>
      </c>
      <c r="E4585">
        <v>84465</v>
      </c>
      <c r="F4585" t="s">
        <v>14</v>
      </c>
      <c r="G4585" t="s">
        <v>27</v>
      </c>
      <c r="H4585" t="s">
        <v>16</v>
      </c>
      <c r="I4585">
        <v>5</v>
      </c>
      <c r="J4585">
        <v>0</v>
      </c>
      <c r="K4585">
        <v>5</v>
      </c>
    </row>
    <row r="4586" spans="1:11" x14ac:dyDescent="0.25">
      <c r="A4586" t="s">
        <v>4626</v>
      </c>
      <c r="B4586" s="1">
        <v>45831.804409722223</v>
      </c>
      <c r="C4586" s="2" t="s">
        <v>39</v>
      </c>
      <c r="D4586" t="s">
        <v>19</v>
      </c>
      <c r="E4586">
        <v>104321</v>
      </c>
      <c r="F4586" t="s">
        <v>14</v>
      </c>
      <c r="G4586" t="s">
        <v>34</v>
      </c>
      <c r="H4586" t="s">
        <v>16</v>
      </c>
      <c r="I4586">
        <v>5</v>
      </c>
      <c r="J4586">
        <v>0</v>
      </c>
      <c r="K4586">
        <v>5</v>
      </c>
    </row>
    <row r="4587" spans="1:11" x14ac:dyDescent="0.25">
      <c r="A4587" t="s">
        <v>4627</v>
      </c>
      <c r="B4587" s="1">
        <v>46112.379791666666</v>
      </c>
      <c r="C4587" s="2" t="s">
        <v>32</v>
      </c>
      <c r="D4587" t="s">
        <v>19</v>
      </c>
      <c r="E4587">
        <v>99175</v>
      </c>
      <c r="F4587" t="s">
        <v>14</v>
      </c>
      <c r="G4587" t="s">
        <v>30</v>
      </c>
      <c r="H4587" t="s">
        <v>16</v>
      </c>
      <c r="I4587">
        <v>5</v>
      </c>
      <c r="J4587">
        <v>0</v>
      </c>
      <c r="K4587">
        <v>5</v>
      </c>
    </row>
    <row r="4588" spans="1:11" x14ac:dyDescent="0.25">
      <c r="A4588" t="s">
        <v>4628</v>
      </c>
      <c r="B4588" s="1">
        <v>46015.429050925923</v>
      </c>
      <c r="C4588" s="2" t="s">
        <v>26</v>
      </c>
      <c r="D4588" t="s">
        <v>45</v>
      </c>
      <c r="E4588">
        <v>30260</v>
      </c>
      <c r="F4588" t="s">
        <v>14</v>
      </c>
      <c r="G4588" t="s">
        <v>30</v>
      </c>
      <c r="H4588" t="s">
        <v>59</v>
      </c>
      <c r="I4588">
        <v>302.60000000000002</v>
      </c>
      <c r="J4588">
        <v>0</v>
      </c>
      <c r="K4588">
        <v>302.60000000000002</v>
      </c>
    </row>
    <row r="4589" spans="1:11" x14ac:dyDescent="0.25">
      <c r="A4589" t="s">
        <v>4629</v>
      </c>
      <c r="B4589" s="1">
        <v>45826.114155092589</v>
      </c>
      <c r="C4589" s="2" t="s">
        <v>12</v>
      </c>
      <c r="D4589" t="s">
        <v>33</v>
      </c>
      <c r="E4589">
        <v>129889</v>
      </c>
      <c r="F4589" t="s">
        <v>14</v>
      </c>
      <c r="G4589" t="s">
        <v>34</v>
      </c>
      <c r="H4589" t="s">
        <v>16</v>
      </c>
      <c r="I4589">
        <v>0</v>
      </c>
      <c r="J4589">
        <v>0</v>
      </c>
      <c r="K4589">
        <v>0</v>
      </c>
    </row>
    <row r="4590" spans="1:11" x14ac:dyDescent="0.25">
      <c r="A4590" t="s">
        <v>4630</v>
      </c>
      <c r="B4590" s="1">
        <v>46060.233541666668</v>
      </c>
      <c r="C4590" s="2" t="s">
        <v>29</v>
      </c>
      <c r="D4590" t="s">
        <v>19</v>
      </c>
      <c r="E4590">
        <v>24294</v>
      </c>
      <c r="F4590" t="s">
        <v>14</v>
      </c>
      <c r="G4590" t="s">
        <v>20</v>
      </c>
      <c r="H4590" t="s">
        <v>16</v>
      </c>
      <c r="I4590">
        <v>5</v>
      </c>
      <c r="J4590">
        <v>0</v>
      </c>
      <c r="K4590">
        <v>5</v>
      </c>
    </row>
    <row r="4591" spans="1:11" x14ac:dyDescent="0.25">
      <c r="A4591" t="s">
        <v>4631</v>
      </c>
      <c r="B4591" s="1">
        <v>46027.594861111109</v>
      </c>
      <c r="C4591" s="2" t="s">
        <v>39</v>
      </c>
      <c r="D4591" t="s">
        <v>33</v>
      </c>
      <c r="E4591">
        <v>100957</v>
      </c>
      <c r="F4591" t="s">
        <v>14</v>
      </c>
      <c r="G4591" t="s">
        <v>34</v>
      </c>
      <c r="H4591" t="s">
        <v>16</v>
      </c>
      <c r="I4591">
        <v>0</v>
      </c>
      <c r="J4591">
        <v>0</v>
      </c>
      <c r="K4591">
        <v>0</v>
      </c>
    </row>
    <row r="4592" spans="1:11" x14ac:dyDescent="0.25">
      <c r="A4592" t="s">
        <v>4632</v>
      </c>
      <c r="B4592" s="1">
        <v>46014.960104166668</v>
      </c>
      <c r="C4592" s="2" t="s">
        <v>18</v>
      </c>
      <c r="D4592" t="s">
        <v>33</v>
      </c>
      <c r="E4592">
        <v>26048</v>
      </c>
      <c r="F4592" t="s">
        <v>14</v>
      </c>
      <c r="G4592" t="s">
        <v>58</v>
      </c>
      <c r="H4592" t="s">
        <v>16</v>
      </c>
      <c r="I4592">
        <v>0</v>
      </c>
      <c r="J4592">
        <v>0</v>
      </c>
      <c r="K4592">
        <v>0</v>
      </c>
    </row>
    <row r="4593" spans="1:11" x14ac:dyDescent="0.25">
      <c r="A4593" t="s">
        <v>4633</v>
      </c>
      <c r="B4593" s="1">
        <v>45935.579293981478</v>
      </c>
      <c r="C4593" s="2" t="s">
        <v>18</v>
      </c>
      <c r="D4593" t="s">
        <v>19</v>
      </c>
      <c r="E4593">
        <v>25217</v>
      </c>
      <c r="F4593" t="s">
        <v>14</v>
      </c>
      <c r="G4593" t="s">
        <v>58</v>
      </c>
      <c r="H4593" t="s">
        <v>16</v>
      </c>
      <c r="I4593">
        <v>5</v>
      </c>
      <c r="J4593">
        <v>0</v>
      </c>
      <c r="K4593">
        <v>5</v>
      </c>
    </row>
    <row r="4594" spans="1:11" x14ac:dyDescent="0.25">
      <c r="A4594" t="s">
        <v>4634</v>
      </c>
      <c r="B4594" s="1">
        <v>45796.887870370374</v>
      </c>
      <c r="C4594" s="2" t="s">
        <v>26</v>
      </c>
      <c r="D4594" t="s">
        <v>23</v>
      </c>
      <c r="E4594">
        <v>288</v>
      </c>
      <c r="F4594" t="s">
        <v>14</v>
      </c>
      <c r="G4594" t="s">
        <v>58</v>
      </c>
      <c r="H4594" t="s">
        <v>16</v>
      </c>
      <c r="I4594">
        <v>0</v>
      </c>
      <c r="J4594">
        <v>0</v>
      </c>
      <c r="K4594">
        <v>0</v>
      </c>
    </row>
    <row r="4595" spans="1:11" x14ac:dyDescent="0.25">
      <c r="A4595" t="s">
        <v>4635</v>
      </c>
      <c r="B4595" s="1">
        <v>46107.478888888887</v>
      </c>
      <c r="C4595" s="2" t="s">
        <v>26</v>
      </c>
      <c r="D4595" t="s">
        <v>13</v>
      </c>
      <c r="E4595">
        <v>176500</v>
      </c>
      <c r="F4595" t="s">
        <v>14</v>
      </c>
      <c r="G4595" t="s">
        <v>15</v>
      </c>
      <c r="H4595" t="s">
        <v>16</v>
      </c>
      <c r="I4595">
        <v>3265.25</v>
      </c>
      <c r="J4595">
        <v>1306.0999999999999</v>
      </c>
      <c r="K4595">
        <v>1959.15</v>
      </c>
    </row>
    <row r="4596" spans="1:11" x14ac:dyDescent="0.25">
      <c r="A4596" t="s">
        <v>4636</v>
      </c>
      <c r="B4596" s="1">
        <v>45899.207280092596</v>
      </c>
      <c r="C4596" s="2" t="s">
        <v>22</v>
      </c>
      <c r="D4596" t="s">
        <v>23</v>
      </c>
      <c r="E4596">
        <v>2778</v>
      </c>
      <c r="F4596" t="s">
        <v>14</v>
      </c>
      <c r="G4596" t="s">
        <v>30</v>
      </c>
      <c r="H4596" t="s">
        <v>16</v>
      </c>
      <c r="I4596">
        <v>0</v>
      </c>
      <c r="J4596">
        <v>0</v>
      </c>
      <c r="K4596">
        <v>0</v>
      </c>
    </row>
    <row r="4597" spans="1:11" x14ac:dyDescent="0.25">
      <c r="A4597" t="s">
        <v>4637</v>
      </c>
      <c r="B4597" s="1">
        <v>45935.659212962964</v>
      </c>
      <c r="C4597" s="2" t="s">
        <v>18</v>
      </c>
      <c r="D4597" t="s">
        <v>33</v>
      </c>
      <c r="E4597">
        <v>44368</v>
      </c>
      <c r="F4597" t="s">
        <v>99</v>
      </c>
      <c r="G4597" t="s">
        <v>58</v>
      </c>
      <c r="H4597" t="s">
        <v>16</v>
      </c>
      <c r="I4597">
        <v>0</v>
      </c>
      <c r="J4597">
        <v>0</v>
      </c>
      <c r="K4597">
        <v>0</v>
      </c>
    </row>
    <row r="4598" spans="1:11" x14ac:dyDescent="0.25">
      <c r="A4598" t="s">
        <v>4638</v>
      </c>
      <c r="B4598" s="1">
        <v>45983.318090277775</v>
      </c>
      <c r="C4598" s="2" t="s">
        <v>39</v>
      </c>
      <c r="D4598" t="s">
        <v>33</v>
      </c>
      <c r="E4598">
        <v>26546</v>
      </c>
      <c r="F4598" t="s">
        <v>14</v>
      </c>
      <c r="G4598" t="s">
        <v>84</v>
      </c>
      <c r="H4598" t="s">
        <v>16</v>
      </c>
      <c r="I4598">
        <v>0</v>
      </c>
      <c r="J4598">
        <v>0</v>
      </c>
      <c r="K4598">
        <v>0</v>
      </c>
    </row>
    <row r="4599" spans="1:11" x14ac:dyDescent="0.25">
      <c r="A4599" t="s">
        <v>4639</v>
      </c>
      <c r="B4599" s="1">
        <v>46110.882361111115</v>
      </c>
      <c r="C4599" s="2" t="s">
        <v>22</v>
      </c>
      <c r="D4599" t="s">
        <v>13</v>
      </c>
      <c r="E4599">
        <v>58000</v>
      </c>
      <c r="F4599" t="s">
        <v>14</v>
      </c>
      <c r="G4599" t="s">
        <v>27</v>
      </c>
      <c r="H4599" t="s">
        <v>16</v>
      </c>
      <c r="I4599">
        <v>1073</v>
      </c>
      <c r="J4599">
        <v>429.2</v>
      </c>
      <c r="K4599">
        <v>643.79999999999995</v>
      </c>
    </row>
    <row r="4600" spans="1:11" x14ac:dyDescent="0.25">
      <c r="A4600" t="s">
        <v>4640</v>
      </c>
      <c r="B4600" s="1">
        <v>45997.384375000001</v>
      </c>
      <c r="C4600" s="2" t="s">
        <v>22</v>
      </c>
      <c r="D4600" t="s">
        <v>13</v>
      </c>
      <c r="E4600">
        <v>214500</v>
      </c>
      <c r="F4600" t="s">
        <v>50</v>
      </c>
      <c r="G4600" t="s">
        <v>15</v>
      </c>
      <c r="H4600" t="s">
        <v>16</v>
      </c>
      <c r="I4600">
        <v>3968.25</v>
      </c>
      <c r="J4600">
        <v>1587.3</v>
      </c>
      <c r="K4600">
        <v>2380.9499999999998</v>
      </c>
    </row>
    <row r="4601" spans="1:11" x14ac:dyDescent="0.25">
      <c r="A4601" t="s">
        <v>4641</v>
      </c>
      <c r="B4601" s="1">
        <v>46115.894178240742</v>
      </c>
      <c r="C4601" s="2" t="s">
        <v>22</v>
      </c>
      <c r="D4601" t="s">
        <v>33</v>
      </c>
      <c r="E4601">
        <v>93540</v>
      </c>
      <c r="F4601" t="s">
        <v>14</v>
      </c>
      <c r="G4601" t="s">
        <v>34</v>
      </c>
      <c r="H4601" t="s">
        <v>16</v>
      </c>
      <c r="I4601">
        <v>0</v>
      </c>
      <c r="J4601">
        <v>0</v>
      </c>
      <c r="K4601">
        <v>0</v>
      </c>
    </row>
    <row r="4602" spans="1:11" x14ac:dyDescent="0.25">
      <c r="A4602" t="s">
        <v>4642</v>
      </c>
      <c r="B4602" s="1">
        <v>46104.576736111114</v>
      </c>
      <c r="C4602" s="2" t="s">
        <v>41</v>
      </c>
      <c r="D4602" t="s">
        <v>45</v>
      </c>
      <c r="E4602">
        <v>44406</v>
      </c>
      <c r="F4602" t="s">
        <v>50</v>
      </c>
      <c r="G4602" t="s">
        <v>84</v>
      </c>
      <c r="H4602" t="s">
        <v>59</v>
      </c>
      <c r="I4602">
        <v>444.06</v>
      </c>
      <c r="J4602">
        <v>0</v>
      </c>
      <c r="K4602">
        <v>444.06</v>
      </c>
    </row>
    <row r="4603" spans="1:11" x14ac:dyDescent="0.25">
      <c r="A4603" t="s">
        <v>4643</v>
      </c>
      <c r="B4603" s="1">
        <v>46051.146203703705</v>
      </c>
      <c r="C4603" s="2" t="s">
        <v>26</v>
      </c>
      <c r="D4603" t="s">
        <v>13</v>
      </c>
      <c r="E4603">
        <v>110500</v>
      </c>
      <c r="F4603" t="s">
        <v>14</v>
      </c>
      <c r="G4603" t="s">
        <v>58</v>
      </c>
      <c r="H4603" t="s">
        <v>16</v>
      </c>
      <c r="I4603">
        <v>2044.25</v>
      </c>
      <c r="J4603">
        <v>817.7</v>
      </c>
      <c r="K4603">
        <v>1226.55</v>
      </c>
    </row>
    <row r="4604" spans="1:11" x14ac:dyDescent="0.25">
      <c r="A4604" t="s">
        <v>4644</v>
      </c>
      <c r="B4604" s="1">
        <v>46081.851261574076</v>
      </c>
      <c r="C4604" s="2" t="s">
        <v>22</v>
      </c>
      <c r="D4604" t="s">
        <v>45</v>
      </c>
      <c r="E4604">
        <v>13228</v>
      </c>
      <c r="F4604" t="s">
        <v>14</v>
      </c>
      <c r="G4604" t="s">
        <v>34</v>
      </c>
      <c r="H4604" t="s">
        <v>56</v>
      </c>
      <c r="I4604">
        <v>132.28</v>
      </c>
      <c r="J4604">
        <v>0</v>
      </c>
      <c r="K4604">
        <v>132.28</v>
      </c>
    </row>
    <row r="4605" spans="1:11" x14ac:dyDescent="0.25">
      <c r="A4605" t="s">
        <v>4645</v>
      </c>
      <c r="B4605" s="1">
        <v>46008.048900462964</v>
      </c>
      <c r="C4605" s="2" t="s">
        <v>39</v>
      </c>
      <c r="D4605" t="s">
        <v>13</v>
      </c>
      <c r="E4605">
        <v>90000</v>
      </c>
      <c r="F4605" t="s">
        <v>14</v>
      </c>
      <c r="G4605" t="s">
        <v>15</v>
      </c>
      <c r="H4605" t="s">
        <v>16</v>
      </c>
      <c r="I4605">
        <v>1665</v>
      </c>
      <c r="J4605">
        <v>666</v>
      </c>
      <c r="K4605">
        <v>999</v>
      </c>
    </row>
    <row r="4606" spans="1:11" x14ac:dyDescent="0.25">
      <c r="A4606" t="s">
        <v>4646</v>
      </c>
      <c r="B4606" s="1">
        <v>45797.31962962963</v>
      </c>
      <c r="C4606" s="2" t="s">
        <v>18</v>
      </c>
      <c r="D4606" t="s">
        <v>45</v>
      </c>
      <c r="E4606">
        <v>107274</v>
      </c>
      <c r="F4606" t="s">
        <v>50</v>
      </c>
      <c r="G4606" t="s">
        <v>27</v>
      </c>
      <c r="H4606" t="s">
        <v>59</v>
      </c>
      <c r="I4606">
        <v>1072.74</v>
      </c>
      <c r="J4606">
        <v>0</v>
      </c>
      <c r="K4606">
        <v>1072.74</v>
      </c>
    </row>
    <row r="4607" spans="1:11" x14ac:dyDescent="0.25">
      <c r="A4607" t="s">
        <v>4647</v>
      </c>
      <c r="B4607" s="1">
        <v>46056.031851851854</v>
      </c>
      <c r="C4607" s="2" t="s">
        <v>18</v>
      </c>
      <c r="D4607" t="s">
        <v>33</v>
      </c>
      <c r="E4607">
        <v>52026</v>
      </c>
      <c r="F4607" t="s">
        <v>14</v>
      </c>
      <c r="G4607" t="s">
        <v>34</v>
      </c>
      <c r="H4607" t="s">
        <v>16</v>
      </c>
      <c r="I4607">
        <v>0</v>
      </c>
      <c r="J4607">
        <v>0</v>
      </c>
      <c r="K4607">
        <v>0</v>
      </c>
    </row>
    <row r="4608" spans="1:11" x14ac:dyDescent="0.25">
      <c r="A4608" t="s">
        <v>4648</v>
      </c>
      <c r="B4608" s="1">
        <v>45897.449236111112</v>
      </c>
      <c r="C4608" s="2" t="s">
        <v>32</v>
      </c>
      <c r="D4608" t="s">
        <v>23</v>
      </c>
      <c r="E4608">
        <v>732</v>
      </c>
      <c r="F4608" t="s">
        <v>14</v>
      </c>
      <c r="G4608" t="s">
        <v>20</v>
      </c>
      <c r="H4608" t="s">
        <v>16</v>
      </c>
      <c r="I4608">
        <v>0</v>
      </c>
      <c r="J4608">
        <v>0</v>
      </c>
      <c r="K4608">
        <v>0</v>
      </c>
    </row>
    <row r="4609" spans="1:11" x14ac:dyDescent="0.25">
      <c r="A4609" t="s">
        <v>4649</v>
      </c>
      <c r="B4609" s="1">
        <v>45863.774085648147</v>
      </c>
      <c r="C4609" s="2" t="s">
        <v>26</v>
      </c>
      <c r="D4609" t="s">
        <v>19</v>
      </c>
      <c r="E4609">
        <v>139029</v>
      </c>
      <c r="F4609" t="s">
        <v>14</v>
      </c>
      <c r="G4609" t="s">
        <v>58</v>
      </c>
      <c r="H4609" t="s">
        <v>16</v>
      </c>
      <c r="I4609">
        <v>5</v>
      </c>
      <c r="J4609">
        <v>0</v>
      </c>
      <c r="K4609">
        <v>5</v>
      </c>
    </row>
    <row r="4610" spans="1:11" x14ac:dyDescent="0.25">
      <c r="A4610" t="s">
        <v>4650</v>
      </c>
      <c r="B4610" s="1">
        <v>45866.771805555552</v>
      </c>
      <c r="C4610" s="2" t="s">
        <v>12</v>
      </c>
      <c r="D4610" t="s">
        <v>13</v>
      </c>
      <c r="E4610">
        <v>204500</v>
      </c>
      <c r="F4610" t="s">
        <v>14</v>
      </c>
      <c r="G4610" t="s">
        <v>34</v>
      </c>
      <c r="H4610" t="s">
        <v>16</v>
      </c>
      <c r="I4610">
        <v>3783.25</v>
      </c>
      <c r="J4610">
        <v>1513.3</v>
      </c>
      <c r="K4610">
        <v>2269.9499999999998</v>
      </c>
    </row>
    <row r="4611" spans="1:11" x14ac:dyDescent="0.25">
      <c r="A4611" t="s">
        <v>4651</v>
      </c>
      <c r="B4611" s="1">
        <v>46036.944745370369</v>
      </c>
      <c r="C4611" s="2" t="s">
        <v>26</v>
      </c>
      <c r="D4611" t="s">
        <v>45</v>
      </c>
      <c r="E4611">
        <v>83276</v>
      </c>
      <c r="F4611" t="s">
        <v>14</v>
      </c>
      <c r="G4611" t="s">
        <v>24</v>
      </c>
      <c r="H4611" t="s">
        <v>46</v>
      </c>
      <c r="I4611">
        <v>832.76</v>
      </c>
      <c r="J4611">
        <v>0</v>
      </c>
      <c r="K4611">
        <v>832.76</v>
      </c>
    </row>
    <row r="4612" spans="1:11" x14ac:dyDescent="0.25">
      <c r="A4612" t="s">
        <v>4652</v>
      </c>
      <c r="B4612" s="1">
        <v>45968.442858796298</v>
      </c>
      <c r="C4612" s="2" t="s">
        <v>41</v>
      </c>
      <c r="D4612" t="s">
        <v>33</v>
      </c>
      <c r="E4612">
        <v>3436</v>
      </c>
      <c r="F4612" t="s">
        <v>14</v>
      </c>
      <c r="G4612" t="s">
        <v>34</v>
      </c>
      <c r="H4612" t="s">
        <v>16</v>
      </c>
      <c r="I4612">
        <v>0</v>
      </c>
      <c r="J4612">
        <v>0</v>
      </c>
      <c r="K4612">
        <v>0</v>
      </c>
    </row>
    <row r="4613" spans="1:11" x14ac:dyDescent="0.25">
      <c r="A4613" t="s">
        <v>4653</v>
      </c>
      <c r="B4613" s="1">
        <v>46102.976666666669</v>
      </c>
      <c r="C4613" s="2" t="s">
        <v>22</v>
      </c>
      <c r="D4613" t="s">
        <v>45</v>
      </c>
      <c r="E4613">
        <v>95894</v>
      </c>
      <c r="F4613" t="s">
        <v>14</v>
      </c>
      <c r="G4613" t="s">
        <v>34</v>
      </c>
      <c r="H4613" t="s">
        <v>59</v>
      </c>
      <c r="I4613">
        <v>958.94</v>
      </c>
      <c r="J4613">
        <v>0</v>
      </c>
      <c r="K4613">
        <v>958.94</v>
      </c>
    </row>
    <row r="4614" spans="1:11" x14ac:dyDescent="0.25">
      <c r="A4614" t="s">
        <v>4654</v>
      </c>
      <c r="B4614" s="1">
        <v>45841.902453703704</v>
      </c>
      <c r="C4614" s="2" t="s">
        <v>29</v>
      </c>
      <c r="D4614" t="s">
        <v>33</v>
      </c>
      <c r="E4614">
        <v>21609</v>
      </c>
      <c r="F4614" t="s">
        <v>50</v>
      </c>
      <c r="G4614" t="s">
        <v>30</v>
      </c>
      <c r="H4614" t="s">
        <v>16</v>
      </c>
      <c r="I4614">
        <v>0</v>
      </c>
      <c r="J4614">
        <v>0</v>
      </c>
      <c r="K4614">
        <v>0</v>
      </c>
    </row>
    <row r="4615" spans="1:11" x14ac:dyDescent="0.25">
      <c r="A4615" t="s">
        <v>4655</v>
      </c>
      <c r="B4615" s="1">
        <v>45938.606111111112</v>
      </c>
      <c r="C4615" s="2" t="s">
        <v>29</v>
      </c>
      <c r="D4615" t="s">
        <v>33</v>
      </c>
      <c r="E4615">
        <v>126913</v>
      </c>
      <c r="F4615" t="s">
        <v>14</v>
      </c>
      <c r="G4615" t="s">
        <v>20</v>
      </c>
      <c r="H4615" t="s">
        <v>16</v>
      </c>
      <c r="I4615">
        <v>0</v>
      </c>
      <c r="J4615">
        <v>0</v>
      </c>
      <c r="K4615">
        <v>0</v>
      </c>
    </row>
    <row r="4616" spans="1:11" x14ac:dyDescent="0.25">
      <c r="A4616" t="s">
        <v>4656</v>
      </c>
      <c r="B4616" s="1">
        <v>45923.195798611108</v>
      </c>
      <c r="C4616" s="2" t="s">
        <v>12</v>
      </c>
      <c r="D4616" t="s">
        <v>23</v>
      </c>
      <c r="E4616">
        <v>4986</v>
      </c>
      <c r="F4616" t="s">
        <v>14</v>
      </c>
      <c r="G4616" t="s">
        <v>30</v>
      </c>
      <c r="H4616" t="s">
        <v>16</v>
      </c>
      <c r="I4616">
        <v>0</v>
      </c>
      <c r="J4616">
        <v>0</v>
      </c>
      <c r="K4616">
        <v>0</v>
      </c>
    </row>
    <row r="4617" spans="1:11" x14ac:dyDescent="0.25">
      <c r="A4617" t="s">
        <v>4657</v>
      </c>
      <c r="B4617" s="1">
        <v>45940.345347222225</v>
      </c>
      <c r="C4617" s="2" t="s">
        <v>29</v>
      </c>
      <c r="D4617" t="s">
        <v>13</v>
      </c>
      <c r="E4617">
        <v>138000</v>
      </c>
      <c r="F4617" t="s">
        <v>14</v>
      </c>
      <c r="G4617" t="s">
        <v>20</v>
      </c>
      <c r="H4617" t="s">
        <v>16</v>
      </c>
      <c r="I4617">
        <v>2553</v>
      </c>
      <c r="J4617">
        <v>1021.2</v>
      </c>
      <c r="K4617">
        <v>1531.8</v>
      </c>
    </row>
    <row r="4618" spans="1:11" x14ac:dyDescent="0.25">
      <c r="A4618" t="s">
        <v>4658</v>
      </c>
      <c r="B4618" s="1">
        <v>45923.493067129632</v>
      </c>
      <c r="C4618" s="2" t="s">
        <v>39</v>
      </c>
      <c r="D4618" t="s">
        <v>45</v>
      </c>
      <c r="E4618">
        <v>17298</v>
      </c>
      <c r="F4618" t="s">
        <v>14</v>
      </c>
      <c r="G4618" t="s">
        <v>30</v>
      </c>
      <c r="H4618" t="s">
        <v>46</v>
      </c>
      <c r="I4618">
        <v>172.98</v>
      </c>
      <c r="J4618">
        <v>0</v>
      </c>
      <c r="K4618">
        <v>172.98</v>
      </c>
    </row>
    <row r="4619" spans="1:11" x14ac:dyDescent="0.25">
      <c r="A4619" t="s">
        <v>4659</v>
      </c>
      <c r="B4619" s="1">
        <v>45869.003530092596</v>
      </c>
      <c r="C4619" s="2" t="s">
        <v>22</v>
      </c>
      <c r="D4619" t="s">
        <v>19</v>
      </c>
      <c r="E4619">
        <v>87600</v>
      </c>
      <c r="F4619" t="s">
        <v>14</v>
      </c>
      <c r="G4619" t="s">
        <v>15</v>
      </c>
      <c r="H4619" t="s">
        <v>16</v>
      </c>
      <c r="I4619">
        <v>5</v>
      </c>
      <c r="J4619">
        <v>0</v>
      </c>
      <c r="K4619">
        <v>5</v>
      </c>
    </row>
    <row r="4620" spans="1:11" x14ac:dyDescent="0.25">
      <c r="A4620" t="s">
        <v>4660</v>
      </c>
      <c r="B4620" s="1">
        <v>45903.115833333337</v>
      </c>
      <c r="C4620" s="2" t="s">
        <v>22</v>
      </c>
      <c r="D4620" t="s">
        <v>19</v>
      </c>
      <c r="E4620">
        <v>34791</v>
      </c>
      <c r="F4620" t="s">
        <v>14</v>
      </c>
      <c r="G4620" t="s">
        <v>30</v>
      </c>
      <c r="H4620" t="s">
        <v>16</v>
      </c>
      <c r="I4620">
        <v>5</v>
      </c>
      <c r="J4620">
        <v>0</v>
      </c>
      <c r="K4620">
        <v>5</v>
      </c>
    </row>
    <row r="4621" spans="1:11" x14ac:dyDescent="0.25">
      <c r="A4621" t="s">
        <v>4661</v>
      </c>
      <c r="B4621" s="1">
        <v>46025.73505787037</v>
      </c>
      <c r="C4621" s="2" t="s">
        <v>32</v>
      </c>
      <c r="D4621" t="s">
        <v>23</v>
      </c>
      <c r="E4621">
        <v>3702</v>
      </c>
      <c r="F4621" t="s">
        <v>99</v>
      </c>
      <c r="G4621" t="s">
        <v>20</v>
      </c>
      <c r="H4621" t="s">
        <v>16</v>
      </c>
      <c r="I4621">
        <v>0</v>
      </c>
      <c r="J4621">
        <v>0</v>
      </c>
      <c r="K4621">
        <v>0</v>
      </c>
    </row>
    <row r="4622" spans="1:11" x14ac:dyDescent="0.25">
      <c r="A4622" t="s">
        <v>4662</v>
      </c>
      <c r="B4622" s="1">
        <v>46137.987326388888</v>
      </c>
      <c r="C4622" s="2" t="s">
        <v>29</v>
      </c>
      <c r="D4622" t="s">
        <v>19</v>
      </c>
      <c r="E4622">
        <v>59559</v>
      </c>
      <c r="F4622" t="s">
        <v>14</v>
      </c>
      <c r="G4622" t="s">
        <v>20</v>
      </c>
      <c r="H4622" t="s">
        <v>16</v>
      </c>
      <c r="I4622">
        <v>5</v>
      </c>
      <c r="J4622">
        <v>0</v>
      </c>
      <c r="K4622">
        <v>5</v>
      </c>
    </row>
    <row r="4623" spans="1:11" x14ac:dyDescent="0.25">
      <c r="A4623" t="s">
        <v>4663</v>
      </c>
      <c r="B4623" s="1">
        <v>45941.563842592594</v>
      </c>
      <c r="C4623" s="2" t="s">
        <v>39</v>
      </c>
      <c r="D4623" t="s">
        <v>45</v>
      </c>
      <c r="E4623">
        <v>117422</v>
      </c>
      <c r="F4623" t="s">
        <v>14</v>
      </c>
      <c r="G4623" t="s">
        <v>34</v>
      </c>
      <c r="H4623" t="s">
        <v>56</v>
      </c>
      <c r="I4623">
        <v>1174.22</v>
      </c>
      <c r="J4623">
        <v>0</v>
      </c>
      <c r="K4623">
        <v>1174.22</v>
      </c>
    </row>
    <row r="4624" spans="1:11" x14ac:dyDescent="0.25">
      <c r="A4624" t="s">
        <v>4664</v>
      </c>
      <c r="B4624" s="1">
        <v>46061.310428240744</v>
      </c>
      <c r="C4624" s="2" t="s">
        <v>22</v>
      </c>
      <c r="D4624" t="s">
        <v>45</v>
      </c>
      <c r="E4624">
        <v>8786</v>
      </c>
      <c r="F4624" t="s">
        <v>99</v>
      </c>
      <c r="G4624" t="s">
        <v>20</v>
      </c>
      <c r="H4624" t="s">
        <v>178</v>
      </c>
      <c r="I4624">
        <v>87.86</v>
      </c>
      <c r="J4624">
        <v>0</v>
      </c>
      <c r="K4624">
        <v>87.86</v>
      </c>
    </row>
    <row r="4625" spans="1:11" x14ac:dyDescent="0.25">
      <c r="A4625" t="s">
        <v>4665</v>
      </c>
      <c r="B4625" s="1">
        <v>45884.68476851852</v>
      </c>
      <c r="C4625" s="2" t="s">
        <v>32</v>
      </c>
      <c r="D4625" t="s">
        <v>23</v>
      </c>
      <c r="E4625">
        <v>3321</v>
      </c>
      <c r="F4625" t="s">
        <v>14</v>
      </c>
      <c r="G4625" t="s">
        <v>84</v>
      </c>
      <c r="H4625" t="s">
        <v>16</v>
      </c>
      <c r="I4625">
        <v>0</v>
      </c>
      <c r="J4625">
        <v>0</v>
      </c>
      <c r="K4625">
        <v>0</v>
      </c>
    </row>
    <row r="4626" spans="1:11" x14ac:dyDescent="0.25">
      <c r="A4626" t="s">
        <v>4666</v>
      </c>
      <c r="B4626" s="1">
        <v>46032.414456018516</v>
      </c>
      <c r="C4626" s="2" t="s">
        <v>12</v>
      </c>
      <c r="D4626" t="s">
        <v>13</v>
      </c>
      <c r="E4626">
        <v>133000</v>
      </c>
      <c r="F4626" t="s">
        <v>99</v>
      </c>
      <c r="G4626" t="s">
        <v>34</v>
      </c>
      <c r="H4626" t="s">
        <v>16</v>
      </c>
      <c r="I4626">
        <v>2460.5</v>
      </c>
      <c r="J4626">
        <v>984.2</v>
      </c>
      <c r="K4626">
        <v>1476.3</v>
      </c>
    </row>
    <row r="4627" spans="1:11" x14ac:dyDescent="0.25">
      <c r="A4627" t="s">
        <v>4667</v>
      </c>
      <c r="B4627" s="1">
        <v>45976.094085648147</v>
      </c>
      <c r="C4627" s="2" t="s">
        <v>18</v>
      </c>
      <c r="D4627" t="s">
        <v>45</v>
      </c>
      <c r="E4627">
        <v>113024</v>
      </c>
      <c r="F4627" t="s">
        <v>14</v>
      </c>
      <c r="G4627" t="s">
        <v>30</v>
      </c>
      <c r="H4627" t="s">
        <v>59</v>
      </c>
      <c r="I4627">
        <v>1130.24</v>
      </c>
      <c r="J4627">
        <v>0</v>
      </c>
      <c r="K4627">
        <v>1130.24</v>
      </c>
    </row>
    <row r="4628" spans="1:11" x14ac:dyDescent="0.25">
      <c r="A4628" t="s">
        <v>4668</v>
      </c>
      <c r="B4628" s="1">
        <v>46056.920787037037</v>
      </c>
      <c r="C4628" s="2" t="s">
        <v>12</v>
      </c>
      <c r="D4628" t="s">
        <v>33</v>
      </c>
      <c r="E4628">
        <v>42233</v>
      </c>
      <c r="F4628" t="s">
        <v>14</v>
      </c>
      <c r="G4628" t="s">
        <v>27</v>
      </c>
      <c r="H4628" t="s">
        <v>16</v>
      </c>
      <c r="I4628">
        <v>0</v>
      </c>
      <c r="J4628">
        <v>0</v>
      </c>
      <c r="K4628">
        <v>0</v>
      </c>
    </row>
    <row r="4629" spans="1:11" x14ac:dyDescent="0.25">
      <c r="A4629" t="s">
        <v>4669</v>
      </c>
      <c r="B4629" s="1">
        <v>45988.834062499998</v>
      </c>
      <c r="C4629" s="2" t="s">
        <v>26</v>
      </c>
      <c r="D4629" t="s">
        <v>13</v>
      </c>
      <c r="E4629">
        <v>56000</v>
      </c>
      <c r="F4629" t="s">
        <v>14</v>
      </c>
      <c r="G4629" t="s">
        <v>24</v>
      </c>
      <c r="H4629" t="s">
        <v>16</v>
      </c>
      <c r="I4629">
        <v>1036</v>
      </c>
      <c r="J4629">
        <v>414.4</v>
      </c>
      <c r="K4629">
        <v>621.6</v>
      </c>
    </row>
    <row r="4630" spans="1:11" x14ac:dyDescent="0.25">
      <c r="A4630" t="s">
        <v>4670</v>
      </c>
      <c r="B4630" s="1">
        <v>46016.858807870369</v>
      </c>
      <c r="C4630" s="2" t="s">
        <v>26</v>
      </c>
      <c r="D4630" t="s">
        <v>23</v>
      </c>
      <c r="E4630">
        <v>1923</v>
      </c>
      <c r="F4630" t="s">
        <v>50</v>
      </c>
      <c r="G4630" t="s">
        <v>51</v>
      </c>
      <c r="H4630" t="s">
        <v>16</v>
      </c>
      <c r="I4630">
        <v>0</v>
      </c>
      <c r="J4630">
        <v>0</v>
      </c>
      <c r="K4630">
        <v>0</v>
      </c>
    </row>
    <row r="4631" spans="1:11" x14ac:dyDescent="0.25">
      <c r="A4631" t="s">
        <v>4671</v>
      </c>
      <c r="B4631" s="1">
        <v>46141.086064814815</v>
      </c>
      <c r="C4631" s="2" t="s">
        <v>32</v>
      </c>
      <c r="D4631" t="s">
        <v>33</v>
      </c>
      <c r="E4631">
        <v>94377</v>
      </c>
      <c r="F4631" t="s">
        <v>50</v>
      </c>
      <c r="G4631" t="s">
        <v>24</v>
      </c>
      <c r="H4631" t="s">
        <v>16</v>
      </c>
      <c r="I4631">
        <v>0</v>
      </c>
      <c r="J4631">
        <v>0</v>
      </c>
      <c r="K4631">
        <v>0</v>
      </c>
    </row>
    <row r="4632" spans="1:11" x14ac:dyDescent="0.25">
      <c r="A4632" t="s">
        <v>4672</v>
      </c>
      <c r="B4632" s="1">
        <v>46058.356631944444</v>
      </c>
      <c r="C4632" s="2" t="s">
        <v>22</v>
      </c>
      <c r="D4632" t="s">
        <v>33</v>
      </c>
      <c r="E4632">
        <v>72703</v>
      </c>
      <c r="F4632" t="s">
        <v>50</v>
      </c>
      <c r="G4632" t="s">
        <v>15</v>
      </c>
      <c r="H4632" t="s">
        <v>16</v>
      </c>
      <c r="I4632">
        <v>0</v>
      </c>
      <c r="J4632">
        <v>0</v>
      </c>
      <c r="K4632">
        <v>0</v>
      </c>
    </row>
    <row r="4633" spans="1:11" x14ac:dyDescent="0.25">
      <c r="A4633" t="s">
        <v>4673</v>
      </c>
      <c r="B4633" s="1">
        <v>46063.696979166663</v>
      </c>
      <c r="C4633" s="2" t="s">
        <v>41</v>
      </c>
      <c r="D4633" t="s">
        <v>23</v>
      </c>
      <c r="E4633">
        <v>4678</v>
      </c>
      <c r="F4633" t="s">
        <v>14</v>
      </c>
      <c r="G4633" t="s">
        <v>84</v>
      </c>
      <c r="H4633" t="s">
        <v>16</v>
      </c>
      <c r="I4633">
        <v>0</v>
      </c>
      <c r="J4633">
        <v>0</v>
      </c>
      <c r="K4633">
        <v>0</v>
      </c>
    </row>
    <row r="4634" spans="1:11" x14ac:dyDescent="0.25">
      <c r="A4634" t="s">
        <v>4674</v>
      </c>
      <c r="B4634" s="1">
        <v>45901.542083333334</v>
      </c>
      <c r="C4634" s="2" t="s">
        <v>26</v>
      </c>
      <c r="D4634" t="s">
        <v>19</v>
      </c>
      <c r="E4634">
        <v>142853</v>
      </c>
      <c r="F4634" t="s">
        <v>14</v>
      </c>
      <c r="G4634" t="s">
        <v>20</v>
      </c>
      <c r="H4634" t="s">
        <v>16</v>
      </c>
      <c r="I4634">
        <v>5</v>
      </c>
      <c r="J4634">
        <v>0</v>
      </c>
      <c r="K4634">
        <v>5</v>
      </c>
    </row>
    <row r="4635" spans="1:11" x14ac:dyDescent="0.25">
      <c r="A4635" t="s">
        <v>4675</v>
      </c>
      <c r="B4635" s="1">
        <v>45792.16609953704</v>
      </c>
      <c r="C4635" s="2" t="s">
        <v>39</v>
      </c>
      <c r="D4635" t="s">
        <v>45</v>
      </c>
      <c r="E4635">
        <v>101498</v>
      </c>
      <c r="F4635" t="s">
        <v>14</v>
      </c>
      <c r="G4635" t="s">
        <v>51</v>
      </c>
      <c r="H4635" t="s">
        <v>59</v>
      </c>
      <c r="I4635">
        <v>1014.98</v>
      </c>
      <c r="J4635">
        <v>0</v>
      </c>
      <c r="K4635">
        <v>1014.98</v>
      </c>
    </row>
    <row r="4636" spans="1:11" x14ac:dyDescent="0.25">
      <c r="A4636" t="s">
        <v>4676</v>
      </c>
      <c r="B4636" s="1">
        <v>46140.876238425924</v>
      </c>
      <c r="C4636" s="2" t="s">
        <v>32</v>
      </c>
      <c r="D4636" t="s">
        <v>23</v>
      </c>
      <c r="E4636">
        <v>929</v>
      </c>
      <c r="F4636" t="s">
        <v>14</v>
      </c>
      <c r="G4636" t="s">
        <v>24</v>
      </c>
      <c r="H4636" t="s">
        <v>16</v>
      </c>
      <c r="I4636">
        <v>0</v>
      </c>
      <c r="J4636">
        <v>0</v>
      </c>
      <c r="K4636">
        <v>0</v>
      </c>
    </row>
    <row r="4637" spans="1:11" x14ac:dyDescent="0.25">
      <c r="A4637" t="s">
        <v>4677</v>
      </c>
      <c r="B4637" s="1">
        <v>45959.749189814815</v>
      </c>
      <c r="C4637" s="2" t="s">
        <v>18</v>
      </c>
      <c r="D4637" t="s">
        <v>23</v>
      </c>
      <c r="E4637">
        <v>1329</v>
      </c>
      <c r="F4637" t="s">
        <v>99</v>
      </c>
      <c r="G4637" t="s">
        <v>27</v>
      </c>
      <c r="H4637" t="s">
        <v>16</v>
      </c>
      <c r="I4637">
        <v>0</v>
      </c>
      <c r="J4637">
        <v>0</v>
      </c>
      <c r="K4637">
        <v>0</v>
      </c>
    </row>
    <row r="4638" spans="1:11" x14ac:dyDescent="0.25">
      <c r="A4638" t="s">
        <v>4678</v>
      </c>
      <c r="B4638" s="1">
        <v>46013.109189814815</v>
      </c>
      <c r="C4638" s="2" t="s">
        <v>29</v>
      </c>
      <c r="D4638" t="s">
        <v>45</v>
      </c>
      <c r="E4638">
        <v>32389</v>
      </c>
      <c r="F4638" t="s">
        <v>50</v>
      </c>
      <c r="G4638" t="s">
        <v>24</v>
      </c>
      <c r="H4638" t="s">
        <v>56</v>
      </c>
      <c r="I4638">
        <v>323.89</v>
      </c>
      <c r="J4638">
        <v>0</v>
      </c>
      <c r="K4638">
        <v>323.89</v>
      </c>
    </row>
    <row r="4639" spans="1:11" x14ac:dyDescent="0.25">
      <c r="A4639" t="s">
        <v>4679</v>
      </c>
      <c r="B4639" s="1">
        <v>46007.519699074073</v>
      </c>
      <c r="C4639" s="2" t="s">
        <v>12</v>
      </c>
      <c r="D4639" t="s">
        <v>23</v>
      </c>
      <c r="E4639">
        <v>4445</v>
      </c>
      <c r="F4639" t="s">
        <v>14</v>
      </c>
      <c r="G4639" t="s">
        <v>34</v>
      </c>
      <c r="H4639" t="s">
        <v>16</v>
      </c>
      <c r="I4639">
        <v>0</v>
      </c>
      <c r="J4639">
        <v>0</v>
      </c>
      <c r="K4639">
        <v>0</v>
      </c>
    </row>
    <row r="4640" spans="1:11" x14ac:dyDescent="0.25">
      <c r="A4640" t="s">
        <v>4680</v>
      </c>
      <c r="B4640" s="1">
        <v>46113.13</v>
      </c>
      <c r="C4640" s="2" t="s">
        <v>18</v>
      </c>
      <c r="D4640" t="s">
        <v>23</v>
      </c>
      <c r="E4640">
        <v>336</v>
      </c>
      <c r="F4640" t="s">
        <v>14</v>
      </c>
      <c r="G4640" t="s">
        <v>34</v>
      </c>
      <c r="H4640" t="s">
        <v>16</v>
      </c>
      <c r="I4640">
        <v>0</v>
      </c>
      <c r="J4640">
        <v>0</v>
      </c>
      <c r="K4640">
        <v>0</v>
      </c>
    </row>
    <row r="4641" spans="1:11" x14ac:dyDescent="0.25">
      <c r="A4641" t="s">
        <v>4681</v>
      </c>
      <c r="B4641" s="1">
        <v>45790.241400462961</v>
      </c>
      <c r="C4641" s="2" t="s">
        <v>12</v>
      </c>
      <c r="D4641" t="s">
        <v>13</v>
      </c>
      <c r="E4641">
        <v>57500</v>
      </c>
      <c r="F4641" t="s">
        <v>14</v>
      </c>
      <c r="G4641" t="s">
        <v>84</v>
      </c>
      <c r="H4641" t="s">
        <v>16</v>
      </c>
      <c r="I4641">
        <v>1063.75</v>
      </c>
      <c r="J4641">
        <v>425.5</v>
      </c>
      <c r="K4641">
        <v>638.25</v>
      </c>
    </row>
    <row r="4642" spans="1:11" x14ac:dyDescent="0.25">
      <c r="A4642" t="s">
        <v>4682</v>
      </c>
      <c r="B4642" s="1">
        <v>45908.160590277781</v>
      </c>
      <c r="C4642" s="2" t="s">
        <v>29</v>
      </c>
      <c r="D4642" t="s">
        <v>23</v>
      </c>
      <c r="E4642">
        <v>1429</v>
      </c>
      <c r="F4642" t="s">
        <v>14</v>
      </c>
      <c r="G4642" t="s">
        <v>27</v>
      </c>
      <c r="H4642" t="s">
        <v>16</v>
      </c>
      <c r="I4642">
        <v>0</v>
      </c>
      <c r="J4642">
        <v>0</v>
      </c>
      <c r="K4642">
        <v>0</v>
      </c>
    </row>
    <row r="4643" spans="1:11" x14ac:dyDescent="0.25">
      <c r="A4643" t="s">
        <v>4683</v>
      </c>
      <c r="B4643" s="1">
        <v>46080.040625000001</v>
      </c>
      <c r="C4643" s="2" t="s">
        <v>32</v>
      </c>
      <c r="D4643" t="s">
        <v>45</v>
      </c>
      <c r="E4643">
        <v>30577</v>
      </c>
      <c r="F4643" t="s">
        <v>14</v>
      </c>
      <c r="G4643" t="s">
        <v>24</v>
      </c>
      <c r="H4643" t="s">
        <v>71</v>
      </c>
      <c r="I4643">
        <v>305.77</v>
      </c>
      <c r="J4643">
        <v>0</v>
      </c>
      <c r="K4643">
        <v>305.77</v>
      </c>
    </row>
    <row r="4644" spans="1:11" x14ac:dyDescent="0.25">
      <c r="A4644" t="s">
        <v>4684</v>
      </c>
      <c r="B4644" s="1">
        <v>45992.522199074076</v>
      </c>
      <c r="C4644" s="2" t="s">
        <v>18</v>
      </c>
      <c r="D4644" t="s">
        <v>23</v>
      </c>
      <c r="E4644">
        <v>1410</v>
      </c>
      <c r="F4644" t="s">
        <v>14</v>
      </c>
      <c r="G4644" t="s">
        <v>15</v>
      </c>
      <c r="H4644" t="s">
        <v>16</v>
      </c>
      <c r="I4644">
        <v>0</v>
      </c>
      <c r="J4644">
        <v>0</v>
      </c>
      <c r="K4644">
        <v>0</v>
      </c>
    </row>
    <row r="4645" spans="1:11" x14ac:dyDescent="0.25">
      <c r="A4645" t="s">
        <v>4685</v>
      </c>
      <c r="B4645" s="1">
        <v>46093.375694444447</v>
      </c>
      <c r="C4645" s="2" t="s">
        <v>39</v>
      </c>
      <c r="D4645" t="s">
        <v>19</v>
      </c>
      <c r="E4645">
        <v>128960</v>
      </c>
      <c r="F4645" t="s">
        <v>50</v>
      </c>
      <c r="G4645" t="s">
        <v>58</v>
      </c>
      <c r="H4645" t="s">
        <v>16</v>
      </c>
      <c r="I4645">
        <v>5</v>
      </c>
      <c r="J4645">
        <v>0</v>
      </c>
      <c r="K4645">
        <v>5</v>
      </c>
    </row>
    <row r="4646" spans="1:11" x14ac:dyDescent="0.25">
      <c r="A4646" t="s">
        <v>4686</v>
      </c>
      <c r="B4646" s="1">
        <v>45845.874386574076</v>
      </c>
      <c r="C4646" s="2" t="s">
        <v>12</v>
      </c>
      <c r="D4646" t="s">
        <v>23</v>
      </c>
      <c r="E4646">
        <v>3911</v>
      </c>
      <c r="F4646" t="s">
        <v>14</v>
      </c>
      <c r="G4646" t="s">
        <v>27</v>
      </c>
      <c r="H4646" t="s">
        <v>16</v>
      </c>
      <c r="I4646">
        <v>0</v>
      </c>
      <c r="J4646">
        <v>0</v>
      </c>
      <c r="K4646">
        <v>0</v>
      </c>
    </row>
    <row r="4647" spans="1:11" x14ac:dyDescent="0.25">
      <c r="A4647" t="s">
        <v>4687</v>
      </c>
      <c r="B4647" s="1">
        <v>45935.74386574074</v>
      </c>
      <c r="C4647" s="2" t="s">
        <v>39</v>
      </c>
      <c r="D4647" t="s">
        <v>45</v>
      </c>
      <c r="E4647">
        <v>149532</v>
      </c>
      <c r="F4647" t="s">
        <v>14</v>
      </c>
      <c r="G4647" t="s">
        <v>24</v>
      </c>
      <c r="H4647" t="s">
        <v>56</v>
      </c>
      <c r="I4647">
        <v>1495.32</v>
      </c>
      <c r="J4647">
        <v>0</v>
      </c>
      <c r="K4647">
        <v>1495.32</v>
      </c>
    </row>
    <row r="4648" spans="1:11" x14ac:dyDescent="0.25">
      <c r="A4648" t="s">
        <v>4688</v>
      </c>
      <c r="B4648" s="1">
        <v>45992.628750000003</v>
      </c>
      <c r="C4648" s="2" t="s">
        <v>26</v>
      </c>
      <c r="D4648" t="s">
        <v>33</v>
      </c>
      <c r="E4648">
        <v>56751</v>
      </c>
      <c r="F4648" t="s">
        <v>14</v>
      </c>
      <c r="G4648" t="s">
        <v>34</v>
      </c>
      <c r="H4648" t="s">
        <v>16</v>
      </c>
      <c r="I4648">
        <v>0</v>
      </c>
      <c r="J4648">
        <v>0</v>
      </c>
      <c r="K4648">
        <v>0</v>
      </c>
    </row>
    <row r="4649" spans="1:11" x14ac:dyDescent="0.25">
      <c r="A4649" t="s">
        <v>4689</v>
      </c>
      <c r="B4649" s="1">
        <v>46008.664907407408</v>
      </c>
      <c r="C4649" s="2" t="s">
        <v>41</v>
      </c>
      <c r="D4649" t="s">
        <v>33</v>
      </c>
      <c r="E4649">
        <v>145501</v>
      </c>
      <c r="F4649" t="s">
        <v>14</v>
      </c>
      <c r="G4649" t="s">
        <v>20</v>
      </c>
      <c r="H4649" t="s">
        <v>16</v>
      </c>
      <c r="I4649">
        <v>0</v>
      </c>
      <c r="J4649">
        <v>0</v>
      </c>
      <c r="K4649">
        <v>0</v>
      </c>
    </row>
    <row r="4650" spans="1:11" x14ac:dyDescent="0.25">
      <c r="A4650" t="s">
        <v>4690</v>
      </c>
      <c r="B4650" s="1">
        <v>45907.543773148151</v>
      </c>
      <c r="C4650" s="2" t="s">
        <v>32</v>
      </c>
      <c r="D4650" t="s">
        <v>33</v>
      </c>
      <c r="E4650">
        <v>46716</v>
      </c>
      <c r="F4650" t="s">
        <v>14</v>
      </c>
      <c r="G4650" t="s">
        <v>15</v>
      </c>
      <c r="H4650" t="s">
        <v>16</v>
      </c>
      <c r="I4650">
        <v>0</v>
      </c>
      <c r="J4650">
        <v>0</v>
      </c>
      <c r="K4650">
        <v>0</v>
      </c>
    </row>
    <row r="4651" spans="1:11" x14ac:dyDescent="0.25">
      <c r="A4651" t="s">
        <v>4691</v>
      </c>
      <c r="B4651" s="1">
        <v>46079.073263888888</v>
      </c>
      <c r="C4651" s="2" t="s">
        <v>22</v>
      </c>
      <c r="D4651" t="s">
        <v>13</v>
      </c>
      <c r="E4651">
        <v>203500</v>
      </c>
      <c r="F4651" t="s">
        <v>50</v>
      </c>
      <c r="G4651" t="s">
        <v>84</v>
      </c>
      <c r="H4651" t="s">
        <v>16</v>
      </c>
      <c r="I4651">
        <v>3764.75</v>
      </c>
      <c r="J4651">
        <v>1505.9</v>
      </c>
      <c r="K4651">
        <v>2258.85</v>
      </c>
    </row>
    <row r="4652" spans="1:11" x14ac:dyDescent="0.25">
      <c r="A4652" t="s">
        <v>4692</v>
      </c>
      <c r="B4652" s="1">
        <v>45885.257326388892</v>
      </c>
      <c r="C4652" s="2" t="s">
        <v>26</v>
      </c>
      <c r="D4652" t="s">
        <v>33</v>
      </c>
      <c r="E4652">
        <v>97733</v>
      </c>
      <c r="F4652" t="s">
        <v>14</v>
      </c>
      <c r="G4652" t="s">
        <v>30</v>
      </c>
      <c r="H4652" t="s">
        <v>16</v>
      </c>
      <c r="I4652">
        <v>0</v>
      </c>
      <c r="J4652">
        <v>0</v>
      </c>
      <c r="K4652">
        <v>0</v>
      </c>
    </row>
    <row r="4653" spans="1:11" x14ac:dyDescent="0.25">
      <c r="A4653" t="s">
        <v>4693</v>
      </c>
      <c r="B4653" s="1">
        <v>46124.352893518517</v>
      </c>
      <c r="C4653" s="2" t="s">
        <v>39</v>
      </c>
      <c r="D4653" t="s">
        <v>13</v>
      </c>
      <c r="E4653">
        <v>73500</v>
      </c>
      <c r="F4653" t="s">
        <v>14</v>
      </c>
      <c r="G4653" t="s">
        <v>34</v>
      </c>
      <c r="H4653" t="s">
        <v>16</v>
      </c>
      <c r="I4653">
        <v>1359.75</v>
      </c>
      <c r="J4653">
        <v>543.9</v>
      </c>
      <c r="K4653">
        <v>815.85</v>
      </c>
    </row>
    <row r="4654" spans="1:11" x14ac:dyDescent="0.25">
      <c r="A4654" t="s">
        <v>4694</v>
      </c>
      <c r="B4654" s="1">
        <v>46038.074560185189</v>
      </c>
      <c r="C4654" s="2" t="s">
        <v>12</v>
      </c>
      <c r="D4654" t="s">
        <v>45</v>
      </c>
      <c r="E4654">
        <v>102423</v>
      </c>
      <c r="F4654" t="s">
        <v>14</v>
      </c>
      <c r="G4654" t="s">
        <v>15</v>
      </c>
      <c r="H4654" t="s">
        <v>59</v>
      </c>
      <c r="I4654">
        <v>1024.23</v>
      </c>
      <c r="J4654">
        <v>0</v>
      </c>
      <c r="K4654">
        <v>1024.23</v>
      </c>
    </row>
    <row r="4655" spans="1:11" x14ac:dyDescent="0.25">
      <c r="A4655" t="s">
        <v>4695</v>
      </c>
      <c r="B4655" s="1">
        <v>45880.875520833331</v>
      </c>
      <c r="C4655" s="2" t="s">
        <v>26</v>
      </c>
      <c r="D4655" t="s">
        <v>45</v>
      </c>
      <c r="E4655">
        <v>132210</v>
      </c>
      <c r="F4655" t="s">
        <v>14</v>
      </c>
      <c r="G4655" t="s">
        <v>84</v>
      </c>
      <c r="H4655" t="s">
        <v>178</v>
      </c>
      <c r="I4655">
        <v>1322.1</v>
      </c>
      <c r="J4655">
        <v>0</v>
      </c>
      <c r="K4655">
        <v>1322.1</v>
      </c>
    </row>
    <row r="4656" spans="1:11" x14ac:dyDescent="0.25">
      <c r="A4656" t="s">
        <v>4696</v>
      </c>
      <c r="B4656" s="1">
        <v>45973.989884259259</v>
      </c>
      <c r="C4656" s="2" t="s">
        <v>26</v>
      </c>
      <c r="D4656" t="s">
        <v>13</v>
      </c>
      <c r="E4656">
        <v>220000</v>
      </c>
      <c r="F4656" t="s">
        <v>99</v>
      </c>
      <c r="G4656" t="s">
        <v>27</v>
      </c>
      <c r="H4656" t="s">
        <v>16</v>
      </c>
      <c r="I4656">
        <v>4070</v>
      </c>
      <c r="J4656">
        <v>1628</v>
      </c>
      <c r="K4656">
        <v>2442</v>
      </c>
    </row>
    <row r="4657" spans="1:11" x14ac:dyDescent="0.25">
      <c r="A4657" t="s">
        <v>4697</v>
      </c>
      <c r="B4657" s="1">
        <v>45872.212858796294</v>
      </c>
      <c r="C4657" s="2" t="s">
        <v>39</v>
      </c>
      <c r="D4657" t="s">
        <v>13</v>
      </c>
      <c r="E4657">
        <v>184500</v>
      </c>
      <c r="F4657" t="s">
        <v>50</v>
      </c>
      <c r="G4657" t="s">
        <v>20</v>
      </c>
      <c r="H4657" t="s">
        <v>16</v>
      </c>
      <c r="I4657">
        <v>3413.25</v>
      </c>
      <c r="J4657">
        <v>1365.3</v>
      </c>
      <c r="K4657">
        <v>2047.95</v>
      </c>
    </row>
    <row r="4658" spans="1:11" x14ac:dyDescent="0.25">
      <c r="A4658" t="s">
        <v>4698</v>
      </c>
      <c r="B4658" s="1">
        <v>46097.375520833331</v>
      </c>
      <c r="C4658" s="2" t="s">
        <v>26</v>
      </c>
      <c r="D4658" t="s">
        <v>13</v>
      </c>
      <c r="E4658">
        <v>147500</v>
      </c>
      <c r="F4658" t="s">
        <v>14</v>
      </c>
      <c r="G4658" t="s">
        <v>24</v>
      </c>
      <c r="H4658" t="s">
        <v>16</v>
      </c>
      <c r="I4658">
        <v>2728.75</v>
      </c>
      <c r="J4658">
        <v>1091.5</v>
      </c>
      <c r="K4658">
        <v>1637.25</v>
      </c>
    </row>
    <row r="4659" spans="1:11" x14ac:dyDescent="0.25">
      <c r="A4659" t="s">
        <v>4699</v>
      </c>
      <c r="B4659" s="1">
        <v>45816.028321759259</v>
      </c>
      <c r="C4659" s="2" t="s">
        <v>26</v>
      </c>
      <c r="D4659" t="s">
        <v>19</v>
      </c>
      <c r="E4659">
        <v>48811</v>
      </c>
      <c r="F4659" t="s">
        <v>14</v>
      </c>
      <c r="G4659" t="s">
        <v>27</v>
      </c>
      <c r="H4659" t="s">
        <v>16</v>
      </c>
      <c r="I4659">
        <v>5</v>
      </c>
      <c r="J4659">
        <v>0</v>
      </c>
      <c r="K4659">
        <v>5</v>
      </c>
    </row>
    <row r="4660" spans="1:11" x14ac:dyDescent="0.25">
      <c r="A4660" t="s">
        <v>4700</v>
      </c>
      <c r="B4660" s="1">
        <v>45880.875243055554</v>
      </c>
      <c r="C4660" s="2" t="s">
        <v>12</v>
      </c>
      <c r="D4660" t="s">
        <v>33</v>
      </c>
      <c r="E4660">
        <v>95830</v>
      </c>
      <c r="F4660" t="s">
        <v>14</v>
      </c>
      <c r="G4660" t="s">
        <v>24</v>
      </c>
      <c r="H4660" t="s">
        <v>16</v>
      </c>
      <c r="I4660">
        <v>0</v>
      </c>
      <c r="J4660">
        <v>0</v>
      </c>
      <c r="K4660">
        <v>0</v>
      </c>
    </row>
    <row r="4661" spans="1:11" x14ac:dyDescent="0.25">
      <c r="A4661" t="s">
        <v>4701</v>
      </c>
      <c r="B4661" s="1">
        <v>46136.658182870371</v>
      </c>
      <c r="C4661" s="2" t="s">
        <v>29</v>
      </c>
      <c r="D4661" t="s">
        <v>23</v>
      </c>
      <c r="E4661">
        <v>604</v>
      </c>
      <c r="F4661" t="s">
        <v>14</v>
      </c>
      <c r="G4661" t="s">
        <v>15</v>
      </c>
      <c r="H4661" t="s">
        <v>16</v>
      </c>
      <c r="I4661">
        <v>0</v>
      </c>
      <c r="J4661">
        <v>0</v>
      </c>
      <c r="K4661">
        <v>0</v>
      </c>
    </row>
    <row r="4662" spans="1:11" x14ac:dyDescent="0.25">
      <c r="A4662" t="s">
        <v>4702</v>
      </c>
      <c r="B4662" s="1">
        <v>45927.137627314813</v>
      </c>
      <c r="C4662" s="2" t="s">
        <v>29</v>
      </c>
      <c r="D4662" t="s">
        <v>45</v>
      </c>
      <c r="E4662">
        <v>63724</v>
      </c>
      <c r="F4662" t="s">
        <v>14</v>
      </c>
      <c r="G4662" t="s">
        <v>51</v>
      </c>
      <c r="H4662" t="s">
        <v>71</v>
      </c>
      <c r="I4662">
        <v>637.24</v>
      </c>
      <c r="J4662">
        <v>0</v>
      </c>
      <c r="K4662">
        <v>637.24</v>
      </c>
    </row>
    <row r="4663" spans="1:11" x14ac:dyDescent="0.25">
      <c r="A4663" t="s">
        <v>4703</v>
      </c>
      <c r="B4663" s="1">
        <v>45947.28974537037</v>
      </c>
      <c r="C4663" s="2" t="s">
        <v>12</v>
      </c>
      <c r="D4663" t="s">
        <v>45</v>
      </c>
      <c r="E4663">
        <v>29065</v>
      </c>
      <c r="F4663" t="s">
        <v>14</v>
      </c>
      <c r="G4663" t="s">
        <v>30</v>
      </c>
      <c r="H4663" t="s">
        <v>71</v>
      </c>
      <c r="I4663">
        <v>290.64999999999998</v>
      </c>
      <c r="J4663">
        <v>0</v>
      </c>
      <c r="K4663">
        <v>290.64999999999998</v>
      </c>
    </row>
    <row r="4664" spans="1:11" x14ac:dyDescent="0.25">
      <c r="A4664" t="s">
        <v>4704</v>
      </c>
      <c r="B4664" s="1">
        <v>45925.977048611108</v>
      </c>
      <c r="C4664" s="2" t="s">
        <v>18</v>
      </c>
      <c r="D4664" t="s">
        <v>13</v>
      </c>
      <c r="E4664">
        <v>112500</v>
      </c>
      <c r="F4664" t="s">
        <v>14</v>
      </c>
      <c r="G4664" t="s">
        <v>34</v>
      </c>
      <c r="H4664" t="s">
        <v>16</v>
      </c>
      <c r="I4664">
        <v>2081.25</v>
      </c>
      <c r="J4664">
        <v>832.5</v>
      </c>
      <c r="K4664">
        <v>1248.75</v>
      </c>
    </row>
    <row r="4665" spans="1:11" x14ac:dyDescent="0.25">
      <c r="A4665" t="s">
        <v>4705</v>
      </c>
      <c r="B4665" s="1">
        <v>46020.820381944446</v>
      </c>
      <c r="C4665" s="2" t="s">
        <v>32</v>
      </c>
      <c r="D4665" t="s">
        <v>45</v>
      </c>
      <c r="E4665">
        <v>100361</v>
      </c>
      <c r="F4665" t="s">
        <v>14</v>
      </c>
      <c r="G4665" t="s">
        <v>27</v>
      </c>
      <c r="H4665" t="s">
        <v>178</v>
      </c>
      <c r="I4665">
        <v>1003.61</v>
      </c>
      <c r="J4665">
        <v>0</v>
      </c>
      <c r="K4665">
        <v>1003.61</v>
      </c>
    </row>
    <row r="4666" spans="1:11" x14ac:dyDescent="0.25">
      <c r="A4666" t="s">
        <v>4706</v>
      </c>
      <c r="B4666" s="1">
        <v>46051.102858796294</v>
      </c>
      <c r="C4666" s="2" t="s">
        <v>39</v>
      </c>
      <c r="D4666" t="s">
        <v>33</v>
      </c>
      <c r="E4666">
        <v>103951</v>
      </c>
      <c r="F4666" t="s">
        <v>14</v>
      </c>
      <c r="G4666" t="s">
        <v>58</v>
      </c>
      <c r="H4666" t="s">
        <v>16</v>
      </c>
      <c r="I4666">
        <v>0</v>
      </c>
      <c r="J4666">
        <v>0</v>
      </c>
      <c r="K4666">
        <v>0</v>
      </c>
    </row>
    <row r="4667" spans="1:11" x14ac:dyDescent="0.25">
      <c r="A4667" t="s">
        <v>4707</v>
      </c>
      <c r="B4667" s="1">
        <v>45885.766747685186</v>
      </c>
      <c r="C4667" s="2" t="s">
        <v>32</v>
      </c>
      <c r="D4667" t="s">
        <v>23</v>
      </c>
      <c r="E4667">
        <v>2028</v>
      </c>
      <c r="F4667" t="s">
        <v>14</v>
      </c>
      <c r="G4667" t="s">
        <v>30</v>
      </c>
      <c r="H4667" t="s">
        <v>16</v>
      </c>
      <c r="I4667">
        <v>0</v>
      </c>
      <c r="J4667">
        <v>0</v>
      </c>
      <c r="K4667">
        <v>0</v>
      </c>
    </row>
    <row r="4668" spans="1:11" x14ac:dyDescent="0.25">
      <c r="A4668" t="s">
        <v>4708</v>
      </c>
      <c r="B4668" s="1">
        <v>46117.344513888886</v>
      </c>
      <c r="C4668" s="2" t="s">
        <v>12</v>
      </c>
      <c r="D4668" t="s">
        <v>19</v>
      </c>
      <c r="E4668">
        <v>5715</v>
      </c>
      <c r="F4668" t="s">
        <v>14</v>
      </c>
      <c r="G4668" t="s">
        <v>84</v>
      </c>
      <c r="H4668" t="s">
        <v>16</v>
      </c>
      <c r="I4668">
        <v>5</v>
      </c>
      <c r="J4668">
        <v>0</v>
      </c>
      <c r="K4668">
        <v>5</v>
      </c>
    </row>
    <row r="4669" spans="1:11" x14ac:dyDescent="0.25">
      <c r="A4669" t="s">
        <v>4709</v>
      </c>
      <c r="B4669" s="1">
        <v>45926.117789351854</v>
      </c>
      <c r="C4669" s="2" t="s">
        <v>22</v>
      </c>
      <c r="D4669" t="s">
        <v>19</v>
      </c>
      <c r="E4669">
        <v>117557</v>
      </c>
      <c r="F4669" t="s">
        <v>50</v>
      </c>
      <c r="G4669" t="s">
        <v>34</v>
      </c>
      <c r="H4669" t="s">
        <v>16</v>
      </c>
      <c r="I4669">
        <v>5</v>
      </c>
      <c r="J4669">
        <v>0</v>
      </c>
      <c r="K4669">
        <v>5</v>
      </c>
    </row>
    <row r="4670" spans="1:11" x14ac:dyDescent="0.25">
      <c r="A4670" t="s">
        <v>4710</v>
      </c>
      <c r="B4670" s="1">
        <v>45963.834768518522</v>
      </c>
      <c r="C4670" s="2" t="s">
        <v>41</v>
      </c>
      <c r="D4670" t="s">
        <v>13</v>
      </c>
      <c r="E4670">
        <v>51500</v>
      </c>
      <c r="F4670" t="s">
        <v>14</v>
      </c>
      <c r="G4670" t="s">
        <v>51</v>
      </c>
      <c r="H4670" t="s">
        <v>16</v>
      </c>
      <c r="I4670">
        <v>952.75</v>
      </c>
      <c r="J4670">
        <v>381.1</v>
      </c>
      <c r="K4670">
        <v>571.65</v>
      </c>
    </row>
    <row r="4671" spans="1:11" x14ac:dyDescent="0.25">
      <c r="A4671" t="s">
        <v>4711</v>
      </c>
      <c r="B4671" s="1">
        <v>45779.25209490741</v>
      </c>
      <c r="C4671" s="2" t="s">
        <v>39</v>
      </c>
      <c r="D4671" t="s">
        <v>23</v>
      </c>
      <c r="E4671">
        <v>3350</v>
      </c>
      <c r="F4671" t="s">
        <v>14</v>
      </c>
      <c r="G4671" t="s">
        <v>20</v>
      </c>
      <c r="H4671" t="s">
        <v>16</v>
      </c>
      <c r="I4671">
        <v>0</v>
      </c>
      <c r="J4671">
        <v>0</v>
      </c>
      <c r="K4671">
        <v>0</v>
      </c>
    </row>
    <row r="4672" spans="1:11" x14ac:dyDescent="0.25">
      <c r="A4672" t="s">
        <v>4712</v>
      </c>
      <c r="B4672" s="1">
        <v>45950.282314814816</v>
      </c>
      <c r="C4672" s="2" t="s">
        <v>39</v>
      </c>
      <c r="D4672" t="s">
        <v>33</v>
      </c>
      <c r="E4672">
        <v>44543</v>
      </c>
      <c r="F4672" t="s">
        <v>14</v>
      </c>
      <c r="G4672" t="s">
        <v>34</v>
      </c>
      <c r="H4672" t="s">
        <v>16</v>
      </c>
      <c r="I4672">
        <v>0</v>
      </c>
      <c r="J4672">
        <v>0</v>
      </c>
      <c r="K4672">
        <v>0</v>
      </c>
    </row>
    <row r="4673" spans="1:11" x14ac:dyDescent="0.25">
      <c r="A4673" t="s">
        <v>4713</v>
      </c>
      <c r="B4673" s="1">
        <v>45876.072581018518</v>
      </c>
      <c r="C4673" s="2" t="s">
        <v>26</v>
      </c>
      <c r="D4673" t="s">
        <v>45</v>
      </c>
      <c r="E4673">
        <v>101802</v>
      </c>
      <c r="F4673" t="s">
        <v>14</v>
      </c>
      <c r="G4673" t="s">
        <v>27</v>
      </c>
      <c r="H4673" t="s">
        <v>56</v>
      </c>
      <c r="I4673">
        <v>1018.02</v>
      </c>
      <c r="J4673">
        <v>0</v>
      </c>
      <c r="K4673">
        <v>1018.02</v>
      </c>
    </row>
    <row r="4674" spans="1:11" x14ac:dyDescent="0.25">
      <c r="A4674" t="s">
        <v>4714</v>
      </c>
      <c r="B4674" s="1">
        <v>45814.014733796299</v>
      </c>
      <c r="C4674" s="2" t="s">
        <v>12</v>
      </c>
      <c r="D4674" t="s">
        <v>13</v>
      </c>
      <c r="E4674">
        <v>57500</v>
      </c>
      <c r="F4674" t="s">
        <v>14</v>
      </c>
      <c r="G4674" t="s">
        <v>84</v>
      </c>
      <c r="H4674" t="s">
        <v>16</v>
      </c>
      <c r="I4674">
        <v>1063.75</v>
      </c>
      <c r="J4674">
        <v>425.5</v>
      </c>
      <c r="K4674">
        <v>638.25</v>
      </c>
    </row>
    <row r="4675" spans="1:11" x14ac:dyDescent="0.25">
      <c r="A4675" t="s">
        <v>4715</v>
      </c>
      <c r="B4675" s="1">
        <v>45805.152060185188</v>
      </c>
      <c r="C4675" s="2" t="s">
        <v>18</v>
      </c>
      <c r="D4675" t="s">
        <v>45</v>
      </c>
      <c r="E4675">
        <v>37376</v>
      </c>
      <c r="F4675" t="s">
        <v>14</v>
      </c>
      <c r="G4675" t="s">
        <v>27</v>
      </c>
      <c r="H4675" t="s">
        <v>59</v>
      </c>
      <c r="I4675">
        <v>373.76</v>
      </c>
      <c r="J4675">
        <v>0</v>
      </c>
      <c r="K4675">
        <v>373.76</v>
      </c>
    </row>
    <row r="4676" spans="1:11" x14ac:dyDescent="0.25">
      <c r="A4676" t="s">
        <v>4716</v>
      </c>
      <c r="B4676" s="1">
        <v>45984.89234953704</v>
      </c>
      <c r="C4676" s="2" t="s">
        <v>18</v>
      </c>
      <c r="D4676" t="s">
        <v>33</v>
      </c>
      <c r="E4676">
        <v>48666</v>
      </c>
      <c r="F4676" t="s">
        <v>50</v>
      </c>
      <c r="G4676" t="s">
        <v>34</v>
      </c>
      <c r="H4676" t="s">
        <v>16</v>
      </c>
      <c r="I4676">
        <v>0</v>
      </c>
      <c r="J4676">
        <v>0</v>
      </c>
      <c r="K4676">
        <v>0</v>
      </c>
    </row>
    <row r="4677" spans="1:11" x14ac:dyDescent="0.25">
      <c r="A4677" t="s">
        <v>4717</v>
      </c>
      <c r="B4677" s="1">
        <v>46007.879756944443</v>
      </c>
      <c r="C4677" s="2" t="s">
        <v>29</v>
      </c>
      <c r="D4677" t="s">
        <v>19</v>
      </c>
      <c r="E4677">
        <v>107162</v>
      </c>
      <c r="F4677" t="s">
        <v>14</v>
      </c>
      <c r="G4677" t="s">
        <v>27</v>
      </c>
      <c r="H4677" t="s">
        <v>16</v>
      </c>
      <c r="I4677">
        <v>5</v>
      </c>
      <c r="J4677">
        <v>0</v>
      </c>
      <c r="K4677">
        <v>5</v>
      </c>
    </row>
    <row r="4678" spans="1:11" x14ac:dyDescent="0.25">
      <c r="A4678" t="s">
        <v>4718</v>
      </c>
      <c r="B4678" s="1">
        <v>46109.235706018517</v>
      </c>
      <c r="C4678" s="2" t="s">
        <v>29</v>
      </c>
      <c r="D4678" t="s">
        <v>19</v>
      </c>
      <c r="E4678">
        <v>55960</v>
      </c>
      <c r="F4678" t="s">
        <v>14</v>
      </c>
      <c r="G4678" t="s">
        <v>34</v>
      </c>
      <c r="H4678" t="s">
        <v>16</v>
      </c>
      <c r="I4678">
        <v>5</v>
      </c>
      <c r="J4678">
        <v>0</v>
      </c>
      <c r="K4678">
        <v>5</v>
      </c>
    </row>
    <row r="4679" spans="1:11" x14ac:dyDescent="0.25">
      <c r="A4679" t="s">
        <v>4719</v>
      </c>
      <c r="B4679" s="1">
        <v>45814.733761574076</v>
      </c>
      <c r="C4679" s="2" t="s">
        <v>22</v>
      </c>
      <c r="D4679" t="s">
        <v>45</v>
      </c>
      <c r="E4679">
        <v>96135</v>
      </c>
      <c r="F4679" t="s">
        <v>14</v>
      </c>
      <c r="G4679" t="s">
        <v>27</v>
      </c>
      <c r="H4679" t="s">
        <v>56</v>
      </c>
      <c r="I4679">
        <v>961.35</v>
      </c>
      <c r="J4679">
        <v>0</v>
      </c>
      <c r="K4679">
        <v>961.35</v>
      </c>
    </row>
    <row r="4680" spans="1:11" x14ac:dyDescent="0.25">
      <c r="A4680" t="s">
        <v>4720</v>
      </c>
      <c r="B4680" s="1">
        <v>45779.138738425929</v>
      </c>
      <c r="C4680" s="2" t="s">
        <v>22</v>
      </c>
      <c r="D4680" t="s">
        <v>19</v>
      </c>
      <c r="E4680">
        <v>122570</v>
      </c>
      <c r="F4680" t="s">
        <v>14</v>
      </c>
      <c r="G4680" t="s">
        <v>24</v>
      </c>
      <c r="H4680" t="s">
        <v>16</v>
      </c>
      <c r="I4680">
        <v>5</v>
      </c>
      <c r="J4680">
        <v>0</v>
      </c>
      <c r="K4680">
        <v>5</v>
      </c>
    </row>
    <row r="4681" spans="1:11" x14ac:dyDescent="0.25">
      <c r="A4681" t="s">
        <v>4721</v>
      </c>
      <c r="B4681" s="1">
        <v>46068.50508101852</v>
      </c>
      <c r="C4681" s="2" t="s">
        <v>32</v>
      </c>
      <c r="D4681" t="s">
        <v>33</v>
      </c>
      <c r="E4681">
        <v>85858</v>
      </c>
      <c r="F4681" t="s">
        <v>50</v>
      </c>
      <c r="G4681" t="s">
        <v>24</v>
      </c>
      <c r="H4681" t="s">
        <v>16</v>
      </c>
      <c r="I4681">
        <v>0</v>
      </c>
      <c r="J4681">
        <v>0</v>
      </c>
      <c r="K4681">
        <v>0</v>
      </c>
    </row>
    <row r="4682" spans="1:11" x14ac:dyDescent="0.25">
      <c r="A4682" t="s">
        <v>4722</v>
      </c>
      <c r="B4682" s="1">
        <v>46040.932986111111</v>
      </c>
      <c r="C4682" s="2" t="s">
        <v>22</v>
      </c>
      <c r="D4682" t="s">
        <v>19</v>
      </c>
      <c r="E4682">
        <v>110637</v>
      </c>
      <c r="F4682" t="s">
        <v>14</v>
      </c>
      <c r="G4682" t="s">
        <v>58</v>
      </c>
      <c r="H4682" t="s">
        <v>16</v>
      </c>
      <c r="I4682">
        <v>5</v>
      </c>
      <c r="J4682">
        <v>0</v>
      </c>
      <c r="K4682">
        <v>5</v>
      </c>
    </row>
    <row r="4683" spans="1:11" x14ac:dyDescent="0.25">
      <c r="A4683" t="s">
        <v>4723</v>
      </c>
      <c r="B4683" s="1">
        <v>45782.53197916667</v>
      </c>
      <c r="C4683" s="2" t="s">
        <v>32</v>
      </c>
      <c r="D4683" t="s">
        <v>19</v>
      </c>
      <c r="E4683">
        <v>122304</v>
      </c>
      <c r="F4683" t="s">
        <v>50</v>
      </c>
      <c r="G4683" t="s">
        <v>51</v>
      </c>
      <c r="H4683" t="s">
        <v>16</v>
      </c>
      <c r="I4683">
        <v>5</v>
      </c>
      <c r="J4683">
        <v>0</v>
      </c>
      <c r="K4683">
        <v>5</v>
      </c>
    </row>
    <row r="4684" spans="1:11" x14ac:dyDescent="0.25">
      <c r="A4684" t="s">
        <v>4724</v>
      </c>
      <c r="B4684" s="1">
        <v>46020.883622685185</v>
      </c>
      <c r="C4684" s="2" t="s">
        <v>18</v>
      </c>
      <c r="D4684" t="s">
        <v>45</v>
      </c>
      <c r="E4684">
        <v>36990</v>
      </c>
      <c r="F4684" t="s">
        <v>50</v>
      </c>
      <c r="G4684" t="s">
        <v>58</v>
      </c>
      <c r="H4684" t="s">
        <v>71</v>
      </c>
      <c r="I4684">
        <v>369.9</v>
      </c>
      <c r="J4684">
        <v>0</v>
      </c>
      <c r="K4684">
        <v>369.9</v>
      </c>
    </row>
    <row r="4685" spans="1:11" x14ac:dyDescent="0.25">
      <c r="A4685" t="s">
        <v>4725</v>
      </c>
      <c r="B4685" s="1">
        <v>46013.754687499997</v>
      </c>
      <c r="C4685" s="2" t="s">
        <v>18</v>
      </c>
      <c r="D4685" t="s">
        <v>19</v>
      </c>
      <c r="E4685">
        <v>113623</v>
      </c>
      <c r="F4685" t="s">
        <v>14</v>
      </c>
      <c r="G4685" t="s">
        <v>27</v>
      </c>
      <c r="H4685" t="s">
        <v>16</v>
      </c>
      <c r="I4685">
        <v>5</v>
      </c>
      <c r="J4685">
        <v>0</v>
      </c>
      <c r="K4685">
        <v>5</v>
      </c>
    </row>
    <row r="4686" spans="1:11" x14ac:dyDescent="0.25">
      <c r="A4686" t="s">
        <v>4726</v>
      </c>
      <c r="B4686" s="1">
        <v>46023.317280092589</v>
      </c>
      <c r="C4686" s="2" t="s">
        <v>32</v>
      </c>
      <c r="D4686" t="s">
        <v>23</v>
      </c>
      <c r="E4686">
        <v>4512</v>
      </c>
      <c r="F4686" t="s">
        <v>99</v>
      </c>
      <c r="G4686" t="s">
        <v>24</v>
      </c>
      <c r="H4686" t="s">
        <v>16</v>
      </c>
      <c r="I4686">
        <v>0</v>
      </c>
      <c r="J4686">
        <v>0</v>
      </c>
      <c r="K4686">
        <v>0</v>
      </c>
    </row>
    <row r="4687" spans="1:11" x14ac:dyDescent="0.25">
      <c r="A4687" t="s">
        <v>4727</v>
      </c>
      <c r="B4687" s="1">
        <v>46140.262442129628</v>
      </c>
      <c r="C4687" s="2" t="s">
        <v>29</v>
      </c>
      <c r="D4687" t="s">
        <v>19</v>
      </c>
      <c r="E4687">
        <v>18017</v>
      </c>
      <c r="F4687" t="s">
        <v>14</v>
      </c>
      <c r="G4687" t="s">
        <v>84</v>
      </c>
      <c r="H4687" t="s">
        <v>16</v>
      </c>
      <c r="I4687">
        <v>5</v>
      </c>
      <c r="J4687">
        <v>0</v>
      </c>
      <c r="K4687">
        <v>5</v>
      </c>
    </row>
    <row r="4688" spans="1:11" x14ac:dyDescent="0.25">
      <c r="A4688" t="s">
        <v>4728</v>
      </c>
      <c r="B4688" s="1">
        <v>45958.144942129627</v>
      </c>
      <c r="C4688" s="2" t="s">
        <v>39</v>
      </c>
      <c r="D4688" t="s">
        <v>23</v>
      </c>
      <c r="E4688">
        <v>1043</v>
      </c>
      <c r="F4688" t="s">
        <v>14</v>
      </c>
      <c r="G4688" t="s">
        <v>30</v>
      </c>
      <c r="H4688" t="s">
        <v>16</v>
      </c>
      <c r="I4688">
        <v>0</v>
      </c>
      <c r="J4688">
        <v>0</v>
      </c>
      <c r="K4688">
        <v>0</v>
      </c>
    </row>
    <row r="4689" spans="1:11" x14ac:dyDescent="0.25">
      <c r="A4689" t="s">
        <v>4729</v>
      </c>
      <c r="B4689" s="1">
        <v>45886.858784722222</v>
      </c>
      <c r="C4689" s="2" t="s">
        <v>12</v>
      </c>
      <c r="D4689" t="s">
        <v>45</v>
      </c>
      <c r="E4689">
        <v>70079</v>
      </c>
      <c r="F4689" t="s">
        <v>14</v>
      </c>
      <c r="G4689" t="s">
        <v>58</v>
      </c>
      <c r="H4689" t="s">
        <v>178</v>
      </c>
      <c r="I4689">
        <v>700.79</v>
      </c>
      <c r="J4689">
        <v>0</v>
      </c>
      <c r="K4689">
        <v>700.79</v>
      </c>
    </row>
    <row r="4690" spans="1:11" x14ac:dyDescent="0.25">
      <c r="A4690" t="s">
        <v>4730</v>
      </c>
      <c r="B4690" s="1">
        <v>45915.167974537035</v>
      </c>
      <c r="C4690" s="2" t="s">
        <v>22</v>
      </c>
      <c r="D4690" t="s">
        <v>23</v>
      </c>
      <c r="E4690">
        <v>2158</v>
      </c>
      <c r="F4690" t="s">
        <v>14</v>
      </c>
      <c r="G4690" t="s">
        <v>30</v>
      </c>
      <c r="H4690" t="s">
        <v>16</v>
      </c>
      <c r="I4690">
        <v>0</v>
      </c>
      <c r="J4690">
        <v>0</v>
      </c>
      <c r="K4690">
        <v>0</v>
      </c>
    </row>
    <row r="4691" spans="1:11" x14ac:dyDescent="0.25">
      <c r="A4691" t="s">
        <v>4731</v>
      </c>
      <c r="B4691" s="1">
        <v>45835.219027777777</v>
      </c>
      <c r="C4691" s="2" t="s">
        <v>26</v>
      </c>
      <c r="D4691" t="s">
        <v>13</v>
      </c>
      <c r="E4691">
        <v>92000</v>
      </c>
      <c r="F4691" t="s">
        <v>14</v>
      </c>
      <c r="G4691" t="s">
        <v>58</v>
      </c>
      <c r="H4691" t="s">
        <v>16</v>
      </c>
      <c r="I4691">
        <v>1702</v>
      </c>
      <c r="J4691">
        <v>680.8</v>
      </c>
      <c r="K4691">
        <v>1021.2</v>
      </c>
    </row>
    <row r="4692" spans="1:11" x14ac:dyDescent="0.25">
      <c r="A4692" t="s">
        <v>4732</v>
      </c>
      <c r="B4692" s="1">
        <v>45804.260358796295</v>
      </c>
      <c r="C4692" s="2" t="s">
        <v>39</v>
      </c>
      <c r="D4692" t="s">
        <v>33</v>
      </c>
      <c r="E4692">
        <v>51748</v>
      </c>
      <c r="F4692" t="s">
        <v>14</v>
      </c>
      <c r="G4692" t="s">
        <v>58</v>
      </c>
      <c r="H4692" t="s">
        <v>16</v>
      </c>
      <c r="I4692">
        <v>0</v>
      </c>
      <c r="J4692">
        <v>0</v>
      </c>
      <c r="K4692">
        <v>0</v>
      </c>
    </row>
    <row r="4693" spans="1:11" x14ac:dyDescent="0.25">
      <c r="A4693" t="s">
        <v>4733</v>
      </c>
      <c r="B4693" s="1">
        <v>45979.875937500001</v>
      </c>
      <c r="C4693" s="2" t="s">
        <v>39</v>
      </c>
      <c r="D4693" t="s">
        <v>19</v>
      </c>
      <c r="E4693">
        <v>63925</v>
      </c>
      <c r="F4693" t="s">
        <v>14</v>
      </c>
      <c r="G4693" t="s">
        <v>34</v>
      </c>
      <c r="H4693" t="s">
        <v>16</v>
      </c>
      <c r="I4693">
        <v>5</v>
      </c>
      <c r="J4693">
        <v>0</v>
      </c>
      <c r="K4693">
        <v>5</v>
      </c>
    </row>
    <row r="4694" spans="1:11" x14ac:dyDescent="0.25">
      <c r="A4694" t="s">
        <v>4734</v>
      </c>
      <c r="B4694" s="1">
        <v>46045.807025462964</v>
      </c>
      <c r="C4694" s="2" t="s">
        <v>32</v>
      </c>
      <c r="D4694" t="s">
        <v>13</v>
      </c>
      <c r="E4694">
        <v>89000</v>
      </c>
      <c r="F4694" t="s">
        <v>50</v>
      </c>
      <c r="G4694" t="s">
        <v>34</v>
      </c>
      <c r="H4694" t="s">
        <v>16</v>
      </c>
      <c r="I4694">
        <v>1646.5</v>
      </c>
      <c r="J4694">
        <v>658.6</v>
      </c>
      <c r="K4694">
        <v>987.9</v>
      </c>
    </row>
    <row r="4695" spans="1:11" x14ac:dyDescent="0.25">
      <c r="A4695" t="s">
        <v>4735</v>
      </c>
      <c r="B4695" s="1">
        <v>45890.255983796298</v>
      </c>
      <c r="C4695" s="2" t="s">
        <v>32</v>
      </c>
      <c r="D4695" t="s">
        <v>33</v>
      </c>
      <c r="E4695">
        <v>74452</v>
      </c>
      <c r="F4695" t="s">
        <v>99</v>
      </c>
      <c r="G4695" t="s">
        <v>34</v>
      </c>
      <c r="H4695" t="s">
        <v>16</v>
      </c>
      <c r="I4695">
        <v>0</v>
      </c>
      <c r="J4695">
        <v>0</v>
      </c>
      <c r="K4695">
        <v>0</v>
      </c>
    </row>
    <row r="4696" spans="1:11" x14ac:dyDescent="0.25">
      <c r="A4696" t="s">
        <v>4736</v>
      </c>
      <c r="B4696" s="1">
        <v>46084.764363425929</v>
      </c>
      <c r="C4696" s="2" t="s">
        <v>39</v>
      </c>
      <c r="D4696" t="s">
        <v>23</v>
      </c>
      <c r="E4696">
        <v>1188</v>
      </c>
      <c r="F4696" t="s">
        <v>50</v>
      </c>
      <c r="G4696" t="s">
        <v>58</v>
      </c>
      <c r="H4696" t="s">
        <v>16</v>
      </c>
      <c r="I4696">
        <v>0</v>
      </c>
      <c r="J4696">
        <v>0</v>
      </c>
      <c r="K4696">
        <v>0</v>
      </c>
    </row>
    <row r="4697" spans="1:11" x14ac:dyDescent="0.25">
      <c r="A4697" t="s">
        <v>4737</v>
      </c>
      <c r="B4697" s="1">
        <v>45902.793993055559</v>
      </c>
      <c r="C4697" s="2" t="s">
        <v>12</v>
      </c>
      <c r="D4697" t="s">
        <v>45</v>
      </c>
      <c r="E4697">
        <v>128524</v>
      </c>
      <c r="F4697" t="s">
        <v>14</v>
      </c>
      <c r="G4697" t="s">
        <v>34</v>
      </c>
      <c r="H4697" t="s">
        <v>178</v>
      </c>
      <c r="I4697">
        <v>1285.24</v>
      </c>
      <c r="J4697">
        <v>0</v>
      </c>
      <c r="K4697">
        <v>1285.24</v>
      </c>
    </row>
    <row r="4698" spans="1:11" x14ac:dyDescent="0.25">
      <c r="A4698" t="s">
        <v>4738</v>
      </c>
      <c r="B4698" s="1">
        <v>45981.294953703706</v>
      </c>
      <c r="C4698" s="2" t="s">
        <v>29</v>
      </c>
      <c r="D4698" t="s">
        <v>33</v>
      </c>
      <c r="E4698">
        <v>25649</v>
      </c>
      <c r="F4698" t="s">
        <v>14</v>
      </c>
      <c r="G4698" t="s">
        <v>27</v>
      </c>
      <c r="H4698" t="s">
        <v>16</v>
      </c>
      <c r="I4698">
        <v>0</v>
      </c>
      <c r="J4698">
        <v>0</v>
      </c>
      <c r="K4698">
        <v>0</v>
      </c>
    </row>
    <row r="4699" spans="1:11" x14ac:dyDescent="0.25">
      <c r="A4699" t="s">
        <v>4739</v>
      </c>
      <c r="B4699" s="1">
        <v>45965.898912037039</v>
      </c>
      <c r="C4699" s="2" t="s">
        <v>22</v>
      </c>
      <c r="D4699" t="s">
        <v>45</v>
      </c>
      <c r="E4699">
        <v>12097</v>
      </c>
      <c r="F4699" t="s">
        <v>14</v>
      </c>
      <c r="G4699" t="s">
        <v>84</v>
      </c>
      <c r="H4699" t="s">
        <v>46</v>
      </c>
      <c r="I4699">
        <v>120.97</v>
      </c>
      <c r="J4699">
        <v>0</v>
      </c>
      <c r="K4699">
        <v>120.97</v>
      </c>
    </row>
    <row r="4700" spans="1:11" x14ac:dyDescent="0.25">
      <c r="A4700" t="s">
        <v>4740</v>
      </c>
      <c r="B4700" s="1">
        <v>46067.589375000003</v>
      </c>
      <c r="C4700" s="2" t="s">
        <v>22</v>
      </c>
      <c r="D4700" t="s">
        <v>45</v>
      </c>
      <c r="E4700">
        <v>99656</v>
      </c>
      <c r="F4700" t="s">
        <v>14</v>
      </c>
      <c r="G4700" t="s">
        <v>27</v>
      </c>
      <c r="H4700" t="s">
        <v>59</v>
      </c>
      <c r="I4700">
        <v>996.56</v>
      </c>
      <c r="J4700">
        <v>0</v>
      </c>
      <c r="K4700">
        <v>996.56</v>
      </c>
    </row>
    <row r="4701" spans="1:11" x14ac:dyDescent="0.25">
      <c r="A4701" t="s">
        <v>4741</v>
      </c>
      <c r="B4701" s="1">
        <v>46110.902083333334</v>
      </c>
      <c r="C4701" s="2" t="s">
        <v>18</v>
      </c>
      <c r="D4701" t="s">
        <v>23</v>
      </c>
      <c r="E4701">
        <v>4247</v>
      </c>
      <c r="F4701" t="s">
        <v>14</v>
      </c>
      <c r="G4701" t="s">
        <v>20</v>
      </c>
      <c r="H4701" t="s">
        <v>16</v>
      </c>
      <c r="I4701">
        <v>0</v>
      </c>
      <c r="J4701">
        <v>0</v>
      </c>
      <c r="K4701">
        <v>0</v>
      </c>
    </row>
    <row r="4702" spans="1:11" x14ac:dyDescent="0.25">
      <c r="A4702" t="s">
        <v>4742</v>
      </c>
      <c r="B4702" s="1">
        <v>46018.698101851849</v>
      </c>
      <c r="C4702" s="2" t="s">
        <v>26</v>
      </c>
      <c r="D4702" t="s">
        <v>19</v>
      </c>
      <c r="E4702">
        <v>42077</v>
      </c>
      <c r="F4702" t="s">
        <v>14</v>
      </c>
      <c r="G4702" t="s">
        <v>58</v>
      </c>
      <c r="H4702" t="s">
        <v>16</v>
      </c>
      <c r="I4702">
        <v>5</v>
      </c>
      <c r="J4702">
        <v>0</v>
      </c>
      <c r="K4702">
        <v>5</v>
      </c>
    </row>
    <row r="4703" spans="1:11" x14ac:dyDescent="0.25">
      <c r="A4703" t="s">
        <v>4743</v>
      </c>
      <c r="B4703" s="1">
        <v>46087.888668981483</v>
      </c>
      <c r="C4703" s="2" t="s">
        <v>12</v>
      </c>
      <c r="D4703" t="s">
        <v>45</v>
      </c>
      <c r="E4703">
        <v>63663</v>
      </c>
      <c r="F4703" t="s">
        <v>14</v>
      </c>
      <c r="G4703" t="s">
        <v>84</v>
      </c>
      <c r="H4703" t="s">
        <v>59</v>
      </c>
      <c r="I4703">
        <v>636.63</v>
      </c>
      <c r="J4703">
        <v>0</v>
      </c>
      <c r="K4703">
        <v>636.63</v>
      </c>
    </row>
    <row r="4704" spans="1:11" x14ac:dyDescent="0.25">
      <c r="A4704" t="s">
        <v>4744</v>
      </c>
      <c r="B4704" s="1">
        <v>45832.573113425926</v>
      </c>
      <c r="C4704" s="2" t="s">
        <v>41</v>
      </c>
      <c r="D4704" t="s">
        <v>33</v>
      </c>
      <c r="E4704">
        <v>13074</v>
      </c>
      <c r="F4704" t="s">
        <v>50</v>
      </c>
      <c r="G4704" t="s">
        <v>27</v>
      </c>
      <c r="H4704" t="s">
        <v>16</v>
      </c>
      <c r="I4704">
        <v>0</v>
      </c>
      <c r="J4704">
        <v>0</v>
      </c>
      <c r="K4704">
        <v>0</v>
      </c>
    </row>
    <row r="4705" spans="1:11" x14ac:dyDescent="0.25">
      <c r="A4705" t="s">
        <v>4745</v>
      </c>
      <c r="B4705" s="1">
        <v>46037.447743055556</v>
      </c>
      <c r="C4705" s="2" t="s">
        <v>29</v>
      </c>
      <c r="D4705" t="s">
        <v>23</v>
      </c>
      <c r="E4705">
        <v>2537</v>
      </c>
      <c r="F4705" t="s">
        <v>14</v>
      </c>
      <c r="G4705" t="s">
        <v>58</v>
      </c>
      <c r="H4705" t="s">
        <v>16</v>
      </c>
      <c r="I4705">
        <v>0</v>
      </c>
      <c r="J4705">
        <v>0</v>
      </c>
      <c r="K4705">
        <v>0</v>
      </c>
    </row>
    <row r="4706" spans="1:11" x14ac:dyDescent="0.25">
      <c r="A4706" t="s">
        <v>4746</v>
      </c>
      <c r="B4706" s="1">
        <v>45894.043425925927</v>
      </c>
      <c r="C4706" s="2" t="s">
        <v>18</v>
      </c>
      <c r="D4706" t="s">
        <v>13</v>
      </c>
      <c r="E4706">
        <v>53500</v>
      </c>
      <c r="F4706" t="s">
        <v>14</v>
      </c>
      <c r="G4706" t="s">
        <v>15</v>
      </c>
      <c r="H4706" t="s">
        <v>16</v>
      </c>
      <c r="I4706">
        <v>989.75</v>
      </c>
      <c r="J4706">
        <v>395.9</v>
      </c>
      <c r="K4706">
        <v>593.85</v>
      </c>
    </row>
    <row r="4707" spans="1:11" x14ac:dyDescent="0.25">
      <c r="A4707" t="s">
        <v>4747</v>
      </c>
      <c r="B4707" s="1">
        <v>45976.845254629632</v>
      </c>
      <c r="C4707" s="2" t="s">
        <v>41</v>
      </c>
      <c r="D4707" t="s">
        <v>33</v>
      </c>
      <c r="E4707">
        <v>98825</v>
      </c>
      <c r="F4707" t="s">
        <v>14</v>
      </c>
      <c r="G4707" t="s">
        <v>34</v>
      </c>
      <c r="H4707" t="s">
        <v>16</v>
      </c>
      <c r="I4707">
        <v>0</v>
      </c>
      <c r="J4707">
        <v>0</v>
      </c>
      <c r="K4707">
        <v>0</v>
      </c>
    </row>
    <row r="4708" spans="1:11" x14ac:dyDescent="0.25">
      <c r="A4708" t="s">
        <v>4748</v>
      </c>
      <c r="B4708" s="1">
        <v>46141.707662037035</v>
      </c>
      <c r="C4708" s="2" t="s">
        <v>39</v>
      </c>
      <c r="D4708" t="s">
        <v>19</v>
      </c>
      <c r="E4708">
        <v>100724</v>
      </c>
      <c r="F4708" t="s">
        <v>14</v>
      </c>
      <c r="G4708" t="s">
        <v>84</v>
      </c>
      <c r="H4708" t="s">
        <v>16</v>
      </c>
      <c r="I4708">
        <v>5</v>
      </c>
      <c r="J4708">
        <v>0</v>
      </c>
      <c r="K4708">
        <v>5</v>
      </c>
    </row>
    <row r="4709" spans="1:11" x14ac:dyDescent="0.25">
      <c r="A4709" t="s">
        <v>4749</v>
      </c>
      <c r="B4709" s="1">
        <v>45840.073437500003</v>
      </c>
      <c r="C4709" s="2" t="s">
        <v>41</v>
      </c>
      <c r="D4709" t="s">
        <v>33</v>
      </c>
      <c r="E4709">
        <v>49032</v>
      </c>
      <c r="F4709" t="s">
        <v>14</v>
      </c>
      <c r="G4709" t="s">
        <v>34</v>
      </c>
      <c r="H4709" t="s">
        <v>16</v>
      </c>
      <c r="I4709">
        <v>0</v>
      </c>
      <c r="J4709">
        <v>0</v>
      </c>
      <c r="K4709">
        <v>0</v>
      </c>
    </row>
    <row r="4710" spans="1:11" x14ac:dyDescent="0.25">
      <c r="A4710" t="s">
        <v>4750</v>
      </c>
      <c r="B4710" s="1">
        <v>45813.405902777777</v>
      </c>
      <c r="C4710" s="2" t="s">
        <v>18</v>
      </c>
      <c r="D4710" t="s">
        <v>45</v>
      </c>
      <c r="E4710">
        <v>50794</v>
      </c>
      <c r="F4710" t="s">
        <v>14</v>
      </c>
      <c r="G4710" t="s">
        <v>24</v>
      </c>
      <c r="H4710" t="s">
        <v>178</v>
      </c>
      <c r="I4710">
        <v>507.94</v>
      </c>
      <c r="J4710">
        <v>0</v>
      </c>
      <c r="K4710">
        <v>507.94</v>
      </c>
    </row>
    <row r="4711" spans="1:11" x14ac:dyDescent="0.25">
      <c r="A4711" t="s">
        <v>4751</v>
      </c>
      <c r="B4711" s="1">
        <v>46032.870671296296</v>
      </c>
      <c r="C4711" s="2" t="s">
        <v>41</v>
      </c>
      <c r="D4711" t="s">
        <v>33</v>
      </c>
      <c r="E4711">
        <v>83034</v>
      </c>
      <c r="F4711" t="s">
        <v>50</v>
      </c>
      <c r="G4711" t="s">
        <v>15</v>
      </c>
      <c r="H4711" t="s">
        <v>16</v>
      </c>
      <c r="I4711">
        <v>0</v>
      </c>
      <c r="J4711">
        <v>0</v>
      </c>
      <c r="K4711">
        <v>0</v>
      </c>
    </row>
    <row r="4712" spans="1:11" x14ac:dyDescent="0.25">
      <c r="A4712" t="s">
        <v>4752</v>
      </c>
      <c r="B4712" s="1">
        <v>46020.762152777781</v>
      </c>
      <c r="C4712" s="2" t="s">
        <v>12</v>
      </c>
      <c r="D4712" t="s">
        <v>23</v>
      </c>
      <c r="E4712">
        <v>3609</v>
      </c>
      <c r="F4712" t="s">
        <v>50</v>
      </c>
      <c r="G4712" t="s">
        <v>15</v>
      </c>
      <c r="H4712" t="s">
        <v>16</v>
      </c>
      <c r="I4712">
        <v>0</v>
      </c>
      <c r="J4712">
        <v>0</v>
      </c>
      <c r="K4712">
        <v>0</v>
      </c>
    </row>
    <row r="4713" spans="1:11" x14ac:dyDescent="0.25">
      <c r="A4713" t="s">
        <v>4753</v>
      </c>
      <c r="B4713" s="1">
        <v>45977.81355324074</v>
      </c>
      <c r="C4713" s="2" t="s">
        <v>32</v>
      </c>
      <c r="D4713" t="s">
        <v>19</v>
      </c>
      <c r="E4713">
        <v>132821</v>
      </c>
      <c r="F4713" t="s">
        <v>14</v>
      </c>
      <c r="G4713" t="s">
        <v>24</v>
      </c>
      <c r="H4713" t="s">
        <v>16</v>
      </c>
      <c r="I4713">
        <v>5</v>
      </c>
      <c r="J4713">
        <v>0</v>
      </c>
      <c r="K4713">
        <v>5</v>
      </c>
    </row>
    <row r="4714" spans="1:11" x14ac:dyDescent="0.25">
      <c r="A4714" t="s">
        <v>4754</v>
      </c>
      <c r="B4714" s="1">
        <v>45958.777245370373</v>
      </c>
      <c r="C4714" s="2" t="s">
        <v>39</v>
      </c>
      <c r="D4714" t="s">
        <v>13</v>
      </c>
      <c r="E4714">
        <v>10000</v>
      </c>
      <c r="F4714" t="s">
        <v>14</v>
      </c>
      <c r="G4714" t="s">
        <v>34</v>
      </c>
      <c r="H4714" t="s">
        <v>16</v>
      </c>
      <c r="I4714">
        <v>185</v>
      </c>
      <c r="J4714">
        <v>74</v>
      </c>
      <c r="K4714">
        <v>111</v>
      </c>
    </row>
    <row r="4715" spans="1:11" x14ac:dyDescent="0.25">
      <c r="A4715" t="s">
        <v>4755</v>
      </c>
      <c r="B4715" s="1">
        <v>45785.772731481484</v>
      </c>
      <c r="C4715" s="2" t="s">
        <v>18</v>
      </c>
      <c r="D4715" t="s">
        <v>23</v>
      </c>
      <c r="E4715">
        <v>615</v>
      </c>
      <c r="F4715" t="s">
        <v>14</v>
      </c>
      <c r="G4715" t="s">
        <v>27</v>
      </c>
      <c r="H4715" t="s">
        <v>16</v>
      </c>
      <c r="I4715">
        <v>0</v>
      </c>
      <c r="J4715">
        <v>0</v>
      </c>
      <c r="K4715">
        <v>0</v>
      </c>
    </row>
    <row r="4716" spans="1:11" x14ac:dyDescent="0.25">
      <c r="A4716" t="s">
        <v>4756</v>
      </c>
      <c r="B4716" s="1">
        <v>45829.750902777778</v>
      </c>
      <c r="C4716" s="2" t="s">
        <v>26</v>
      </c>
      <c r="D4716" t="s">
        <v>13</v>
      </c>
      <c r="E4716">
        <v>225500</v>
      </c>
      <c r="F4716" t="s">
        <v>14</v>
      </c>
      <c r="G4716" t="s">
        <v>30</v>
      </c>
      <c r="H4716" t="s">
        <v>16</v>
      </c>
      <c r="I4716">
        <v>4171.75</v>
      </c>
      <c r="J4716">
        <v>1668.7</v>
      </c>
      <c r="K4716">
        <v>2503.0500000000002</v>
      </c>
    </row>
    <row r="4717" spans="1:11" x14ac:dyDescent="0.25">
      <c r="A4717" t="s">
        <v>4757</v>
      </c>
      <c r="B4717" s="1">
        <v>45856.530995370369</v>
      </c>
      <c r="C4717" s="2" t="s">
        <v>22</v>
      </c>
      <c r="D4717" t="s">
        <v>23</v>
      </c>
      <c r="E4717">
        <v>4792</v>
      </c>
      <c r="F4717" t="s">
        <v>14</v>
      </c>
      <c r="G4717" t="s">
        <v>34</v>
      </c>
      <c r="H4717" t="s">
        <v>16</v>
      </c>
      <c r="I4717">
        <v>0</v>
      </c>
      <c r="J4717">
        <v>0</v>
      </c>
      <c r="K4717">
        <v>0</v>
      </c>
    </row>
    <row r="4718" spans="1:11" x14ac:dyDescent="0.25">
      <c r="A4718" t="s">
        <v>4758</v>
      </c>
      <c r="B4718" s="1">
        <v>46043.431134259263</v>
      </c>
      <c r="C4718" s="2" t="s">
        <v>41</v>
      </c>
      <c r="D4718" t="s">
        <v>33</v>
      </c>
      <c r="E4718">
        <v>106469</v>
      </c>
      <c r="F4718" t="s">
        <v>14</v>
      </c>
      <c r="G4718" t="s">
        <v>51</v>
      </c>
      <c r="H4718" t="s">
        <v>16</v>
      </c>
      <c r="I4718">
        <v>0</v>
      </c>
      <c r="J4718">
        <v>0</v>
      </c>
      <c r="K4718">
        <v>0</v>
      </c>
    </row>
    <row r="4719" spans="1:11" x14ac:dyDescent="0.25">
      <c r="A4719" t="s">
        <v>4759</v>
      </c>
      <c r="B4719" s="1">
        <v>46129.358240740738</v>
      </c>
      <c r="C4719" s="2" t="s">
        <v>29</v>
      </c>
      <c r="D4719" t="s">
        <v>45</v>
      </c>
      <c r="E4719">
        <v>12670</v>
      </c>
      <c r="F4719" t="s">
        <v>14</v>
      </c>
      <c r="G4719" t="s">
        <v>20</v>
      </c>
      <c r="H4719" t="s">
        <v>59</v>
      </c>
      <c r="I4719">
        <v>126.7</v>
      </c>
      <c r="J4719">
        <v>0</v>
      </c>
      <c r="K4719">
        <v>126.7</v>
      </c>
    </row>
    <row r="4720" spans="1:11" x14ac:dyDescent="0.25">
      <c r="A4720" t="s">
        <v>4760</v>
      </c>
      <c r="B4720" s="1">
        <v>45902.836064814815</v>
      </c>
      <c r="C4720" s="2" t="s">
        <v>18</v>
      </c>
      <c r="D4720" t="s">
        <v>19</v>
      </c>
      <c r="E4720">
        <v>111885</v>
      </c>
      <c r="F4720" t="s">
        <v>14</v>
      </c>
      <c r="G4720" t="s">
        <v>34</v>
      </c>
      <c r="H4720" t="s">
        <v>16</v>
      </c>
      <c r="I4720">
        <v>5</v>
      </c>
      <c r="J4720">
        <v>0</v>
      </c>
      <c r="K4720">
        <v>5</v>
      </c>
    </row>
    <row r="4721" spans="1:11" x14ac:dyDescent="0.25">
      <c r="A4721" t="s">
        <v>4761</v>
      </c>
      <c r="B4721" s="1">
        <v>46088.442118055558</v>
      </c>
      <c r="C4721" s="2" t="s">
        <v>12</v>
      </c>
      <c r="D4721" t="s">
        <v>45</v>
      </c>
      <c r="E4721">
        <v>41833</v>
      </c>
      <c r="F4721" t="s">
        <v>50</v>
      </c>
      <c r="G4721" t="s">
        <v>51</v>
      </c>
      <c r="H4721" t="s">
        <v>56</v>
      </c>
      <c r="I4721">
        <v>418.33</v>
      </c>
      <c r="J4721">
        <v>0</v>
      </c>
      <c r="K4721">
        <v>418.33</v>
      </c>
    </row>
    <row r="4722" spans="1:11" x14ac:dyDescent="0.25">
      <c r="A4722" t="s">
        <v>4762</v>
      </c>
      <c r="B4722" s="1">
        <v>45917.546296296299</v>
      </c>
      <c r="C4722" s="2" t="s">
        <v>18</v>
      </c>
      <c r="D4722" t="s">
        <v>23</v>
      </c>
      <c r="E4722">
        <v>3599</v>
      </c>
      <c r="F4722" t="s">
        <v>50</v>
      </c>
      <c r="G4722" t="s">
        <v>58</v>
      </c>
      <c r="H4722" t="s">
        <v>16</v>
      </c>
      <c r="I4722">
        <v>0</v>
      </c>
      <c r="J4722">
        <v>0</v>
      </c>
      <c r="K4722">
        <v>0</v>
      </c>
    </row>
    <row r="4723" spans="1:11" x14ac:dyDescent="0.25">
      <c r="A4723" t="s">
        <v>4763</v>
      </c>
      <c r="B4723" s="1">
        <v>45785.57203703704</v>
      </c>
      <c r="C4723" s="2" t="s">
        <v>32</v>
      </c>
      <c r="D4723" t="s">
        <v>33</v>
      </c>
      <c r="E4723">
        <v>115351</v>
      </c>
      <c r="F4723" t="s">
        <v>14</v>
      </c>
      <c r="G4723" t="s">
        <v>84</v>
      </c>
      <c r="H4723" t="s">
        <v>16</v>
      </c>
      <c r="I4723">
        <v>0</v>
      </c>
      <c r="J4723">
        <v>0</v>
      </c>
      <c r="K4723">
        <v>0</v>
      </c>
    </row>
    <row r="4724" spans="1:11" x14ac:dyDescent="0.25">
      <c r="A4724" t="s">
        <v>4764</v>
      </c>
      <c r="B4724" s="1">
        <v>45820.936736111114</v>
      </c>
      <c r="C4724" s="2" t="s">
        <v>26</v>
      </c>
      <c r="D4724" t="s">
        <v>13</v>
      </c>
      <c r="E4724">
        <v>238000</v>
      </c>
      <c r="F4724" t="s">
        <v>14</v>
      </c>
      <c r="G4724" t="s">
        <v>27</v>
      </c>
      <c r="H4724" t="s">
        <v>16</v>
      </c>
      <c r="I4724">
        <v>4403</v>
      </c>
      <c r="J4724">
        <v>1761.2</v>
      </c>
      <c r="K4724">
        <v>2641.8</v>
      </c>
    </row>
    <row r="4725" spans="1:11" x14ac:dyDescent="0.25">
      <c r="A4725" t="s">
        <v>4765</v>
      </c>
      <c r="B4725" s="1">
        <v>45878.528634259259</v>
      </c>
      <c r="C4725" s="2" t="s">
        <v>29</v>
      </c>
      <c r="D4725" t="s">
        <v>33</v>
      </c>
      <c r="E4725">
        <v>22803</v>
      </c>
      <c r="F4725" t="s">
        <v>14</v>
      </c>
      <c r="G4725" t="s">
        <v>30</v>
      </c>
      <c r="H4725" t="s">
        <v>16</v>
      </c>
      <c r="I4725">
        <v>0</v>
      </c>
      <c r="J4725">
        <v>0</v>
      </c>
      <c r="K4725">
        <v>0</v>
      </c>
    </row>
    <row r="4726" spans="1:11" x14ac:dyDescent="0.25">
      <c r="A4726" t="s">
        <v>4766</v>
      </c>
      <c r="B4726" s="1">
        <v>46138.33425925926</v>
      </c>
      <c r="C4726" s="2" t="s">
        <v>39</v>
      </c>
      <c r="D4726" t="s">
        <v>13</v>
      </c>
      <c r="E4726">
        <v>56000</v>
      </c>
      <c r="F4726" t="s">
        <v>14</v>
      </c>
      <c r="G4726" t="s">
        <v>84</v>
      </c>
      <c r="H4726" t="s">
        <v>16</v>
      </c>
      <c r="I4726">
        <v>1036</v>
      </c>
      <c r="J4726">
        <v>414.4</v>
      </c>
      <c r="K4726">
        <v>621.6</v>
      </c>
    </row>
    <row r="4727" spans="1:11" x14ac:dyDescent="0.25">
      <c r="A4727" t="s">
        <v>4767</v>
      </c>
      <c r="B4727" s="1">
        <v>45837.450555555559</v>
      </c>
      <c r="C4727" s="2" t="s">
        <v>39</v>
      </c>
      <c r="D4727" t="s">
        <v>23</v>
      </c>
      <c r="E4727">
        <v>2747</v>
      </c>
      <c r="F4727" t="s">
        <v>14</v>
      </c>
      <c r="G4727" t="s">
        <v>15</v>
      </c>
      <c r="H4727" t="s">
        <v>16</v>
      </c>
      <c r="I4727">
        <v>0</v>
      </c>
      <c r="J4727">
        <v>0</v>
      </c>
      <c r="K4727">
        <v>0</v>
      </c>
    </row>
    <row r="4728" spans="1:11" x14ac:dyDescent="0.25">
      <c r="A4728" t="s">
        <v>4768</v>
      </c>
      <c r="B4728" s="1">
        <v>46121.974293981482</v>
      </c>
      <c r="C4728" s="2" t="s">
        <v>41</v>
      </c>
      <c r="D4728" t="s">
        <v>45</v>
      </c>
      <c r="E4728">
        <v>23860</v>
      </c>
      <c r="F4728" t="s">
        <v>99</v>
      </c>
      <c r="G4728" t="s">
        <v>30</v>
      </c>
      <c r="H4728" t="s">
        <v>56</v>
      </c>
      <c r="I4728">
        <v>238.6</v>
      </c>
      <c r="J4728">
        <v>0</v>
      </c>
      <c r="K4728">
        <v>238.6</v>
      </c>
    </row>
    <row r="4729" spans="1:11" x14ac:dyDescent="0.25">
      <c r="A4729" t="s">
        <v>4769</v>
      </c>
      <c r="B4729" s="1">
        <v>45920.743877314817</v>
      </c>
      <c r="C4729" s="2" t="s">
        <v>29</v>
      </c>
      <c r="D4729" t="s">
        <v>23</v>
      </c>
      <c r="E4729">
        <v>2160</v>
      </c>
      <c r="F4729" t="s">
        <v>50</v>
      </c>
      <c r="G4729" t="s">
        <v>24</v>
      </c>
      <c r="H4729" t="s">
        <v>16</v>
      </c>
      <c r="I4729">
        <v>0</v>
      </c>
      <c r="J4729">
        <v>0</v>
      </c>
      <c r="K4729">
        <v>0</v>
      </c>
    </row>
    <row r="4730" spans="1:11" x14ac:dyDescent="0.25">
      <c r="A4730" t="s">
        <v>4770</v>
      </c>
      <c r="B4730" s="1">
        <v>45984.151608796295</v>
      </c>
      <c r="C4730" s="2" t="s">
        <v>12</v>
      </c>
      <c r="D4730" t="s">
        <v>33</v>
      </c>
      <c r="E4730">
        <v>74677</v>
      </c>
      <c r="F4730" t="s">
        <v>14</v>
      </c>
      <c r="G4730" t="s">
        <v>27</v>
      </c>
      <c r="H4730" t="s">
        <v>16</v>
      </c>
      <c r="I4730">
        <v>0</v>
      </c>
      <c r="J4730">
        <v>0</v>
      </c>
      <c r="K4730">
        <v>0</v>
      </c>
    </row>
    <row r="4731" spans="1:11" x14ac:dyDescent="0.25">
      <c r="A4731" t="s">
        <v>4771</v>
      </c>
      <c r="B4731" s="1">
        <v>45783.235127314816</v>
      </c>
      <c r="C4731" s="2" t="s">
        <v>32</v>
      </c>
      <c r="D4731" t="s">
        <v>19</v>
      </c>
      <c r="E4731">
        <v>45346</v>
      </c>
      <c r="F4731" t="s">
        <v>14</v>
      </c>
      <c r="G4731" t="s">
        <v>58</v>
      </c>
      <c r="H4731" t="s">
        <v>16</v>
      </c>
      <c r="I4731">
        <v>5</v>
      </c>
      <c r="J4731">
        <v>0</v>
      </c>
      <c r="K4731">
        <v>5</v>
      </c>
    </row>
    <row r="4732" spans="1:11" x14ac:dyDescent="0.25">
      <c r="A4732" t="s">
        <v>4772</v>
      </c>
      <c r="B4732" s="1">
        <v>46103.043564814812</v>
      </c>
      <c r="C4732" s="2" t="s">
        <v>12</v>
      </c>
      <c r="D4732" t="s">
        <v>33</v>
      </c>
      <c r="E4732">
        <v>3451</v>
      </c>
      <c r="F4732" t="s">
        <v>14</v>
      </c>
      <c r="G4732" t="s">
        <v>84</v>
      </c>
      <c r="H4732" t="s">
        <v>16</v>
      </c>
      <c r="I4732">
        <v>0</v>
      </c>
      <c r="J4732">
        <v>0</v>
      </c>
      <c r="K4732">
        <v>0</v>
      </c>
    </row>
    <row r="4733" spans="1:11" x14ac:dyDescent="0.25">
      <c r="A4733" t="s">
        <v>4773</v>
      </c>
      <c r="B4733" s="1">
        <v>45898.546655092592</v>
      </c>
      <c r="C4733" s="2" t="s">
        <v>22</v>
      </c>
      <c r="D4733" t="s">
        <v>13</v>
      </c>
      <c r="E4733">
        <v>183500</v>
      </c>
      <c r="F4733" t="s">
        <v>14</v>
      </c>
      <c r="G4733" t="s">
        <v>20</v>
      </c>
      <c r="H4733" t="s">
        <v>16</v>
      </c>
      <c r="I4733">
        <v>3394.75</v>
      </c>
      <c r="J4733">
        <v>1357.9</v>
      </c>
      <c r="K4733">
        <v>2036.85</v>
      </c>
    </row>
    <row r="4734" spans="1:11" x14ac:dyDescent="0.25">
      <c r="A4734" t="s">
        <v>4774</v>
      </c>
      <c r="B4734" s="1">
        <v>45986.173668981479</v>
      </c>
      <c r="C4734" s="2" t="s">
        <v>39</v>
      </c>
      <c r="D4734" t="s">
        <v>45</v>
      </c>
      <c r="E4734">
        <v>96583</v>
      </c>
      <c r="F4734" t="s">
        <v>50</v>
      </c>
      <c r="G4734" t="s">
        <v>84</v>
      </c>
      <c r="H4734" t="s">
        <v>59</v>
      </c>
      <c r="I4734">
        <v>965.83</v>
      </c>
      <c r="J4734">
        <v>0</v>
      </c>
      <c r="K4734">
        <v>965.83</v>
      </c>
    </row>
    <row r="4735" spans="1:11" x14ac:dyDescent="0.25">
      <c r="A4735" t="s">
        <v>4775</v>
      </c>
      <c r="B4735" s="1">
        <v>46120.621203703704</v>
      </c>
      <c r="C4735" s="2" t="s">
        <v>29</v>
      </c>
      <c r="D4735" t="s">
        <v>13</v>
      </c>
      <c r="E4735">
        <v>75500</v>
      </c>
      <c r="F4735" t="s">
        <v>14</v>
      </c>
      <c r="G4735" t="s">
        <v>34</v>
      </c>
      <c r="H4735" t="s">
        <v>16</v>
      </c>
      <c r="I4735">
        <v>1396.75</v>
      </c>
      <c r="J4735">
        <v>558.70000000000005</v>
      </c>
      <c r="K4735">
        <v>838.05</v>
      </c>
    </row>
    <row r="4736" spans="1:11" x14ac:dyDescent="0.25">
      <c r="A4736" t="s">
        <v>4776</v>
      </c>
      <c r="B4736" s="1">
        <v>45968.604421296295</v>
      </c>
      <c r="C4736" s="2" t="s">
        <v>29</v>
      </c>
      <c r="D4736" t="s">
        <v>19</v>
      </c>
      <c r="E4736">
        <v>90913</v>
      </c>
      <c r="F4736" t="s">
        <v>14</v>
      </c>
      <c r="G4736" t="s">
        <v>34</v>
      </c>
      <c r="H4736" t="s">
        <v>16</v>
      </c>
      <c r="I4736">
        <v>5</v>
      </c>
      <c r="J4736">
        <v>0</v>
      </c>
      <c r="K4736">
        <v>5</v>
      </c>
    </row>
    <row r="4737" spans="1:11" x14ac:dyDescent="0.25">
      <c r="A4737" t="s">
        <v>4777</v>
      </c>
      <c r="B4737" s="1">
        <v>46097.23233796296</v>
      </c>
      <c r="C4737" s="2" t="s">
        <v>41</v>
      </c>
      <c r="D4737" t="s">
        <v>33</v>
      </c>
      <c r="E4737">
        <v>127167</v>
      </c>
      <c r="F4737" t="s">
        <v>99</v>
      </c>
      <c r="G4737" t="s">
        <v>58</v>
      </c>
      <c r="H4737" t="s">
        <v>16</v>
      </c>
      <c r="I4737">
        <v>0</v>
      </c>
      <c r="J4737">
        <v>0</v>
      </c>
      <c r="K4737">
        <v>0</v>
      </c>
    </row>
    <row r="4738" spans="1:11" x14ac:dyDescent="0.25">
      <c r="A4738" t="s">
        <v>4778</v>
      </c>
      <c r="B4738" s="1">
        <v>46100.392523148148</v>
      </c>
      <c r="C4738" s="2" t="s">
        <v>18</v>
      </c>
      <c r="D4738" t="s">
        <v>19</v>
      </c>
      <c r="E4738">
        <v>58934</v>
      </c>
      <c r="F4738" t="s">
        <v>14</v>
      </c>
      <c r="G4738" t="s">
        <v>30</v>
      </c>
      <c r="H4738" t="s">
        <v>16</v>
      </c>
      <c r="I4738">
        <v>5</v>
      </c>
      <c r="J4738">
        <v>0</v>
      </c>
      <c r="K4738">
        <v>5</v>
      </c>
    </row>
    <row r="4739" spans="1:11" x14ac:dyDescent="0.25">
      <c r="A4739" t="s">
        <v>4779</v>
      </c>
      <c r="B4739" s="1">
        <v>46136.636979166666</v>
      </c>
      <c r="C4739" s="2" t="s">
        <v>18</v>
      </c>
      <c r="D4739" t="s">
        <v>33</v>
      </c>
      <c r="E4739">
        <v>133031</v>
      </c>
      <c r="F4739" t="s">
        <v>14</v>
      </c>
      <c r="G4739" t="s">
        <v>30</v>
      </c>
      <c r="H4739" t="s">
        <v>16</v>
      </c>
      <c r="I4739">
        <v>0</v>
      </c>
      <c r="J4739">
        <v>0</v>
      </c>
      <c r="K4739">
        <v>0</v>
      </c>
    </row>
    <row r="4740" spans="1:11" x14ac:dyDescent="0.25">
      <c r="A4740" t="s">
        <v>4780</v>
      </c>
      <c r="B4740" s="1">
        <v>45841.198240740741</v>
      </c>
      <c r="C4740" s="2" t="s">
        <v>32</v>
      </c>
      <c r="D4740" t="s">
        <v>45</v>
      </c>
      <c r="E4740">
        <v>142344</v>
      </c>
      <c r="F4740" t="s">
        <v>14</v>
      </c>
      <c r="G4740" t="s">
        <v>34</v>
      </c>
      <c r="H4740" t="s">
        <v>56</v>
      </c>
      <c r="I4740">
        <v>1423.44</v>
      </c>
      <c r="J4740">
        <v>0</v>
      </c>
      <c r="K4740">
        <v>1423.44</v>
      </c>
    </row>
    <row r="4741" spans="1:11" x14ac:dyDescent="0.25">
      <c r="A4741" t="s">
        <v>4781</v>
      </c>
      <c r="B4741" s="1">
        <v>45792.058576388888</v>
      </c>
      <c r="C4741" s="2" t="s">
        <v>39</v>
      </c>
      <c r="D4741" t="s">
        <v>13</v>
      </c>
      <c r="E4741">
        <v>180000</v>
      </c>
      <c r="F4741" t="s">
        <v>14</v>
      </c>
      <c r="G4741" t="s">
        <v>30</v>
      </c>
      <c r="H4741" t="s">
        <v>16</v>
      </c>
      <c r="I4741">
        <v>3330</v>
      </c>
      <c r="J4741">
        <v>1332</v>
      </c>
      <c r="K4741">
        <v>1998</v>
      </c>
    </row>
    <row r="4742" spans="1:11" x14ac:dyDescent="0.25">
      <c r="A4742" t="s">
        <v>4782</v>
      </c>
      <c r="B4742" s="1">
        <v>46125.663182870368</v>
      </c>
      <c r="C4742" s="2" t="s">
        <v>41</v>
      </c>
      <c r="D4742" t="s">
        <v>13</v>
      </c>
      <c r="E4742">
        <v>171000</v>
      </c>
      <c r="F4742" t="s">
        <v>50</v>
      </c>
      <c r="G4742" t="s">
        <v>15</v>
      </c>
      <c r="H4742" t="s">
        <v>16</v>
      </c>
      <c r="I4742">
        <v>3163.5</v>
      </c>
      <c r="J4742">
        <v>1265.4000000000001</v>
      </c>
      <c r="K4742">
        <v>1898.1</v>
      </c>
    </row>
    <row r="4743" spans="1:11" x14ac:dyDescent="0.25">
      <c r="A4743" t="s">
        <v>4783</v>
      </c>
      <c r="B4743" s="1">
        <v>45919.232546296298</v>
      </c>
      <c r="C4743" s="2" t="s">
        <v>39</v>
      </c>
      <c r="D4743" t="s">
        <v>19</v>
      </c>
      <c r="E4743">
        <v>16559</v>
      </c>
      <c r="F4743" t="s">
        <v>14</v>
      </c>
      <c r="G4743" t="s">
        <v>27</v>
      </c>
      <c r="H4743" t="s">
        <v>16</v>
      </c>
      <c r="I4743">
        <v>5</v>
      </c>
      <c r="J4743">
        <v>0</v>
      </c>
      <c r="K4743">
        <v>5</v>
      </c>
    </row>
    <row r="4744" spans="1:11" x14ac:dyDescent="0.25">
      <c r="A4744" t="s">
        <v>4784</v>
      </c>
      <c r="B4744" s="1">
        <v>45958.196284722224</v>
      </c>
      <c r="C4744" s="2" t="s">
        <v>32</v>
      </c>
      <c r="D4744" t="s">
        <v>23</v>
      </c>
      <c r="E4744">
        <v>2812</v>
      </c>
      <c r="F4744" t="s">
        <v>14</v>
      </c>
      <c r="G4744" t="s">
        <v>30</v>
      </c>
      <c r="H4744" t="s">
        <v>16</v>
      </c>
      <c r="I4744">
        <v>0</v>
      </c>
      <c r="J4744">
        <v>0</v>
      </c>
      <c r="K4744">
        <v>0</v>
      </c>
    </row>
    <row r="4745" spans="1:11" x14ac:dyDescent="0.25">
      <c r="A4745" t="s">
        <v>4785</v>
      </c>
      <c r="B4745" s="1">
        <v>46054.760081018518</v>
      </c>
      <c r="C4745" s="2" t="s">
        <v>39</v>
      </c>
      <c r="D4745" t="s">
        <v>23</v>
      </c>
      <c r="E4745">
        <v>3205</v>
      </c>
      <c r="F4745" t="s">
        <v>14</v>
      </c>
      <c r="G4745" t="s">
        <v>27</v>
      </c>
      <c r="H4745" t="s">
        <v>16</v>
      </c>
      <c r="I4745">
        <v>0</v>
      </c>
      <c r="J4745">
        <v>0</v>
      </c>
      <c r="K4745">
        <v>0</v>
      </c>
    </row>
    <row r="4746" spans="1:11" x14ac:dyDescent="0.25">
      <c r="A4746" t="s">
        <v>4786</v>
      </c>
      <c r="B4746" s="1">
        <v>45978.68445601852</v>
      </c>
      <c r="C4746" s="2" t="s">
        <v>32</v>
      </c>
      <c r="D4746" t="s">
        <v>23</v>
      </c>
      <c r="E4746">
        <v>3313</v>
      </c>
      <c r="F4746" t="s">
        <v>14</v>
      </c>
      <c r="G4746" t="s">
        <v>30</v>
      </c>
      <c r="H4746" t="s">
        <v>16</v>
      </c>
      <c r="I4746">
        <v>0</v>
      </c>
      <c r="J4746">
        <v>0</v>
      </c>
      <c r="K4746">
        <v>0</v>
      </c>
    </row>
    <row r="4747" spans="1:11" x14ac:dyDescent="0.25">
      <c r="A4747" t="s">
        <v>4787</v>
      </c>
      <c r="B4747" s="1">
        <v>45982.422511574077</v>
      </c>
      <c r="C4747" s="2" t="s">
        <v>12</v>
      </c>
      <c r="D4747" t="s">
        <v>33</v>
      </c>
      <c r="E4747">
        <v>131423</v>
      </c>
      <c r="F4747" t="s">
        <v>99</v>
      </c>
      <c r="G4747" t="s">
        <v>30</v>
      </c>
      <c r="H4747" t="s">
        <v>16</v>
      </c>
      <c r="I4747">
        <v>0</v>
      </c>
      <c r="J4747">
        <v>0</v>
      </c>
      <c r="K4747">
        <v>0</v>
      </c>
    </row>
    <row r="4748" spans="1:11" x14ac:dyDescent="0.25">
      <c r="A4748" t="s">
        <v>4788</v>
      </c>
      <c r="B4748" s="1">
        <v>45809.25273148148</v>
      </c>
      <c r="C4748" s="2" t="s">
        <v>12</v>
      </c>
      <c r="D4748" t="s">
        <v>23</v>
      </c>
      <c r="E4748">
        <v>2263</v>
      </c>
      <c r="F4748" t="s">
        <v>14</v>
      </c>
      <c r="G4748" t="s">
        <v>20</v>
      </c>
      <c r="H4748" t="s">
        <v>16</v>
      </c>
      <c r="I4748">
        <v>0</v>
      </c>
      <c r="J4748">
        <v>0</v>
      </c>
      <c r="K4748">
        <v>0</v>
      </c>
    </row>
    <row r="4749" spans="1:11" x14ac:dyDescent="0.25">
      <c r="A4749" t="s">
        <v>4789</v>
      </c>
      <c r="B4749" s="1">
        <v>45784.988738425927</v>
      </c>
      <c r="C4749" s="2" t="s">
        <v>26</v>
      </c>
      <c r="D4749" t="s">
        <v>19</v>
      </c>
      <c r="E4749">
        <v>62524</v>
      </c>
      <c r="F4749" t="s">
        <v>14</v>
      </c>
      <c r="G4749" t="s">
        <v>15</v>
      </c>
      <c r="H4749" t="s">
        <v>16</v>
      </c>
      <c r="I4749">
        <v>5</v>
      </c>
      <c r="J4749">
        <v>0</v>
      </c>
      <c r="K4749">
        <v>5</v>
      </c>
    </row>
    <row r="4750" spans="1:11" x14ac:dyDescent="0.25">
      <c r="A4750" t="s">
        <v>4790</v>
      </c>
      <c r="B4750" s="1">
        <v>46121.567349537036</v>
      </c>
      <c r="C4750" s="2" t="s">
        <v>18</v>
      </c>
      <c r="D4750" t="s">
        <v>45</v>
      </c>
      <c r="E4750">
        <v>21248</v>
      </c>
      <c r="F4750" t="s">
        <v>14</v>
      </c>
      <c r="G4750" t="s">
        <v>30</v>
      </c>
      <c r="H4750" t="s">
        <v>56</v>
      </c>
      <c r="I4750">
        <v>212.48</v>
      </c>
      <c r="J4750">
        <v>0</v>
      </c>
      <c r="K4750">
        <v>212.48</v>
      </c>
    </row>
    <row r="4751" spans="1:11" x14ac:dyDescent="0.25">
      <c r="A4751" t="s">
        <v>4791</v>
      </c>
      <c r="B4751" s="1">
        <v>45830.554108796299</v>
      </c>
      <c r="C4751" s="2" t="s">
        <v>41</v>
      </c>
      <c r="D4751" t="s">
        <v>33</v>
      </c>
      <c r="E4751">
        <v>62309</v>
      </c>
      <c r="F4751" t="s">
        <v>50</v>
      </c>
      <c r="G4751" t="s">
        <v>27</v>
      </c>
      <c r="H4751" t="s">
        <v>16</v>
      </c>
      <c r="I4751">
        <v>0</v>
      </c>
      <c r="J4751">
        <v>0</v>
      </c>
      <c r="K4751">
        <v>0</v>
      </c>
    </row>
    <row r="4752" spans="1:11" x14ac:dyDescent="0.25">
      <c r="A4752" t="s">
        <v>4792</v>
      </c>
      <c r="B4752" s="1">
        <v>46078.407708333332</v>
      </c>
      <c r="C4752" s="2" t="s">
        <v>29</v>
      </c>
      <c r="D4752" t="s">
        <v>33</v>
      </c>
      <c r="E4752">
        <v>19222</v>
      </c>
      <c r="F4752" t="s">
        <v>14</v>
      </c>
      <c r="G4752" t="s">
        <v>84</v>
      </c>
      <c r="H4752" t="s">
        <v>16</v>
      </c>
      <c r="I4752">
        <v>0</v>
      </c>
      <c r="J4752">
        <v>0</v>
      </c>
      <c r="K4752">
        <v>0</v>
      </c>
    </row>
    <row r="4753" spans="1:11" x14ac:dyDescent="0.25">
      <c r="A4753" t="s">
        <v>4793</v>
      </c>
      <c r="B4753" s="1">
        <v>45989.373796296299</v>
      </c>
      <c r="C4753" s="2" t="s">
        <v>41</v>
      </c>
      <c r="D4753" t="s">
        <v>33</v>
      </c>
      <c r="E4753">
        <v>3778</v>
      </c>
      <c r="F4753" t="s">
        <v>99</v>
      </c>
      <c r="G4753" t="s">
        <v>24</v>
      </c>
      <c r="H4753" t="s">
        <v>16</v>
      </c>
      <c r="I4753">
        <v>0</v>
      </c>
      <c r="J4753">
        <v>0</v>
      </c>
      <c r="K4753">
        <v>0</v>
      </c>
    </row>
    <row r="4754" spans="1:11" x14ac:dyDescent="0.25">
      <c r="A4754" t="s">
        <v>4794</v>
      </c>
      <c r="B4754" s="1">
        <v>46031.266793981478</v>
      </c>
      <c r="C4754" s="2" t="s">
        <v>22</v>
      </c>
      <c r="D4754" t="s">
        <v>33</v>
      </c>
      <c r="E4754">
        <v>134907</v>
      </c>
      <c r="F4754" t="s">
        <v>14</v>
      </c>
      <c r="G4754" t="s">
        <v>27</v>
      </c>
      <c r="H4754" t="s">
        <v>16</v>
      </c>
      <c r="I4754">
        <v>0</v>
      </c>
      <c r="J4754">
        <v>0</v>
      </c>
      <c r="K4754">
        <v>0</v>
      </c>
    </row>
    <row r="4755" spans="1:11" x14ac:dyDescent="0.25">
      <c r="A4755" t="s">
        <v>4795</v>
      </c>
      <c r="B4755" s="1">
        <v>46004.087696759256</v>
      </c>
      <c r="C4755" s="2" t="s">
        <v>18</v>
      </c>
      <c r="D4755" t="s">
        <v>13</v>
      </c>
      <c r="E4755">
        <v>64500</v>
      </c>
      <c r="F4755" t="s">
        <v>14</v>
      </c>
      <c r="G4755" t="s">
        <v>34</v>
      </c>
      <c r="H4755" t="s">
        <v>16</v>
      </c>
      <c r="I4755">
        <v>1193.25</v>
      </c>
      <c r="J4755">
        <v>477.3</v>
      </c>
      <c r="K4755">
        <v>715.95</v>
      </c>
    </row>
    <row r="4756" spans="1:11" x14ac:dyDescent="0.25">
      <c r="A4756" t="s">
        <v>4796</v>
      </c>
      <c r="B4756" s="1">
        <v>45794.967650462961</v>
      </c>
      <c r="C4756" s="2" t="s">
        <v>12</v>
      </c>
      <c r="D4756" t="s">
        <v>33</v>
      </c>
      <c r="E4756">
        <v>6288</v>
      </c>
      <c r="F4756" t="s">
        <v>14</v>
      </c>
      <c r="G4756" t="s">
        <v>27</v>
      </c>
      <c r="H4756" t="s">
        <v>16</v>
      </c>
      <c r="I4756">
        <v>0</v>
      </c>
      <c r="J4756">
        <v>0</v>
      </c>
      <c r="K4756">
        <v>0</v>
      </c>
    </row>
    <row r="4757" spans="1:11" x14ac:dyDescent="0.25">
      <c r="A4757" t="s">
        <v>4797</v>
      </c>
      <c r="B4757" s="1">
        <v>45945.693148148152</v>
      </c>
      <c r="C4757" s="2" t="s">
        <v>32</v>
      </c>
      <c r="D4757" t="s">
        <v>45</v>
      </c>
      <c r="E4757">
        <v>65910</v>
      </c>
      <c r="F4757" t="s">
        <v>14</v>
      </c>
      <c r="G4757" t="s">
        <v>84</v>
      </c>
      <c r="H4757" t="s">
        <v>56</v>
      </c>
      <c r="I4757">
        <v>659.1</v>
      </c>
      <c r="J4757">
        <v>0</v>
      </c>
      <c r="K4757">
        <v>659.1</v>
      </c>
    </row>
    <row r="4758" spans="1:11" x14ac:dyDescent="0.25">
      <c r="A4758" t="s">
        <v>4798</v>
      </c>
      <c r="B4758" s="1">
        <v>45976.321527777778</v>
      </c>
      <c r="C4758" s="2" t="s">
        <v>18</v>
      </c>
      <c r="D4758" t="s">
        <v>23</v>
      </c>
      <c r="E4758">
        <v>4456</v>
      </c>
      <c r="F4758" t="s">
        <v>14</v>
      </c>
      <c r="G4758" t="s">
        <v>30</v>
      </c>
      <c r="H4758" t="s">
        <v>16</v>
      </c>
      <c r="I4758">
        <v>0</v>
      </c>
      <c r="J4758">
        <v>0</v>
      </c>
      <c r="K4758">
        <v>0</v>
      </c>
    </row>
    <row r="4759" spans="1:11" x14ac:dyDescent="0.25">
      <c r="A4759" t="s">
        <v>4799</v>
      </c>
      <c r="B4759" s="1">
        <v>45973.501840277779</v>
      </c>
      <c r="C4759" s="2" t="s">
        <v>18</v>
      </c>
      <c r="D4759" t="s">
        <v>23</v>
      </c>
      <c r="E4759">
        <v>1059</v>
      </c>
      <c r="F4759" t="s">
        <v>14</v>
      </c>
      <c r="G4759" t="s">
        <v>20</v>
      </c>
      <c r="H4759" t="s">
        <v>16</v>
      </c>
      <c r="I4759">
        <v>0</v>
      </c>
      <c r="J4759">
        <v>0</v>
      </c>
      <c r="K4759">
        <v>0</v>
      </c>
    </row>
    <row r="4760" spans="1:11" x14ac:dyDescent="0.25">
      <c r="A4760" t="s">
        <v>4800</v>
      </c>
      <c r="B4760" s="1">
        <v>45801.384293981479</v>
      </c>
      <c r="C4760" s="2" t="s">
        <v>41</v>
      </c>
      <c r="D4760" t="s">
        <v>19</v>
      </c>
      <c r="E4760">
        <v>94048</v>
      </c>
      <c r="F4760" t="s">
        <v>14</v>
      </c>
      <c r="G4760" t="s">
        <v>27</v>
      </c>
      <c r="H4760" t="s">
        <v>16</v>
      </c>
      <c r="I4760">
        <v>5</v>
      </c>
      <c r="J4760">
        <v>0</v>
      </c>
      <c r="K4760">
        <v>5</v>
      </c>
    </row>
    <row r="4761" spans="1:11" x14ac:dyDescent="0.25">
      <c r="A4761" t="s">
        <v>4801</v>
      </c>
      <c r="B4761" s="1">
        <v>45825.868622685186</v>
      </c>
      <c r="C4761" s="2" t="s">
        <v>22</v>
      </c>
      <c r="D4761" t="s">
        <v>23</v>
      </c>
      <c r="E4761">
        <v>1585</v>
      </c>
      <c r="F4761" t="s">
        <v>14</v>
      </c>
      <c r="G4761" t="s">
        <v>15</v>
      </c>
      <c r="H4761" t="s">
        <v>16</v>
      </c>
      <c r="I4761">
        <v>0</v>
      </c>
      <c r="J4761">
        <v>0</v>
      </c>
      <c r="K4761">
        <v>0</v>
      </c>
    </row>
    <row r="4762" spans="1:11" x14ac:dyDescent="0.25">
      <c r="A4762" t="s">
        <v>4802</v>
      </c>
      <c r="B4762" s="1">
        <v>45995.794722222221</v>
      </c>
      <c r="C4762" s="2" t="s">
        <v>26</v>
      </c>
      <c r="D4762" t="s">
        <v>23</v>
      </c>
      <c r="E4762">
        <v>4000</v>
      </c>
      <c r="F4762" t="s">
        <v>99</v>
      </c>
      <c r="G4762" t="s">
        <v>34</v>
      </c>
      <c r="H4762" t="s">
        <v>16</v>
      </c>
      <c r="I4762">
        <v>0</v>
      </c>
      <c r="J4762">
        <v>0</v>
      </c>
      <c r="K4762">
        <v>0</v>
      </c>
    </row>
    <row r="4763" spans="1:11" x14ac:dyDescent="0.25">
      <c r="A4763" t="s">
        <v>4803</v>
      </c>
      <c r="B4763" s="1">
        <v>46123.844212962962</v>
      </c>
      <c r="C4763" s="2" t="s">
        <v>22</v>
      </c>
      <c r="D4763" t="s">
        <v>33</v>
      </c>
      <c r="E4763">
        <v>60746</v>
      </c>
      <c r="F4763" t="s">
        <v>14</v>
      </c>
      <c r="G4763" t="s">
        <v>30</v>
      </c>
      <c r="H4763" t="s">
        <v>16</v>
      </c>
      <c r="I4763">
        <v>0</v>
      </c>
      <c r="J4763">
        <v>0</v>
      </c>
      <c r="K4763">
        <v>0</v>
      </c>
    </row>
    <row r="4764" spans="1:11" x14ac:dyDescent="0.25">
      <c r="A4764" t="s">
        <v>4804</v>
      </c>
      <c r="B4764" s="1">
        <v>46053.07135416667</v>
      </c>
      <c r="C4764" s="2" t="s">
        <v>32</v>
      </c>
      <c r="D4764" t="s">
        <v>45</v>
      </c>
      <c r="E4764">
        <v>79767</v>
      </c>
      <c r="F4764" t="s">
        <v>14</v>
      </c>
      <c r="G4764" t="s">
        <v>30</v>
      </c>
      <c r="H4764" t="s">
        <v>46</v>
      </c>
      <c r="I4764">
        <v>797.67</v>
      </c>
      <c r="J4764">
        <v>0</v>
      </c>
      <c r="K4764">
        <v>797.67</v>
      </c>
    </row>
    <row r="4765" spans="1:11" x14ac:dyDescent="0.25">
      <c r="A4765" t="s">
        <v>4805</v>
      </c>
      <c r="B4765" s="1">
        <v>46012.429942129631</v>
      </c>
      <c r="C4765" s="2" t="s">
        <v>26</v>
      </c>
      <c r="D4765" t="s">
        <v>33</v>
      </c>
      <c r="E4765">
        <v>12326</v>
      </c>
      <c r="F4765" t="s">
        <v>50</v>
      </c>
      <c r="G4765" t="s">
        <v>84</v>
      </c>
      <c r="H4765" t="s">
        <v>16</v>
      </c>
      <c r="I4765">
        <v>0</v>
      </c>
      <c r="J4765">
        <v>0</v>
      </c>
      <c r="K4765">
        <v>0</v>
      </c>
    </row>
    <row r="4766" spans="1:11" x14ac:dyDescent="0.25">
      <c r="A4766" t="s">
        <v>4806</v>
      </c>
      <c r="B4766" s="1">
        <v>46091.800115740742</v>
      </c>
      <c r="C4766" s="2" t="s">
        <v>26</v>
      </c>
      <c r="D4766" t="s">
        <v>33</v>
      </c>
      <c r="E4766">
        <v>125126</v>
      </c>
      <c r="F4766" t="s">
        <v>14</v>
      </c>
      <c r="G4766" t="s">
        <v>51</v>
      </c>
      <c r="H4766" t="s">
        <v>16</v>
      </c>
      <c r="I4766">
        <v>0</v>
      </c>
      <c r="J4766">
        <v>0</v>
      </c>
      <c r="K4766">
        <v>0</v>
      </c>
    </row>
    <row r="4767" spans="1:11" x14ac:dyDescent="0.25">
      <c r="A4767" t="s">
        <v>4807</v>
      </c>
      <c r="B4767" s="1">
        <v>46081.945914351854</v>
      </c>
      <c r="C4767" s="2" t="s">
        <v>32</v>
      </c>
      <c r="D4767" t="s">
        <v>13</v>
      </c>
      <c r="E4767">
        <v>221500</v>
      </c>
      <c r="F4767" t="s">
        <v>99</v>
      </c>
      <c r="G4767" t="s">
        <v>27</v>
      </c>
      <c r="H4767" t="s">
        <v>16</v>
      </c>
      <c r="I4767">
        <v>4097.75</v>
      </c>
      <c r="J4767">
        <v>1639.1</v>
      </c>
      <c r="K4767">
        <v>2458.65</v>
      </c>
    </row>
    <row r="4768" spans="1:11" x14ac:dyDescent="0.25">
      <c r="A4768" t="s">
        <v>4808</v>
      </c>
      <c r="B4768" s="1">
        <v>46108.081331018519</v>
      </c>
      <c r="C4768" s="2" t="s">
        <v>22</v>
      </c>
      <c r="D4768" t="s">
        <v>23</v>
      </c>
      <c r="E4768">
        <v>3348</v>
      </c>
      <c r="F4768" t="s">
        <v>14</v>
      </c>
      <c r="G4768" t="s">
        <v>51</v>
      </c>
      <c r="H4768" t="s">
        <v>16</v>
      </c>
      <c r="I4768">
        <v>0</v>
      </c>
      <c r="J4768">
        <v>0</v>
      </c>
      <c r="K4768">
        <v>0</v>
      </c>
    </row>
    <row r="4769" spans="1:11" x14ac:dyDescent="0.25">
      <c r="A4769" t="s">
        <v>4809</v>
      </c>
      <c r="B4769" s="1">
        <v>45911.923148148147</v>
      </c>
      <c r="C4769" s="2" t="s">
        <v>12</v>
      </c>
      <c r="D4769" t="s">
        <v>23</v>
      </c>
      <c r="E4769">
        <v>210</v>
      </c>
      <c r="F4769" t="s">
        <v>14</v>
      </c>
      <c r="G4769" t="s">
        <v>34</v>
      </c>
      <c r="H4769" t="s">
        <v>16</v>
      </c>
      <c r="I4769">
        <v>0</v>
      </c>
      <c r="J4769">
        <v>0</v>
      </c>
      <c r="K4769">
        <v>0</v>
      </c>
    </row>
    <row r="4770" spans="1:11" x14ac:dyDescent="0.25">
      <c r="A4770" t="s">
        <v>4810</v>
      </c>
      <c r="B4770" s="1">
        <v>45959.220671296294</v>
      </c>
      <c r="C4770" s="2" t="s">
        <v>39</v>
      </c>
      <c r="D4770" t="s">
        <v>19</v>
      </c>
      <c r="E4770">
        <v>115903</v>
      </c>
      <c r="F4770" t="s">
        <v>50</v>
      </c>
      <c r="G4770" t="s">
        <v>84</v>
      </c>
      <c r="H4770" t="s">
        <v>16</v>
      </c>
      <c r="I4770">
        <v>5</v>
      </c>
      <c r="J4770">
        <v>0</v>
      </c>
      <c r="K4770">
        <v>5</v>
      </c>
    </row>
    <row r="4771" spans="1:11" x14ac:dyDescent="0.25">
      <c r="A4771" t="s">
        <v>4811</v>
      </c>
      <c r="B4771" s="1">
        <v>46103.131053240744</v>
      </c>
      <c r="C4771" s="2" t="s">
        <v>12</v>
      </c>
      <c r="D4771" t="s">
        <v>45</v>
      </c>
      <c r="E4771">
        <v>72021</v>
      </c>
      <c r="F4771" t="s">
        <v>14</v>
      </c>
      <c r="G4771" t="s">
        <v>24</v>
      </c>
      <c r="H4771" t="s">
        <v>46</v>
      </c>
      <c r="I4771">
        <v>720.21</v>
      </c>
      <c r="J4771">
        <v>0</v>
      </c>
      <c r="K4771">
        <v>720.21</v>
      </c>
    </row>
    <row r="4772" spans="1:11" x14ac:dyDescent="0.25">
      <c r="A4772" t="s">
        <v>4812</v>
      </c>
      <c r="B4772" s="1">
        <v>46013.12395833333</v>
      </c>
      <c r="C4772" s="2" t="s">
        <v>18</v>
      </c>
      <c r="D4772" t="s">
        <v>33</v>
      </c>
      <c r="E4772">
        <v>91777</v>
      </c>
      <c r="F4772" t="s">
        <v>14</v>
      </c>
      <c r="G4772" t="s">
        <v>58</v>
      </c>
      <c r="H4772" t="s">
        <v>16</v>
      </c>
      <c r="I4772">
        <v>0</v>
      </c>
      <c r="J4772">
        <v>0</v>
      </c>
      <c r="K4772">
        <v>0</v>
      </c>
    </row>
    <row r="4773" spans="1:11" x14ac:dyDescent="0.25">
      <c r="A4773" t="s">
        <v>4813</v>
      </c>
      <c r="B4773" s="1">
        <v>45935.231006944443</v>
      </c>
      <c r="C4773" s="2" t="s">
        <v>18</v>
      </c>
      <c r="D4773" t="s">
        <v>45</v>
      </c>
      <c r="E4773">
        <v>63841</v>
      </c>
      <c r="F4773" t="s">
        <v>14</v>
      </c>
      <c r="G4773" t="s">
        <v>84</v>
      </c>
      <c r="H4773" t="s">
        <v>178</v>
      </c>
      <c r="I4773">
        <v>638.41</v>
      </c>
      <c r="J4773">
        <v>0</v>
      </c>
      <c r="K4773">
        <v>638.41</v>
      </c>
    </row>
    <row r="4774" spans="1:11" x14ac:dyDescent="0.25">
      <c r="A4774" t="s">
        <v>4814</v>
      </c>
      <c r="B4774" s="1">
        <v>45951.449884259258</v>
      </c>
      <c r="C4774" s="2" t="s">
        <v>29</v>
      </c>
      <c r="D4774" t="s">
        <v>13</v>
      </c>
      <c r="E4774">
        <v>203500</v>
      </c>
      <c r="F4774" t="s">
        <v>14</v>
      </c>
      <c r="G4774" t="s">
        <v>84</v>
      </c>
      <c r="H4774" t="s">
        <v>16</v>
      </c>
      <c r="I4774">
        <v>3764.75</v>
      </c>
      <c r="J4774">
        <v>1505.9</v>
      </c>
      <c r="K4774">
        <v>2258.85</v>
      </c>
    </row>
    <row r="4775" spans="1:11" x14ac:dyDescent="0.25">
      <c r="A4775" t="s">
        <v>4815</v>
      </c>
      <c r="B4775" s="1">
        <v>45982.562094907407</v>
      </c>
      <c r="C4775" s="2" t="s">
        <v>18</v>
      </c>
      <c r="D4775" t="s">
        <v>19</v>
      </c>
      <c r="E4775">
        <v>27525</v>
      </c>
      <c r="F4775" t="s">
        <v>14</v>
      </c>
      <c r="G4775" t="s">
        <v>30</v>
      </c>
      <c r="H4775" t="s">
        <v>16</v>
      </c>
      <c r="I4775">
        <v>5</v>
      </c>
      <c r="J4775">
        <v>0</v>
      </c>
      <c r="K4775">
        <v>5</v>
      </c>
    </row>
    <row r="4776" spans="1:11" x14ac:dyDescent="0.25">
      <c r="A4776" t="s">
        <v>4816</v>
      </c>
      <c r="B4776" s="1">
        <v>45883.920844907407</v>
      </c>
      <c r="C4776" s="2" t="s">
        <v>41</v>
      </c>
      <c r="D4776" t="s">
        <v>19</v>
      </c>
      <c r="E4776">
        <v>33448</v>
      </c>
      <c r="F4776" t="s">
        <v>14</v>
      </c>
      <c r="G4776" t="s">
        <v>51</v>
      </c>
      <c r="H4776" t="s">
        <v>16</v>
      </c>
      <c r="I4776">
        <v>5</v>
      </c>
      <c r="J4776">
        <v>0</v>
      </c>
      <c r="K4776">
        <v>5</v>
      </c>
    </row>
    <row r="4777" spans="1:11" x14ac:dyDescent="0.25">
      <c r="A4777" t="s">
        <v>4817</v>
      </c>
      <c r="B4777" s="1">
        <v>45815.787152777775</v>
      </c>
      <c r="C4777" s="2" t="s">
        <v>12</v>
      </c>
      <c r="D4777" t="s">
        <v>45</v>
      </c>
      <c r="E4777">
        <v>88209</v>
      </c>
      <c r="F4777" t="s">
        <v>99</v>
      </c>
      <c r="G4777" t="s">
        <v>30</v>
      </c>
      <c r="H4777" t="s">
        <v>46</v>
      </c>
      <c r="I4777">
        <v>882.09</v>
      </c>
      <c r="J4777">
        <v>0</v>
      </c>
      <c r="K4777">
        <v>882.09</v>
      </c>
    </row>
    <row r="4778" spans="1:11" x14ac:dyDescent="0.25">
      <c r="A4778" t="s">
        <v>4818</v>
      </c>
      <c r="B4778" s="1">
        <v>46014.60396990741</v>
      </c>
      <c r="C4778" s="2" t="s">
        <v>22</v>
      </c>
      <c r="D4778" t="s">
        <v>45</v>
      </c>
      <c r="E4778">
        <v>39030</v>
      </c>
      <c r="F4778" t="s">
        <v>14</v>
      </c>
      <c r="G4778" t="s">
        <v>24</v>
      </c>
      <c r="H4778" t="s">
        <v>56</v>
      </c>
      <c r="I4778">
        <v>390.3</v>
      </c>
      <c r="J4778">
        <v>0</v>
      </c>
      <c r="K4778">
        <v>390.3</v>
      </c>
    </row>
    <row r="4779" spans="1:11" x14ac:dyDescent="0.25">
      <c r="A4779" t="s">
        <v>4819</v>
      </c>
      <c r="B4779" s="1">
        <v>45895.541979166665</v>
      </c>
      <c r="C4779" s="2" t="s">
        <v>41</v>
      </c>
      <c r="D4779" t="s">
        <v>19</v>
      </c>
      <c r="E4779">
        <v>135148</v>
      </c>
      <c r="F4779" t="s">
        <v>14</v>
      </c>
      <c r="G4779" t="s">
        <v>20</v>
      </c>
      <c r="H4779" t="s">
        <v>16</v>
      </c>
      <c r="I4779">
        <v>5</v>
      </c>
      <c r="J4779">
        <v>0</v>
      </c>
      <c r="K4779">
        <v>5</v>
      </c>
    </row>
    <row r="4780" spans="1:11" x14ac:dyDescent="0.25">
      <c r="A4780" t="s">
        <v>4820</v>
      </c>
      <c r="B4780" s="1">
        <v>45930.6875462963</v>
      </c>
      <c r="C4780" s="2" t="s">
        <v>41</v>
      </c>
      <c r="D4780" t="s">
        <v>45</v>
      </c>
      <c r="E4780">
        <v>99358</v>
      </c>
      <c r="F4780" t="s">
        <v>14</v>
      </c>
      <c r="G4780" t="s">
        <v>27</v>
      </c>
      <c r="H4780" t="s">
        <v>59</v>
      </c>
      <c r="I4780">
        <v>993.58</v>
      </c>
      <c r="J4780">
        <v>0</v>
      </c>
      <c r="K4780">
        <v>993.58</v>
      </c>
    </row>
    <row r="4781" spans="1:11" x14ac:dyDescent="0.25">
      <c r="A4781" t="s">
        <v>4821</v>
      </c>
      <c r="B4781" s="1">
        <v>45891.057962962965</v>
      </c>
      <c r="C4781" s="2" t="s">
        <v>18</v>
      </c>
      <c r="D4781" t="s">
        <v>33</v>
      </c>
      <c r="E4781">
        <v>31878</v>
      </c>
      <c r="F4781" t="s">
        <v>14</v>
      </c>
      <c r="G4781" t="s">
        <v>34</v>
      </c>
      <c r="H4781" t="s">
        <v>16</v>
      </c>
      <c r="I4781">
        <v>0</v>
      </c>
      <c r="J4781">
        <v>0</v>
      </c>
      <c r="K4781">
        <v>0</v>
      </c>
    </row>
    <row r="4782" spans="1:11" x14ac:dyDescent="0.25">
      <c r="A4782" t="s">
        <v>4822</v>
      </c>
      <c r="B4782" s="1">
        <v>45936.319872685184</v>
      </c>
      <c r="C4782" s="2" t="s">
        <v>41</v>
      </c>
      <c r="D4782" t="s">
        <v>45</v>
      </c>
      <c r="E4782">
        <v>28113</v>
      </c>
      <c r="F4782" t="s">
        <v>14</v>
      </c>
      <c r="G4782" t="s">
        <v>84</v>
      </c>
      <c r="H4782" t="s">
        <v>59</v>
      </c>
      <c r="I4782">
        <v>281.13</v>
      </c>
      <c r="J4782">
        <v>0</v>
      </c>
      <c r="K4782">
        <v>281.13</v>
      </c>
    </row>
    <row r="4783" spans="1:11" x14ac:dyDescent="0.25">
      <c r="A4783" t="s">
        <v>4823</v>
      </c>
      <c r="B4783" s="1">
        <v>46122.703125</v>
      </c>
      <c r="C4783" s="2" t="s">
        <v>12</v>
      </c>
      <c r="D4783" t="s">
        <v>45</v>
      </c>
      <c r="E4783">
        <v>55515</v>
      </c>
      <c r="F4783" t="s">
        <v>14</v>
      </c>
      <c r="G4783" t="s">
        <v>58</v>
      </c>
      <c r="H4783" t="s">
        <v>59</v>
      </c>
      <c r="I4783">
        <v>555.15</v>
      </c>
      <c r="J4783">
        <v>0</v>
      </c>
      <c r="K4783">
        <v>555.15</v>
      </c>
    </row>
    <row r="4784" spans="1:11" x14ac:dyDescent="0.25">
      <c r="A4784" t="s">
        <v>4824</v>
      </c>
      <c r="B4784" s="1">
        <v>45992.991203703707</v>
      </c>
      <c r="C4784" s="2" t="s">
        <v>41</v>
      </c>
      <c r="D4784" t="s">
        <v>33</v>
      </c>
      <c r="E4784">
        <v>132783</v>
      </c>
      <c r="F4784" t="s">
        <v>14</v>
      </c>
      <c r="G4784" t="s">
        <v>15</v>
      </c>
      <c r="H4784" t="s">
        <v>16</v>
      </c>
      <c r="I4784">
        <v>0</v>
      </c>
      <c r="J4784">
        <v>0</v>
      </c>
      <c r="K4784">
        <v>0</v>
      </c>
    </row>
    <row r="4785" spans="1:11" x14ac:dyDescent="0.25">
      <c r="A4785" t="s">
        <v>4825</v>
      </c>
      <c r="B4785" s="1">
        <v>46093.01421296296</v>
      </c>
      <c r="C4785" s="2" t="s">
        <v>18</v>
      </c>
      <c r="D4785" t="s">
        <v>23</v>
      </c>
      <c r="E4785">
        <v>1113</v>
      </c>
      <c r="F4785" t="s">
        <v>14</v>
      </c>
      <c r="G4785" t="s">
        <v>20</v>
      </c>
      <c r="H4785" t="s">
        <v>16</v>
      </c>
      <c r="I4785">
        <v>0</v>
      </c>
      <c r="J4785">
        <v>0</v>
      </c>
      <c r="K4785">
        <v>0</v>
      </c>
    </row>
    <row r="4786" spans="1:11" x14ac:dyDescent="0.25">
      <c r="A4786" t="s">
        <v>4826</v>
      </c>
      <c r="B4786" s="1">
        <v>46142.53466435185</v>
      </c>
      <c r="C4786" s="2" t="s">
        <v>12</v>
      </c>
      <c r="D4786" t="s">
        <v>19</v>
      </c>
      <c r="E4786">
        <v>29923</v>
      </c>
      <c r="F4786" t="s">
        <v>50</v>
      </c>
      <c r="G4786" t="s">
        <v>34</v>
      </c>
      <c r="H4786" t="s">
        <v>16</v>
      </c>
      <c r="I4786">
        <v>5</v>
      </c>
      <c r="J4786">
        <v>0</v>
      </c>
      <c r="K4786">
        <v>5</v>
      </c>
    </row>
    <row r="4787" spans="1:11" x14ac:dyDescent="0.25">
      <c r="A4787" t="s">
        <v>4827</v>
      </c>
      <c r="B4787" s="1">
        <v>45910.224618055552</v>
      </c>
      <c r="C4787" s="2" t="s">
        <v>18</v>
      </c>
      <c r="D4787" t="s">
        <v>45</v>
      </c>
      <c r="E4787">
        <v>34985</v>
      </c>
      <c r="F4787" t="s">
        <v>50</v>
      </c>
      <c r="G4787" t="s">
        <v>15</v>
      </c>
      <c r="H4787" t="s">
        <v>56</v>
      </c>
      <c r="I4787">
        <v>349.85</v>
      </c>
      <c r="J4787">
        <v>0</v>
      </c>
      <c r="K4787">
        <v>349.85</v>
      </c>
    </row>
    <row r="4788" spans="1:11" x14ac:dyDescent="0.25">
      <c r="A4788" t="s">
        <v>4828</v>
      </c>
      <c r="B4788" s="1">
        <v>46129.320405092592</v>
      </c>
      <c r="C4788" s="2" t="s">
        <v>18</v>
      </c>
      <c r="D4788" t="s">
        <v>45</v>
      </c>
      <c r="E4788">
        <v>10415</v>
      </c>
      <c r="F4788" t="s">
        <v>14</v>
      </c>
      <c r="G4788" t="s">
        <v>20</v>
      </c>
      <c r="H4788" t="s">
        <v>178</v>
      </c>
      <c r="I4788">
        <v>104.15</v>
      </c>
      <c r="J4788">
        <v>0</v>
      </c>
      <c r="K4788">
        <v>104.15</v>
      </c>
    </row>
    <row r="4789" spans="1:11" x14ac:dyDescent="0.25">
      <c r="A4789" t="s">
        <v>4829</v>
      </c>
      <c r="B4789" s="1">
        <v>45936.398182870369</v>
      </c>
      <c r="C4789" s="2" t="s">
        <v>26</v>
      </c>
      <c r="D4789" t="s">
        <v>45</v>
      </c>
      <c r="E4789">
        <v>55607</v>
      </c>
      <c r="F4789" t="s">
        <v>14</v>
      </c>
      <c r="G4789" t="s">
        <v>84</v>
      </c>
      <c r="H4789" t="s">
        <v>56</v>
      </c>
      <c r="I4789">
        <v>556.07000000000005</v>
      </c>
      <c r="J4789">
        <v>0</v>
      </c>
      <c r="K4789">
        <v>556.07000000000005</v>
      </c>
    </row>
    <row r="4790" spans="1:11" x14ac:dyDescent="0.25">
      <c r="A4790" t="s">
        <v>4830</v>
      </c>
      <c r="B4790" s="1">
        <v>45981.724675925929</v>
      </c>
      <c r="C4790" s="2" t="s">
        <v>12</v>
      </c>
      <c r="D4790" t="s">
        <v>19</v>
      </c>
      <c r="E4790">
        <v>127898</v>
      </c>
      <c r="F4790" t="s">
        <v>14</v>
      </c>
      <c r="G4790" t="s">
        <v>15</v>
      </c>
      <c r="H4790" t="s">
        <v>16</v>
      </c>
      <c r="I4790">
        <v>5</v>
      </c>
      <c r="J4790">
        <v>0</v>
      </c>
      <c r="K4790">
        <v>5</v>
      </c>
    </row>
    <row r="4791" spans="1:11" x14ac:dyDescent="0.25">
      <c r="A4791" t="s">
        <v>4831</v>
      </c>
      <c r="B4791" s="1">
        <v>45997.687928240739</v>
      </c>
      <c r="C4791" s="2" t="s">
        <v>41</v>
      </c>
      <c r="D4791" t="s">
        <v>13</v>
      </c>
      <c r="E4791">
        <v>184000</v>
      </c>
      <c r="F4791" t="s">
        <v>14</v>
      </c>
      <c r="G4791" t="s">
        <v>51</v>
      </c>
      <c r="H4791" t="s">
        <v>16</v>
      </c>
      <c r="I4791">
        <v>3404</v>
      </c>
      <c r="J4791">
        <v>1361.6</v>
      </c>
      <c r="K4791">
        <v>2042.4</v>
      </c>
    </row>
    <row r="4792" spans="1:11" x14ac:dyDescent="0.25">
      <c r="A4792" t="s">
        <v>4832</v>
      </c>
      <c r="B4792" s="1">
        <v>45964.479537037034</v>
      </c>
      <c r="C4792" s="2" t="s">
        <v>29</v>
      </c>
      <c r="D4792" t="s">
        <v>23</v>
      </c>
      <c r="E4792">
        <v>4522</v>
      </c>
      <c r="F4792" t="s">
        <v>14</v>
      </c>
      <c r="G4792" t="s">
        <v>27</v>
      </c>
      <c r="H4792" t="s">
        <v>16</v>
      </c>
      <c r="I4792">
        <v>0</v>
      </c>
      <c r="J4792">
        <v>0</v>
      </c>
      <c r="K4792">
        <v>0</v>
      </c>
    </row>
    <row r="4793" spans="1:11" x14ac:dyDescent="0.25">
      <c r="A4793" t="s">
        <v>4833</v>
      </c>
      <c r="B4793" s="1">
        <v>45914.402789351851</v>
      </c>
      <c r="C4793" s="2" t="s">
        <v>29</v>
      </c>
      <c r="D4793" t="s">
        <v>19</v>
      </c>
      <c r="E4793">
        <v>70167</v>
      </c>
      <c r="F4793" t="s">
        <v>14</v>
      </c>
      <c r="G4793" t="s">
        <v>34</v>
      </c>
      <c r="H4793" t="s">
        <v>16</v>
      </c>
      <c r="I4793">
        <v>5</v>
      </c>
      <c r="J4793">
        <v>0</v>
      </c>
      <c r="K4793">
        <v>5</v>
      </c>
    </row>
    <row r="4794" spans="1:11" x14ac:dyDescent="0.25">
      <c r="A4794" t="s">
        <v>4834</v>
      </c>
      <c r="B4794" s="1">
        <v>45836.209641203706</v>
      </c>
      <c r="C4794" s="2" t="s">
        <v>29</v>
      </c>
      <c r="D4794" t="s">
        <v>45</v>
      </c>
      <c r="E4794">
        <v>123590</v>
      </c>
      <c r="F4794" t="s">
        <v>14</v>
      </c>
      <c r="G4794" t="s">
        <v>58</v>
      </c>
      <c r="H4794" t="s">
        <v>178</v>
      </c>
      <c r="I4794">
        <v>1235.9000000000001</v>
      </c>
      <c r="J4794">
        <v>0</v>
      </c>
      <c r="K4794">
        <v>1235.9000000000001</v>
      </c>
    </row>
    <row r="4795" spans="1:11" x14ac:dyDescent="0.25">
      <c r="A4795" t="s">
        <v>4835</v>
      </c>
      <c r="B4795" s="1">
        <v>45952.52716435185</v>
      </c>
      <c r="C4795" s="2" t="s">
        <v>29</v>
      </c>
      <c r="D4795" t="s">
        <v>19</v>
      </c>
      <c r="E4795">
        <v>123077</v>
      </c>
      <c r="F4795" t="s">
        <v>14</v>
      </c>
      <c r="G4795" t="s">
        <v>27</v>
      </c>
      <c r="H4795" t="s">
        <v>16</v>
      </c>
      <c r="I4795">
        <v>5</v>
      </c>
      <c r="J4795">
        <v>0</v>
      </c>
      <c r="K4795">
        <v>5</v>
      </c>
    </row>
    <row r="4796" spans="1:11" x14ac:dyDescent="0.25">
      <c r="A4796" t="s">
        <v>4836</v>
      </c>
      <c r="B4796" s="1">
        <v>46030.14775462963</v>
      </c>
      <c r="C4796" s="2" t="s">
        <v>41</v>
      </c>
      <c r="D4796" t="s">
        <v>13</v>
      </c>
      <c r="E4796">
        <v>181500</v>
      </c>
      <c r="F4796" t="s">
        <v>14</v>
      </c>
      <c r="G4796" t="s">
        <v>34</v>
      </c>
      <c r="H4796" t="s">
        <v>16</v>
      </c>
      <c r="I4796">
        <v>3357.75</v>
      </c>
      <c r="J4796">
        <v>1343.1</v>
      </c>
      <c r="K4796">
        <v>2014.65</v>
      </c>
    </row>
    <row r="4797" spans="1:11" x14ac:dyDescent="0.25">
      <c r="A4797" t="s">
        <v>4837</v>
      </c>
      <c r="B4797" s="1">
        <v>45853.42114583333</v>
      </c>
      <c r="C4797" s="2" t="s">
        <v>26</v>
      </c>
      <c r="D4797" t="s">
        <v>23</v>
      </c>
      <c r="E4797">
        <v>4935</v>
      </c>
      <c r="F4797" t="s">
        <v>50</v>
      </c>
      <c r="G4797" t="s">
        <v>27</v>
      </c>
      <c r="H4797" t="s">
        <v>16</v>
      </c>
      <c r="I4797">
        <v>0</v>
      </c>
      <c r="J4797">
        <v>0</v>
      </c>
      <c r="K4797">
        <v>0</v>
      </c>
    </row>
    <row r="4798" spans="1:11" x14ac:dyDescent="0.25">
      <c r="A4798" t="s">
        <v>4838</v>
      </c>
      <c r="B4798" s="1">
        <v>46046.812060185184</v>
      </c>
      <c r="C4798" s="2" t="s">
        <v>22</v>
      </c>
      <c r="D4798" t="s">
        <v>13</v>
      </c>
      <c r="E4798">
        <v>164000</v>
      </c>
      <c r="F4798" t="s">
        <v>14</v>
      </c>
      <c r="G4798" t="s">
        <v>15</v>
      </c>
      <c r="H4798" t="s">
        <v>16</v>
      </c>
      <c r="I4798">
        <v>3034</v>
      </c>
      <c r="J4798">
        <v>1213.5999999999999</v>
      </c>
      <c r="K4798">
        <v>1820.4</v>
      </c>
    </row>
    <row r="4799" spans="1:11" x14ac:dyDescent="0.25">
      <c r="A4799" t="s">
        <v>4839</v>
      </c>
      <c r="B4799" s="1">
        <v>46098.800046296295</v>
      </c>
      <c r="C4799" s="2" t="s">
        <v>32</v>
      </c>
      <c r="D4799" t="s">
        <v>33</v>
      </c>
      <c r="E4799">
        <v>77732</v>
      </c>
      <c r="F4799" t="s">
        <v>14</v>
      </c>
      <c r="G4799" t="s">
        <v>58</v>
      </c>
      <c r="H4799" t="s">
        <v>16</v>
      </c>
      <c r="I4799">
        <v>0</v>
      </c>
      <c r="J4799">
        <v>0</v>
      </c>
      <c r="K4799">
        <v>0</v>
      </c>
    </row>
    <row r="4800" spans="1:11" x14ac:dyDescent="0.25">
      <c r="A4800" t="s">
        <v>4840</v>
      </c>
      <c r="B4800" s="1">
        <v>46092.952905092592</v>
      </c>
      <c r="C4800" s="2" t="s">
        <v>26</v>
      </c>
      <c r="D4800" t="s">
        <v>23</v>
      </c>
      <c r="E4800">
        <v>66</v>
      </c>
      <c r="F4800" t="s">
        <v>14</v>
      </c>
      <c r="G4800" t="s">
        <v>15</v>
      </c>
      <c r="H4800" t="s">
        <v>16</v>
      </c>
      <c r="I4800">
        <v>0</v>
      </c>
      <c r="J4800">
        <v>0</v>
      </c>
      <c r="K4800">
        <v>0</v>
      </c>
    </row>
    <row r="4801" spans="1:11" x14ac:dyDescent="0.25">
      <c r="A4801" t="s">
        <v>4841</v>
      </c>
      <c r="B4801" s="1">
        <v>45926.959988425922</v>
      </c>
      <c r="C4801" s="2" t="s">
        <v>41</v>
      </c>
      <c r="D4801" t="s">
        <v>19</v>
      </c>
      <c r="E4801">
        <v>121071</v>
      </c>
      <c r="F4801" t="s">
        <v>14</v>
      </c>
      <c r="G4801" t="s">
        <v>34</v>
      </c>
      <c r="H4801" t="s">
        <v>16</v>
      </c>
      <c r="I4801">
        <v>5</v>
      </c>
      <c r="J4801">
        <v>0</v>
      </c>
      <c r="K4801">
        <v>5</v>
      </c>
    </row>
    <row r="4802" spans="1:11" x14ac:dyDescent="0.25">
      <c r="A4802" t="s">
        <v>4842</v>
      </c>
      <c r="B4802" s="1">
        <v>46049.498842592591</v>
      </c>
      <c r="C4802" s="2" t="s">
        <v>39</v>
      </c>
      <c r="D4802" t="s">
        <v>23</v>
      </c>
      <c r="E4802">
        <v>1246</v>
      </c>
      <c r="F4802" t="s">
        <v>14</v>
      </c>
      <c r="G4802" t="s">
        <v>84</v>
      </c>
      <c r="H4802" t="s">
        <v>16</v>
      </c>
      <c r="I4802">
        <v>0</v>
      </c>
      <c r="J4802">
        <v>0</v>
      </c>
      <c r="K4802">
        <v>0</v>
      </c>
    </row>
    <row r="4803" spans="1:11" x14ac:dyDescent="0.25">
      <c r="A4803" t="s">
        <v>4843</v>
      </c>
      <c r="B4803" s="1">
        <v>45965.300810185188</v>
      </c>
      <c r="C4803" s="2" t="s">
        <v>12</v>
      </c>
      <c r="D4803" t="s">
        <v>33</v>
      </c>
      <c r="E4803">
        <v>116071</v>
      </c>
      <c r="F4803" t="s">
        <v>14</v>
      </c>
      <c r="G4803" t="s">
        <v>34</v>
      </c>
      <c r="H4803" t="s">
        <v>16</v>
      </c>
      <c r="I4803">
        <v>0</v>
      </c>
      <c r="J4803">
        <v>0</v>
      </c>
      <c r="K4803">
        <v>0</v>
      </c>
    </row>
    <row r="4804" spans="1:11" x14ac:dyDescent="0.25">
      <c r="A4804" t="s">
        <v>4844</v>
      </c>
      <c r="B4804" s="1">
        <v>45915.032685185186</v>
      </c>
      <c r="C4804" s="2" t="s">
        <v>22</v>
      </c>
      <c r="D4804" t="s">
        <v>23</v>
      </c>
      <c r="E4804">
        <v>4095</v>
      </c>
      <c r="F4804" t="s">
        <v>14</v>
      </c>
      <c r="G4804" t="s">
        <v>34</v>
      </c>
      <c r="H4804" t="s">
        <v>16</v>
      </c>
      <c r="I4804">
        <v>0</v>
      </c>
      <c r="J4804">
        <v>0</v>
      </c>
      <c r="K4804">
        <v>0</v>
      </c>
    </row>
    <row r="4805" spans="1:11" x14ac:dyDescent="0.25">
      <c r="A4805" t="s">
        <v>4845</v>
      </c>
      <c r="B4805" s="1">
        <v>45786.559224537035</v>
      </c>
      <c r="C4805" s="2" t="s">
        <v>12</v>
      </c>
      <c r="D4805" t="s">
        <v>33</v>
      </c>
      <c r="E4805">
        <v>3617</v>
      </c>
      <c r="F4805" t="s">
        <v>50</v>
      </c>
      <c r="G4805" t="s">
        <v>24</v>
      </c>
      <c r="H4805" t="s">
        <v>16</v>
      </c>
      <c r="I4805">
        <v>0</v>
      </c>
      <c r="J4805">
        <v>0</v>
      </c>
      <c r="K4805">
        <v>0</v>
      </c>
    </row>
    <row r="4806" spans="1:11" x14ac:dyDescent="0.25">
      <c r="A4806" t="s">
        <v>4846</v>
      </c>
      <c r="B4806" s="1">
        <v>46041.81931712963</v>
      </c>
      <c r="C4806" s="2" t="s">
        <v>29</v>
      </c>
      <c r="D4806" t="s">
        <v>45</v>
      </c>
      <c r="E4806">
        <v>106468</v>
      </c>
      <c r="F4806" t="s">
        <v>14</v>
      </c>
      <c r="G4806" t="s">
        <v>27</v>
      </c>
      <c r="H4806" t="s">
        <v>71</v>
      </c>
      <c r="I4806">
        <v>1064.68</v>
      </c>
      <c r="J4806">
        <v>0</v>
      </c>
      <c r="K4806">
        <v>1064.68</v>
      </c>
    </row>
    <row r="4807" spans="1:11" x14ac:dyDescent="0.25">
      <c r="A4807" t="s">
        <v>4847</v>
      </c>
      <c r="B4807" s="1">
        <v>45924.769571759258</v>
      </c>
      <c r="C4807" s="2" t="s">
        <v>18</v>
      </c>
      <c r="D4807" t="s">
        <v>33</v>
      </c>
      <c r="E4807">
        <v>142104</v>
      </c>
      <c r="F4807" t="s">
        <v>14</v>
      </c>
      <c r="G4807" t="s">
        <v>15</v>
      </c>
      <c r="H4807" t="s">
        <v>16</v>
      </c>
      <c r="I4807">
        <v>0</v>
      </c>
      <c r="J4807">
        <v>0</v>
      </c>
      <c r="K4807">
        <v>0</v>
      </c>
    </row>
    <row r="4808" spans="1:11" x14ac:dyDescent="0.25">
      <c r="A4808" t="s">
        <v>4848</v>
      </c>
      <c r="B4808" s="1">
        <v>45796.145381944443</v>
      </c>
      <c r="C4808" s="2" t="s">
        <v>26</v>
      </c>
      <c r="D4808" t="s">
        <v>33</v>
      </c>
      <c r="E4808">
        <v>23410</v>
      </c>
      <c r="F4808" t="s">
        <v>50</v>
      </c>
      <c r="G4808" t="s">
        <v>84</v>
      </c>
      <c r="H4808" t="s">
        <v>16</v>
      </c>
      <c r="I4808">
        <v>0</v>
      </c>
      <c r="J4808">
        <v>0</v>
      </c>
      <c r="K4808">
        <v>0</v>
      </c>
    </row>
    <row r="4809" spans="1:11" x14ac:dyDescent="0.25">
      <c r="A4809" t="s">
        <v>4849</v>
      </c>
      <c r="B4809" s="1">
        <v>45806.649722222224</v>
      </c>
      <c r="C4809" s="2" t="s">
        <v>39</v>
      </c>
      <c r="D4809" t="s">
        <v>19</v>
      </c>
      <c r="E4809">
        <v>143088</v>
      </c>
      <c r="F4809" t="s">
        <v>14</v>
      </c>
      <c r="G4809" t="s">
        <v>27</v>
      </c>
      <c r="H4809" t="s">
        <v>16</v>
      </c>
      <c r="I4809">
        <v>5</v>
      </c>
      <c r="J4809">
        <v>0</v>
      </c>
      <c r="K4809">
        <v>5</v>
      </c>
    </row>
    <row r="4810" spans="1:11" x14ac:dyDescent="0.25">
      <c r="A4810" t="s">
        <v>4850</v>
      </c>
      <c r="B4810" s="1">
        <v>46142.365995370368</v>
      </c>
      <c r="C4810" s="2" t="s">
        <v>41</v>
      </c>
      <c r="D4810" t="s">
        <v>23</v>
      </c>
      <c r="E4810">
        <v>3284</v>
      </c>
      <c r="F4810" t="s">
        <v>99</v>
      </c>
      <c r="G4810" t="s">
        <v>20</v>
      </c>
      <c r="H4810" t="s">
        <v>16</v>
      </c>
      <c r="I4810">
        <v>0</v>
      </c>
      <c r="J4810">
        <v>0</v>
      </c>
      <c r="K4810">
        <v>0</v>
      </c>
    </row>
    <row r="4811" spans="1:11" x14ac:dyDescent="0.25">
      <c r="A4811" t="s">
        <v>4851</v>
      </c>
      <c r="B4811" s="1">
        <v>45958.350243055553</v>
      </c>
      <c r="C4811" s="2" t="s">
        <v>41</v>
      </c>
      <c r="D4811" t="s">
        <v>23</v>
      </c>
      <c r="E4811">
        <v>4094</v>
      </c>
      <c r="F4811" t="s">
        <v>14</v>
      </c>
      <c r="G4811" t="s">
        <v>84</v>
      </c>
      <c r="H4811" t="s">
        <v>16</v>
      </c>
      <c r="I4811">
        <v>0</v>
      </c>
      <c r="J4811">
        <v>0</v>
      </c>
      <c r="K4811">
        <v>0</v>
      </c>
    </row>
    <row r="4812" spans="1:11" x14ac:dyDescent="0.25">
      <c r="A4812" t="s">
        <v>4852</v>
      </c>
      <c r="B4812" s="1">
        <v>46031.357662037037</v>
      </c>
      <c r="C4812" s="2" t="s">
        <v>18</v>
      </c>
      <c r="D4812" t="s">
        <v>33</v>
      </c>
      <c r="E4812">
        <v>4213</v>
      </c>
      <c r="F4812" t="s">
        <v>50</v>
      </c>
      <c r="G4812" t="s">
        <v>58</v>
      </c>
      <c r="H4812" t="s">
        <v>16</v>
      </c>
      <c r="I4812">
        <v>0</v>
      </c>
      <c r="J4812">
        <v>0</v>
      </c>
      <c r="K4812">
        <v>0</v>
      </c>
    </row>
    <row r="4813" spans="1:11" x14ac:dyDescent="0.25">
      <c r="A4813" t="s">
        <v>4853</v>
      </c>
      <c r="B4813" s="1">
        <v>46012.967997685184</v>
      </c>
      <c r="C4813" s="2" t="s">
        <v>39</v>
      </c>
      <c r="D4813" t="s">
        <v>23</v>
      </c>
      <c r="E4813">
        <v>502</v>
      </c>
      <c r="F4813" t="s">
        <v>50</v>
      </c>
      <c r="G4813" t="s">
        <v>58</v>
      </c>
      <c r="H4813" t="s">
        <v>16</v>
      </c>
      <c r="I4813">
        <v>0</v>
      </c>
      <c r="J4813">
        <v>0</v>
      </c>
      <c r="K4813">
        <v>0</v>
      </c>
    </row>
    <row r="4814" spans="1:11" x14ac:dyDescent="0.25">
      <c r="A4814" t="s">
        <v>4854</v>
      </c>
      <c r="B4814" s="1">
        <v>45922.421805555554</v>
      </c>
      <c r="C4814" s="2" t="s">
        <v>32</v>
      </c>
      <c r="D4814" t="s">
        <v>13</v>
      </c>
      <c r="E4814">
        <v>204500</v>
      </c>
      <c r="F4814" t="s">
        <v>99</v>
      </c>
      <c r="G4814" t="s">
        <v>84</v>
      </c>
      <c r="H4814" t="s">
        <v>16</v>
      </c>
      <c r="I4814">
        <v>3783.25</v>
      </c>
      <c r="J4814">
        <v>1513.3</v>
      </c>
      <c r="K4814">
        <v>2269.9499999999998</v>
      </c>
    </row>
    <row r="4815" spans="1:11" x14ac:dyDescent="0.25">
      <c r="A4815" t="s">
        <v>4855</v>
      </c>
      <c r="B4815" s="1">
        <v>45807.161192129628</v>
      </c>
      <c r="C4815" s="2" t="s">
        <v>29</v>
      </c>
      <c r="D4815" t="s">
        <v>45</v>
      </c>
      <c r="E4815">
        <v>87330</v>
      </c>
      <c r="F4815" t="s">
        <v>14</v>
      </c>
      <c r="G4815" t="s">
        <v>27</v>
      </c>
      <c r="H4815" t="s">
        <v>56</v>
      </c>
      <c r="I4815">
        <v>873.3</v>
      </c>
      <c r="J4815">
        <v>0</v>
      </c>
      <c r="K4815">
        <v>873.3</v>
      </c>
    </row>
    <row r="4816" spans="1:11" x14ac:dyDescent="0.25">
      <c r="A4816" t="s">
        <v>4856</v>
      </c>
      <c r="B4816" s="1">
        <v>45936.318657407406</v>
      </c>
      <c r="C4816" s="2" t="s">
        <v>32</v>
      </c>
      <c r="D4816" t="s">
        <v>45</v>
      </c>
      <c r="E4816">
        <v>57617</v>
      </c>
      <c r="F4816" t="s">
        <v>14</v>
      </c>
      <c r="G4816" t="s">
        <v>27</v>
      </c>
      <c r="H4816" t="s">
        <v>56</v>
      </c>
      <c r="I4816">
        <v>576.16999999999996</v>
      </c>
      <c r="J4816">
        <v>0</v>
      </c>
      <c r="K4816">
        <v>576.16999999999996</v>
      </c>
    </row>
    <row r="4817" spans="1:11" x14ac:dyDescent="0.25">
      <c r="A4817" t="s">
        <v>4857</v>
      </c>
      <c r="B4817" s="1">
        <v>45991.3746875</v>
      </c>
      <c r="C4817" s="2" t="s">
        <v>12</v>
      </c>
      <c r="D4817" t="s">
        <v>45</v>
      </c>
      <c r="E4817">
        <v>101479</v>
      </c>
      <c r="F4817" t="s">
        <v>14</v>
      </c>
      <c r="G4817" t="s">
        <v>34</v>
      </c>
      <c r="H4817" t="s">
        <v>56</v>
      </c>
      <c r="I4817">
        <v>1014.79</v>
      </c>
      <c r="J4817">
        <v>0</v>
      </c>
      <c r="K4817">
        <v>1014.79</v>
      </c>
    </row>
    <row r="4818" spans="1:11" x14ac:dyDescent="0.25">
      <c r="A4818" t="s">
        <v>4858</v>
      </c>
      <c r="B4818" s="1">
        <v>46138.491423611114</v>
      </c>
      <c r="C4818" s="2" t="s">
        <v>41</v>
      </c>
      <c r="D4818" t="s">
        <v>33</v>
      </c>
      <c r="E4818">
        <v>116549</v>
      </c>
      <c r="F4818" t="s">
        <v>14</v>
      </c>
      <c r="G4818" t="s">
        <v>34</v>
      </c>
      <c r="H4818" t="s">
        <v>16</v>
      </c>
      <c r="I4818">
        <v>0</v>
      </c>
      <c r="J4818">
        <v>0</v>
      </c>
      <c r="K4818">
        <v>0</v>
      </c>
    </row>
    <row r="4819" spans="1:11" x14ac:dyDescent="0.25">
      <c r="A4819" t="s">
        <v>4859</v>
      </c>
      <c r="B4819" s="1">
        <v>45887.681307870371</v>
      </c>
      <c r="C4819" s="2" t="s">
        <v>22</v>
      </c>
      <c r="D4819" t="s">
        <v>23</v>
      </c>
      <c r="E4819">
        <v>990</v>
      </c>
      <c r="F4819" t="s">
        <v>14</v>
      </c>
      <c r="G4819" t="s">
        <v>51</v>
      </c>
      <c r="H4819" t="s">
        <v>16</v>
      </c>
      <c r="I4819">
        <v>0</v>
      </c>
      <c r="J4819">
        <v>0</v>
      </c>
      <c r="K4819">
        <v>0</v>
      </c>
    </row>
    <row r="4820" spans="1:11" x14ac:dyDescent="0.25">
      <c r="A4820" t="s">
        <v>4860</v>
      </c>
      <c r="B4820" s="1">
        <v>45781.924502314818</v>
      </c>
      <c r="C4820" s="2" t="s">
        <v>41</v>
      </c>
      <c r="D4820" t="s">
        <v>33</v>
      </c>
      <c r="E4820">
        <v>81035</v>
      </c>
      <c r="F4820" t="s">
        <v>14</v>
      </c>
      <c r="G4820" t="s">
        <v>27</v>
      </c>
      <c r="H4820" t="s">
        <v>16</v>
      </c>
      <c r="I4820">
        <v>0</v>
      </c>
      <c r="J4820">
        <v>0</v>
      </c>
      <c r="K4820">
        <v>0</v>
      </c>
    </row>
    <row r="4821" spans="1:11" x14ac:dyDescent="0.25">
      <c r="A4821" t="s">
        <v>4861</v>
      </c>
      <c r="B4821" s="1">
        <v>45815.087488425925</v>
      </c>
      <c r="C4821" s="2" t="s">
        <v>41</v>
      </c>
      <c r="D4821" t="s">
        <v>19</v>
      </c>
      <c r="E4821">
        <v>84727</v>
      </c>
      <c r="F4821" t="s">
        <v>14</v>
      </c>
      <c r="G4821" t="s">
        <v>30</v>
      </c>
      <c r="H4821" t="s">
        <v>16</v>
      </c>
      <c r="I4821">
        <v>5</v>
      </c>
      <c r="J4821">
        <v>0</v>
      </c>
      <c r="K4821">
        <v>5</v>
      </c>
    </row>
    <row r="4822" spans="1:11" x14ac:dyDescent="0.25">
      <c r="A4822" t="s">
        <v>4862</v>
      </c>
      <c r="B4822" s="1">
        <v>45948.248391203706</v>
      </c>
      <c r="C4822" s="2" t="s">
        <v>12</v>
      </c>
      <c r="D4822" t="s">
        <v>45</v>
      </c>
      <c r="E4822">
        <v>118001</v>
      </c>
      <c r="F4822" t="s">
        <v>14</v>
      </c>
      <c r="G4822" t="s">
        <v>30</v>
      </c>
      <c r="H4822" t="s">
        <v>46</v>
      </c>
      <c r="I4822">
        <v>1180.01</v>
      </c>
      <c r="J4822">
        <v>0</v>
      </c>
      <c r="K4822">
        <v>1180.01</v>
      </c>
    </row>
    <row r="4823" spans="1:11" x14ac:dyDescent="0.25">
      <c r="A4823" t="s">
        <v>4863</v>
      </c>
      <c r="B4823" s="1">
        <v>46106.327118055553</v>
      </c>
      <c r="C4823" s="2" t="s">
        <v>29</v>
      </c>
      <c r="D4823" t="s">
        <v>19</v>
      </c>
      <c r="E4823">
        <v>83718</v>
      </c>
      <c r="F4823" t="s">
        <v>14</v>
      </c>
      <c r="G4823" t="s">
        <v>34</v>
      </c>
      <c r="H4823" t="s">
        <v>16</v>
      </c>
      <c r="I4823">
        <v>5</v>
      </c>
      <c r="J4823">
        <v>0</v>
      </c>
      <c r="K4823">
        <v>5</v>
      </c>
    </row>
    <row r="4824" spans="1:11" x14ac:dyDescent="0.25">
      <c r="A4824" t="s">
        <v>4864</v>
      </c>
      <c r="B4824" s="1">
        <v>46096.912592592591</v>
      </c>
      <c r="C4824" s="2" t="s">
        <v>32</v>
      </c>
      <c r="D4824" t="s">
        <v>45</v>
      </c>
      <c r="E4824">
        <v>75950</v>
      </c>
      <c r="F4824" t="s">
        <v>14</v>
      </c>
      <c r="G4824" t="s">
        <v>30</v>
      </c>
      <c r="H4824" t="s">
        <v>56</v>
      </c>
      <c r="I4824">
        <v>759.5</v>
      </c>
      <c r="J4824">
        <v>0</v>
      </c>
      <c r="K4824">
        <v>759.5</v>
      </c>
    </row>
    <row r="4825" spans="1:11" x14ac:dyDescent="0.25">
      <c r="A4825" t="s">
        <v>4865</v>
      </c>
      <c r="B4825" s="1">
        <v>45991.104317129626</v>
      </c>
      <c r="C4825" s="2" t="s">
        <v>41</v>
      </c>
      <c r="D4825" t="s">
        <v>19</v>
      </c>
      <c r="E4825">
        <v>116038</v>
      </c>
      <c r="F4825" t="s">
        <v>50</v>
      </c>
      <c r="G4825" t="s">
        <v>84</v>
      </c>
      <c r="H4825" t="s">
        <v>16</v>
      </c>
      <c r="I4825">
        <v>5</v>
      </c>
      <c r="J4825">
        <v>0</v>
      </c>
      <c r="K4825">
        <v>5</v>
      </c>
    </row>
    <row r="4826" spans="1:11" x14ac:dyDescent="0.25">
      <c r="A4826" t="s">
        <v>4866</v>
      </c>
      <c r="B4826" s="1">
        <v>45881.373518518521</v>
      </c>
      <c r="C4826" s="2" t="s">
        <v>41</v>
      </c>
      <c r="D4826" t="s">
        <v>33</v>
      </c>
      <c r="E4826">
        <v>55427</v>
      </c>
      <c r="F4826" t="s">
        <v>14</v>
      </c>
      <c r="G4826" t="s">
        <v>84</v>
      </c>
      <c r="H4826" t="s">
        <v>16</v>
      </c>
      <c r="I4826">
        <v>0</v>
      </c>
      <c r="J4826">
        <v>0</v>
      </c>
      <c r="K4826">
        <v>0</v>
      </c>
    </row>
    <row r="4827" spans="1:11" x14ac:dyDescent="0.25">
      <c r="A4827" t="s">
        <v>4867</v>
      </c>
      <c r="B4827" s="1">
        <v>45966.339884259258</v>
      </c>
      <c r="C4827" s="2" t="s">
        <v>22</v>
      </c>
      <c r="D4827" t="s">
        <v>13</v>
      </c>
      <c r="E4827">
        <v>209000</v>
      </c>
      <c r="F4827" t="s">
        <v>14</v>
      </c>
      <c r="G4827" t="s">
        <v>58</v>
      </c>
      <c r="H4827" t="s">
        <v>16</v>
      </c>
      <c r="I4827">
        <v>3866.5</v>
      </c>
      <c r="J4827">
        <v>1546.6</v>
      </c>
      <c r="K4827">
        <v>2319.9</v>
      </c>
    </row>
    <row r="4828" spans="1:11" x14ac:dyDescent="0.25">
      <c r="A4828" t="s">
        <v>4868</v>
      </c>
      <c r="B4828" s="1">
        <v>45991.571331018517</v>
      </c>
      <c r="C4828" s="2" t="s">
        <v>22</v>
      </c>
      <c r="D4828" t="s">
        <v>13</v>
      </c>
      <c r="E4828">
        <v>205500</v>
      </c>
      <c r="F4828" t="s">
        <v>14</v>
      </c>
      <c r="G4828" t="s">
        <v>24</v>
      </c>
      <c r="H4828" t="s">
        <v>16</v>
      </c>
      <c r="I4828">
        <v>3801.75</v>
      </c>
      <c r="J4828">
        <v>1520.7</v>
      </c>
      <c r="K4828">
        <v>2281.0500000000002</v>
      </c>
    </row>
    <row r="4829" spans="1:11" x14ac:dyDescent="0.25">
      <c r="A4829" t="s">
        <v>4869</v>
      </c>
      <c r="B4829" s="1">
        <v>45931.477453703701</v>
      </c>
      <c r="C4829" s="2" t="s">
        <v>32</v>
      </c>
      <c r="D4829" t="s">
        <v>13</v>
      </c>
      <c r="E4829">
        <v>231500</v>
      </c>
      <c r="F4829" t="s">
        <v>50</v>
      </c>
      <c r="G4829" t="s">
        <v>24</v>
      </c>
      <c r="H4829" t="s">
        <v>16</v>
      </c>
      <c r="I4829">
        <v>4282.75</v>
      </c>
      <c r="J4829">
        <v>1713.1</v>
      </c>
      <c r="K4829">
        <v>2569.65</v>
      </c>
    </row>
    <row r="4830" spans="1:11" x14ac:dyDescent="0.25">
      <c r="A4830" t="s">
        <v>4870</v>
      </c>
      <c r="B4830" s="1">
        <v>46073.617893518516</v>
      </c>
      <c r="C4830" s="2" t="s">
        <v>12</v>
      </c>
      <c r="D4830" t="s">
        <v>19</v>
      </c>
      <c r="E4830">
        <v>131251</v>
      </c>
      <c r="F4830" t="s">
        <v>99</v>
      </c>
      <c r="G4830" t="s">
        <v>84</v>
      </c>
      <c r="H4830" t="s">
        <v>16</v>
      </c>
      <c r="I4830">
        <v>5</v>
      </c>
      <c r="J4830">
        <v>0</v>
      </c>
      <c r="K4830">
        <v>5</v>
      </c>
    </row>
    <row r="4831" spans="1:11" x14ac:dyDescent="0.25">
      <c r="A4831" t="s">
        <v>4871</v>
      </c>
      <c r="B4831" s="1">
        <v>45785.114212962966</v>
      </c>
      <c r="C4831" s="2" t="s">
        <v>22</v>
      </c>
      <c r="D4831" t="s">
        <v>13</v>
      </c>
      <c r="E4831">
        <v>36000</v>
      </c>
      <c r="F4831" t="s">
        <v>14</v>
      </c>
      <c r="G4831" t="s">
        <v>20</v>
      </c>
      <c r="H4831" t="s">
        <v>16</v>
      </c>
      <c r="I4831">
        <v>666</v>
      </c>
      <c r="J4831">
        <v>266.39999999999998</v>
      </c>
      <c r="K4831">
        <v>399.6</v>
      </c>
    </row>
    <row r="4832" spans="1:11" x14ac:dyDescent="0.25">
      <c r="A4832" t="s">
        <v>4872</v>
      </c>
      <c r="B4832" s="1">
        <v>46095.884780092594</v>
      </c>
      <c r="C4832" s="2" t="s">
        <v>26</v>
      </c>
      <c r="D4832" t="s">
        <v>19</v>
      </c>
      <c r="E4832">
        <v>10174</v>
      </c>
      <c r="F4832" t="s">
        <v>14</v>
      </c>
      <c r="G4832" t="s">
        <v>27</v>
      </c>
      <c r="H4832" t="s">
        <v>16</v>
      </c>
      <c r="I4832">
        <v>5</v>
      </c>
      <c r="J4832">
        <v>0</v>
      </c>
      <c r="K4832">
        <v>5</v>
      </c>
    </row>
    <row r="4833" spans="1:11" x14ac:dyDescent="0.25">
      <c r="A4833" t="s">
        <v>4873</v>
      </c>
      <c r="B4833" s="1">
        <v>45811.403043981481</v>
      </c>
      <c r="C4833" s="2" t="s">
        <v>39</v>
      </c>
      <c r="D4833" t="s">
        <v>23</v>
      </c>
      <c r="E4833">
        <v>4424</v>
      </c>
      <c r="F4833" t="s">
        <v>14</v>
      </c>
      <c r="G4833" t="s">
        <v>24</v>
      </c>
      <c r="H4833" t="s">
        <v>16</v>
      </c>
      <c r="I4833">
        <v>0</v>
      </c>
      <c r="J4833">
        <v>0</v>
      </c>
      <c r="K4833">
        <v>0</v>
      </c>
    </row>
    <row r="4834" spans="1:11" x14ac:dyDescent="0.25">
      <c r="A4834" t="s">
        <v>4874</v>
      </c>
      <c r="B4834" s="1">
        <v>46023.842812499999</v>
      </c>
      <c r="C4834" s="2" t="s">
        <v>39</v>
      </c>
      <c r="D4834" t="s">
        <v>19</v>
      </c>
      <c r="E4834">
        <v>28483</v>
      </c>
      <c r="F4834" t="s">
        <v>50</v>
      </c>
      <c r="G4834" t="s">
        <v>34</v>
      </c>
      <c r="H4834" t="s">
        <v>16</v>
      </c>
      <c r="I4834">
        <v>5</v>
      </c>
      <c r="J4834">
        <v>0</v>
      </c>
      <c r="K4834">
        <v>5</v>
      </c>
    </row>
    <row r="4835" spans="1:11" x14ac:dyDescent="0.25">
      <c r="A4835" t="s">
        <v>4875</v>
      </c>
      <c r="B4835" s="1">
        <v>45965.11136574074</v>
      </c>
      <c r="C4835" s="2" t="s">
        <v>32</v>
      </c>
      <c r="D4835" t="s">
        <v>23</v>
      </c>
      <c r="E4835">
        <v>1347</v>
      </c>
      <c r="F4835" t="s">
        <v>14</v>
      </c>
      <c r="G4835" t="s">
        <v>27</v>
      </c>
      <c r="H4835" t="s">
        <v>16</v>
      </c>
      <c r="I4835">
        <v>0</v>
      </c>
      <c r="J4835">
        <v>0</v>
      </c>
      <c r="K4835">
        <v>0</v>
      </c>
    </row>
    <row r="4836" spans="1:11" x14ac:dyDescent="0.25">
      <c r="A4836" t="s">
        <v>4876</v>
      </c>
      <c r="B4836" s="1">
        <v>46116.63784722222</v>
      </c>
      <c r="C4836" s="2" t="s">
        <v>26</v>
      </c>
      <c r="D4836" t="s">
        <v>33</v>
      </c>
      <c r="E4836">
        <v>53316</v>
      </c>
      <c r="F4836" t="s">
        <v>14</v>
      </c>
      <c r="G4836" t="s">
        <v>15</v>
      </c>
      <c r="H4836" t="s">
        <v>16</v>
      </c>
      <c r="I4836">
        <v>0</v>
      </c>
      <c r="J4836">
        <v>0</v>
      </c>
      <c r="K4836">
        <v>0</v>
      </c>
    </row>
    <row r="4837" spans="1:11" x14ac:dyDescent="0.25">
      <c r="A4837" t="s">
        <v>4877</v>
      </c>
      <c r="B4837" s="1">
        <v>46122.452152777776</v>
      </c>
      <c r="C4837" s="2" t="s">
        <v>12</v>
      </c>
      <c r="D4837" t="s">
        <v>45</v>
      </c>
      <c r="E4837">
        <v>57783</v>
      </c>
      <c r="F4837" t="s">
        <v>14</v>
      </c>
      <c r="G4837" t="s">
        <v>27</v>
      </c>
      <c r="H4837" t="s">
        <v>56</v>
      </c>
      <c r="I4837">
        <v>577.83000000000004</v>
      </c>
      <c r="J4837">
        <v>0</v>
      </c>
      <c r="K4837">
        <v>577.83000000000004</v>
      </c>
    </row>
    <row r="4838" spans="1:11" x14ac:dyDescent="0.25">
      <c r="A4838" t="s">
        <v>4878</v>
      </c>
      <c r="B4838" s="1">
        <v>45820.301770833335</v>
      </c>
      <c r="C4838" s="2" t="s">
        <v>12</v>
      </c>
      <c r="D4838" t="s">
        <v>33</v>
      </c>
      <c r="E4838">
        <v>113375</v>
      </c>
      <c r="F4838" t="s">
        <v>50</v>
      </c>
      <c r="G4838" t="s">
        <v>34</v>
      </c>
      <c r="H4838" t="s">
        <v>16</v>
      </c>
      <c r="I4838">
        <v>0</v>
      </c>
      <c r="J4838">
        <v>0</v>
      </c>
      <c r="K4838">
        <v>0</v>
      </c>
    </row>
    <row r="4839" spans="1:11" x14ac:dyDescent="0.25">
      <c r="A4839" t="s">
        <v>4879</v>
      </c>
      <c r="B4839" s="1">
        <v>45906.532777777778</v>
      </c>
      <c r="C4839" s="2" t="s">
        <v>12</v>
      </c>
      <c r="D4839" t="s">
        <v>13</v>
      </c>
      <c r="E4839">
        <v>113500</v>
      </c>
      <c r="F4839" t="s">
        <v>14</v>
      </c>
      <c r="G4839" t="s">
        <v>58</v>
      </c>
      <c r="H4839" t="s">
        <v>16</v>
      </c>
      <c r="I4839">
        <v>2099.75</v>
      </c>
      <c r="J4839">
        <v>839.9</v>
      </c>
      <c r="K4839">
        <v>1259.8499999999999</v>
      </c>
    </row>
    <row r="4840" spans="1:11" x14ac:dyDescent="0.25">
      <c r="A4840" t="s">
        <v>4880</v>
      </c>
      <c r="B4840" s="1">
        <v>46044.921400462961</v>
      </c>
      <c r="C4840" s="2" t="s">
        <v>12</v>
      </c>
      <c r="D4840" t="s">
        <v>13</v>
      </c>
      <c r="E4840">
        <v>140000</v>
      </c>
      <c r="F4840" t="s">
        <v>14</v>
      </c>
      <c r="G4840" t="s">
        <v>84</v>
      </c>
      <c r="H4840" t="s">
        <v>16</v>
      </c>
      <c r="I4840">
        <v>2590</v>
      </c>
      <c r="J4840">
        <v>1036</v>
      </c>
      <c r="K4840">
        <v>1554</v>
      </c>
    </row>
    <row r="4841" spans="1:11" x14ac:dyDescent="0.25">
      <c r="A4841" t="s">
        <v>4881</v>
      </c>
      <c r="B4841" s="1">
        <v>45846.063657407409</v>
      </c>
      <c r="C4841" s="2" t="s">
        <v>22</v>
      </c>
      <c r="D4841" t="s">
        <v>23</v>
      </c>
      <c r="E4841">
        <v>2510</v>
      </c>
      <c r="F4841" t="s">
        <v>99</v>
      </c>
      <c r="G4841" t="s">
        <v>24</v>
      </c>
      <c r="H4841" t="s">
        <v>16</v>
      </c>
      <c r="I4841">
        <v>0</v>
      </c>
      <c r="J4841">
        <v>0</v>
      </c>
      <c r="K4841">
        <v>0</v>
      </c>
    </row>
    <row r="4842" spans="1:11" x14ac:dyDescent="0.25">
      <c r="A4842" t="s">
        <v>4882</v>
      </c>
      <c r="B4842" s="1">
        <v>45780.421539351853</v>
      </c>
      <c r="C4842" s="2" t="s">
        <v>29</v>
      </c>
      <c r="D4842" t="s">
        <v>13</v>
      </c>
      <c r="E4842">
        <v>162000</v>
      </c>
      <c r="F4842" t="s">
        <v>14</v>
      </c>
      <c r="G4842" t="s">
        <v>58</v>
      </c>
      <c r="H4842" t="s">
        <v>16</v>
      </c>
      <c r="I4842">
        <v>2997</v>
      </c>
      <c r="J4842">
        <v>1198.8</v>
      </c>
      <c r="K4842">
        <v>1798.2</v>
      </c>
    </row>
    <row r="4843" spans="1:11" x14ac:dyDescent="0.25">
      <c r="A4843" t="s">
        <v>4883</v>
      </c>
      <c r="B4843" s="1">
        <v>45955.867222222223</v>
      </c>
      <c r="C4843" s="2" t="s">
        <v>26</v>
      </c>
      <c r="D4843" t="s">
        <v>45</v>
      </c>
      <c r="E4843">
        <v>20753</v>
      </c>
      <c r="F4843" t="s">
        <v>14</v>
      </c>
      <c r="G4843" t="s">
        <v>58</v>
      </c>
      <c r="H4843" t="s">
        <v>46</v>
      </c>
      <c r="I4843">
        <v>207.53</v>
      </c>
      <c r="J4843">
        <v>0</v>
      </c>
      <c r="K4843">
        <v>207.53</v>
      </c>
    </row>
    <row r="4844" spans="1:11" x14ac:dyDescent="0.25">
      <c r="A4844" t="s">
        <v>4884</v>
      </c>
      <c r="B4844" s="1">
        <v>45878.034155092595</v>
      </c>
      <c r="C4844" s="2" t="s">
        <v>18</v>
      </c>
      <c r="D4844" t="s">
        <v>33</v>
      </c>
      <c r="E4844">
        <v>20889</v>
      </c>
      <c r="F4844" t="s">
        <v>50</v>
      </c>
      <c r="G4844" t="s">
        <v>34</v>
      </c>
      <c r="H4844" t="s">
        <v>16</v>
      </c>
      <c r="I4844">
        <v>0</v>
      </c>
      <c r="J4844">
        <v>0</v>
      </c>
      <c r="K4844">
        <v>0</v>
      </c>
    </row>
    <row r="4845" spans="1:11" x14ac:dyDescent="0.25">
      <c r="A4845" t="s">
        <v>4885</v>
      </c>
      <c r="B4845" s="1">
        <v>45881.145671296297</v>
      </c>
      <c r="C4845" s="2" t="s">
        <v>12</v>
      </c>
      <c r="D4845" t="s">
        <v>23</v>
      </c>
      <c r="E4845">
        <v>3027</v>
      </c>
      <c r="F4845" t="s">
        <v>14</v>
      </c>
      <c r="G4845" t="s">
        <v>24</v>
      </c>
      <c r="H4845" t="s">
        <v>16</v>
      </c>
      <c r="I4845">
        <v>0</v>
      </c>
      <c r="J4845">
        <v>0</v>
      </c>
      <c r="K4845">
        <v>0</v>
      </c>
    </row>
    <row r="4846" spans="1:11" x14ac:dyDescent="0.25">
      <c r="A4846" t="s">
        <v>4886</v>
      </c>
      <c r="B4846" s="1">
        <v>45820.279467592591</v>
      </c>
      <c r="C4846" s="2" t="s">
        <v>29</v>
      </c>
      <c r="D4846" t="s">
        <v>13</v>
      </c>
      <c r="E4846">
        <v>27500</v>
      </c>
      <c r="F4846" t="s">
        <v>14</v>
      </c>
      <c r="G4846" t="s">
        <v>51</v>
      </c>
      <c r="H4846" t="s">
        <v>16</v>
      </c>
      <c r="I4846">
        <v>508.75</v>
      </c>
      <c r="J4846">
        <v>203.5</v>
      </c>
      <c r="K4846">
        <v>305.25</v>
      </c>
    </row>
    <row r="4847" spans="1:11" x14ac:dyDescent="0.25">
      <c r="A4847" t="s">
        <v>4887</v>
      </c>
      <c r="B4847" s="1">
        <v>46118.806562500002</v>
      </c>
      <c r="C4847" s="2" t="s">
        <v>32</v>
      </c>
      <c r="D4847" t="s">
        <v>45</v>
      </c>
      <c r="E4847">
        <v>137492</v>
      </c>
      <c r="F4847" t="s">
        <v>14</v>
      </c>
      <c r="G4847" t="s">
        <v>15</v>
      </c>
      <c r="H4847" t="s">
        <v>56</v>
      </c>
      <c r="I4847">
        <v>1374.92</v>
      </c>
      <c r="J4847">
        <v>0</v>
      </c>
      <c r="K4847">
        <v>1374.92</v>
      </c>
    </row>
    <row r="4848" spans="1:11" x14ac:dyDescent="0.25">
      <c r="A4848" t="s">
        <v>4888</v>
      </c>
      <c r="B4848" s="1">
        <v>45877.01489583333</v>
      </c>
      <c r="C4848" s="2" t="s">
        <v>39</v>
      </c>
      <c r="D4848" t="s">
        <v>19</v>
      </c>
      <c r="E4848">
        <v>146780</v>
      </c>
      <c r="F4848" t="s">
        <v>50</v>
      </c>
      <c r="G4848" t="s">
        <v>51</v>
      </c>
      <c r="H4848" t="s">
        <v>16</v>
      </c>
      <c r="I4848">
        <v>5</v>
      </c>
      <c r="J4848">
        <v>0</v>
      </c>
      <c r="K4848">
        <v>5</v>
      </c>
    </row>
    <row r="4849" spans="1:11" x14ac:dyDescent="0.25">
      <c r="A4849" t="s">
        <v>4889</v>
      </c>
      <c r="B4849" s="1">
        <v>45935.837372685186</v>
      </c>
      <c r="C4849" s="2" t="s">
        <v>12</v>
      </c>
      <c r="D4849" t="s">
        <v>19</v>
      </c>
      <c r="E4849">
        <v>43373</v>
      </c>
      <c r="F4849" t="s">
        <v>14</v>
      </c>
      <c r="G4849" t="s">
        <v>24</v>
      </c>
      <c r="H4849" t="s">
        <v>16</v>
      </c>
      <c r="I4849">
        <v>5</v>
      </c>
      <c r="J4849">
        <v>0</v>
      </c>
      <c r="K4849">
        <v>5</v>
      </c>
    </row>
    <row r="4850" spans="1:11" x14ac:dyDescent="0.25">
      <c r="A4850" t="s">
        <v>4890</v>
      </c>
      <c r="B4850" s="1">
        <v>45817.614305555559</v>
      </c>
      <c r="C4850" s="2" t="s">
        <v>26</v>
      </c>
      <c r="D4850" t="s">
        <v>19</v>
      </c>
      <c r="E4850">
        <v>116217</v>
      </c>
      <c r="F4850" t="s">
        <v>14</v>
      </c>
      <c r="G4850" t="s">
        <v>34</v>
      </c>
      <c r="H4850" t="s">
        <v>16</v>
      </c>
      <c r="I4850">
        <v>5</v>
      </c>
      <c r="J4850">
        <v>0</v>
      </c>
      <c r="K4850">
        <v>5</v>
      </c>
    </row>
    <row r="4851" spans="1:11" x14ac:dyDescent="0.25">
      <c r="A4851" t="s">
        <v>4891</v>
      </c>
      <c r="B4851" s="1">
        <v>46080.705879629626</v>
      </c>
      <c r="C4851" s="2" t="s">
        <v>22</v>
      </c>
      <c r="D4851" t="s">
        <v>19</v>
      </c>
      <c r="E4851">
        <v>57371</v>
      </c>
      <c r="F4851" t="s">
        <v>14</v>
      </c>
      <c r="G4851" t="s">
        <v>20</v>
      </c>
      <c r="H4851" t="s">
        <v>16</v>
      </c>
      <c r="I4851">
        <v>5</v>
      </c>
      <c r="J4851">
        <v>0</v>
      </c>
      <c r="K4851">
        <v>5</v>
      </c>
    </row>
    <row r="4852" spans="1:11" x14ac:dyDescent="0.25">
      <c r="A4852" t="s">
        <v>4892</v>
      </c>
      <c r="B4852" s="1">
        <v>45949.085081018522</v>
      </c>
      <c r="C4852" s="2" t="s">
        <v>22</v>
      </c>
      <c r="D4852" t="s">
        <v>23</v>
      </c>
      <c r="E4852">
        <v>1017</v>
      </c>
      <c r="F4852" t="s">
        <v>14</v>
      </c>
      <c r="G4852" t="s">
        <v>15</v>
      </c>
      <c r="H4852" t="s">
        <v>16</v>
      </c>
      <c r="I4852">
        <v>0</v>
      </c>
      <c r="J4852">
        <v>0</v>
      </c>
      <c r="K4852">
        <v>0</v>
      </c>
    </row>
    <row r="4853" spans="1:11" x14ac:dyDescent="0.25">
      <c r="A4853" t="s">
        <v>4893</v>
      </c>
      <c r="B4853" s="1">
        <v>45884.352638888886</v>
      </c>
      <c r="C4853" s="2" t="s">
        <v>41</v>
      </c>
      <c r="D4853" t="s">
        <v>13</v>
      </c>
      <c r="E4853">
        <v>157500</v>
      </c>
      <c r="F4853" t="s">
        <v>50</v>
      </c>
      <c r="G4853" t="s">
        <v>51</v>
      </c>
      <c r="H4853" t="s">
        <v>16</v>
      </c>
      <c r="I4853">
        <v>2913.75</v>
      </c>
      <c r="J4853">
        <v>1165.5</v>
      </c>
      <c r="K4853">
        <v>1748.25</v>
      </c>
    </row>
    <row r="4854" spans="1:11" x14ac:dyDescent="0.25">
      <c r="A4854" t="s">
        <v>4894</v>
      </c>
      <c r="B4854" s="1">
        <v>45888.010717592595</v>
      </c>
      <c r="C4854" s="2" t="s">
        <v>18</v>
      </c>
      <c r="D4854" t="s">
        <v>19</v>
      </c>
      <c r="E4854">
        <v>50884</v>
      </c>
      <c r="F4854" t="s">
        <v>14</v>
      </c>
      <c r="G4854" t="s">
        <v>20</v>
      </c>
      <c r="H4854" t="s">
        <v>16</v>
      </c>
      <c r="I4854">
        <v>5</v>
      </c>
      <c r="J4854">
        <v>0</v>
      </c>
      <c r="K4854">
        <v>5</v>
      </c>
    </row>
    <row r="4855" spans="1:11" x14ac:dyDescent="0.25">
      <c r="A4855" t="s">
        <v>4895</v>
      </c>
      <c r="B4855" s="1">
        <v>46075.362534722219</v>
      </c>
      <c r="C4855" s="2" t="s">
        <v>26</v>
      </c>
      <c r="D4855" t="s">
        <v>33</v>
      </c>
      <c r="E4855">
        <v>128796</v>
      </c>
      <c r="F4855" t="s">
        <v>99</v>
      </c>
      <c r="G4855" t="s">
        <v>30</v>
      </c>
      <c r="H4855" t="s">
        <v>16</v>
      </c>
      <c r="I4855">
        <v>0</v>
      </c>
      <c r="J4855">
        <v>0</v>
      </c>
      <c r="K4855">
        <v>0</v>
      </c>
    </row>
    <row r="4856" spans="1:11" x14ac:dyDescent="0.25">
      <c r="A4856" t="s">
        <v>4896</v>
      </c>
      <c r="B4856" s="1">
        <v>46133.422939814816</v>
      </c>
      <c r="C4856" s="2" t="s">
        <v>22</v>
      </c>
      <c r="D4856" t="s">
        <v>19</v>
      </c>
      <c r="E4856">
        <v>10699</v>
      </c>
      <c r="F4856" t="s">
        <v>14</v>
      </c>
      <c r="G4856" t="s">
        <v>34</v>
      </c>
      <c r="H4856" t="s">
        <v>16</v>
      </c>
      <c r="I4856">
        <v>5</v>
      </c>
      <c r="J4856">
        <v>0</v>
      </c>
      <c r="K4856">
        <v>5</v>
      </c>
    </row>
    <row r="4857" spans="1:11" x14ac:dyDescent="0.25">
      <c r="A4857" t="s">
        <v>4897</v>
      </c>
      <c r="B4857" s="1">
        <v>46060.961875000001</v>
      </c>
      <c r="C4857" s="2" t="s">
        <v>39</v>
      </c>
      <c r="D4857" t="s">
        <v>19</v>
      </c>
      <c r="E4857">
        <v>85534</v>
      </c>
      <c r="F4857" t="s">
        <v>14</v>
      </c>
      <c r="G4857" t="s">
        <v>84</v>
      </c>
      <c r="H4857" t="s">
        <v>16</v>
      </c>
      <c r="I4857">
        <v>5</v>
      </c>
      <c r="J4857">
        <v>0</v>
      </c>
      <c r="K4857">
        <v>5</v>
      </c>
    </row>
    <row r="4858" spans="1:11" x14ac:dyDescent="0.25">
      <c r="A4858" t="s">
        <v>4898</v>
      </c>
      <c r="B4858" s="1">
        <v>45954.766076388885</v>
      </c>
      <c r="C4858" s="2" t="s">
        <v>32</v>
      </c>
      <c r="D4858" t="s">
        <v>23</v>
      </c>
      <c r="E4858">
        <v>1383</v>
      </c>
      <c r="F4858" t="s">
        <v>14</v>
      </c>
      <c r="G4858" t="s">
        <v>20</v>
      </c>
      <c r="H4858" t="s">
        <v>16</v>
      </c>
      <c r="I4858">
        <v>0</v>
      </c>
      <c r="J4858">
        <v>0</v>
      </c>
      <c r="K4858">
        <v>0</v>
      </c>
    </row>
    <row r="4859" spans="1:11" x14ac:dyDescent="0.25">
      <c r="A4859" t="s">
        <v>4899</v>
      </c>
      <c r="B4859" s="1">
        <v>46053.313831018517</v>
      </c>
      <c r="C4859" s="2" t="s">
        <v>22</v>
      </c>
      <c r="D4859" t="s">
        <v>19</v>
      </c>
      <c r="E4859">
        <v>119191</v>
      </c>
      <c r="F4859" t="s">
        <v>14</v>
      </c>
      <c r="G4859" t="s">
        <v>51</v>
      </c>
      <c r="H4859" t="s">
        <v>16</v>
      </c>
      <c r="I4859">
        <v>5</v>
      </c>
      <c r="J4859">
        <v>0</v>
      </c>
      <c r="K4859">
        <v>5</v>
      </c>
    </row>
    <row r="4860" spans="1:11" x14ac:dyDescent="0.25">
      <c r="A4860" t="s">
        <v>4900</v>
      </c>
      <c r="B4860" s="1">
        <v>46096.262731481482</v>
      </c>
      <c r="C4860" s="2" t="s">
        <v>29</v>
      </c>
      <c r="D4860" t="s">
        <v>13</v>
      </c>
      <c r="E4860">
        <v>98000</v>
      </c>
      <c r="F4860" t="s">
        <v>14</v>
      </c>
      <c r="G4860" t="s">
        <v>34</v>
      </c>
      <c r="H4860" t="s">
        <v>16</v>
      </c>
      <c r="I4860">
        <v>1813</v>
      </c>
      <c r="J4860">
        <v>725.2</v>
      </c>
      <c r="K4860">
        <v>1087.8</v>
      </c>
    </row>
    <row r="4861" spans="1:11" x14ac:dyDescent="0.25">
      <c r="A4861" t="s">
        <v>4901</v>
      </c>
      <c r="B4861" s="1">
        <v>46071.467326388891</v>
      </c>
      <c r="C4861" s="2" t="s">
        <v>22</v>
      </c>
      <c r="D4861" t="s">
        <v>19</v>
      </c>
      <c r="E4861">
        <v>21379</v>
      </c>
      <c r="F4861" t="s">
        <v>14</v>
      </c>
      <c r="G4861" t="s">
        <v>51</v>
      </c>
      <c r="H4861" t="s">
        <v>16</v>
      </c>
      <c r="I4861">
        <v>5</v>
      </c>
      <c r="J4861">
        <v>0</v>
      </c>
      <c r="K4861">
        <v>5</v>
      </c>
    </row>
    <row r="4862" spans="1:11" x14ac:dyDescent="0.25">
      <c r="A4862" t="s">
        <v>4902</v>
      </c>
      <c r="B4862" s="1">
        <v>46042.354664351849</v>
      </c>
      <c r="C4862" s="2" t="s">
        <v>22</v>
      </c>
      <c r="D4862" t="s">
        <v>19</v>
      </c>
      <c r="E4862">
        <v>111015</v>
      </c>
      <c r="F4862" t="s">
        <v>14</v>
      </c>
      <c r="G4862" t="s">
        <v>34</v>
      </c>
      <c r="H4862" t="s">
        <v>16</v>
      </c>
      <c r="I4862">
        <v>5</v>
      </c>
      <c r="J4862">
        <v>0</v>
      </c>
      <c r="K4862">
        <v>5</v>
      </c>
    </row>
    <row r="4863" spans="1:11" x14ac:dyDescent="0.25">
      <c r="A4863" t="s">
        <v>4903</v>
      </c>
      <c r="B4863" s="1">
        <v>46088.706620370373</v>
      </c>
      <c r="C4863" s="2" t="s">
        <v>12</v>
      </c>
      <c r="D4863" t="s">
        <v>13</v>
      </c>
      <c r="E4863">
        <v>160500</v>
      </c>
      <c r="F4863" t="s">
        <v>50</v>
      </c>
      <c r="G4863" t="s">
        <v>15</v>
      </c>
      <c r="H4863" t="s">
        <v>16</v>
      </c>
      <c r="I4863">
        <v>2969.25</v>
      </c>
      <c r="J4863">
        <v>1187.7</v>
      </c>
      <c r="K4863">
        <v>1781.55</v>
      </c>
    </row>
    <row r="4864" spans="1:11" x14ac:dyDescent="0.25">
      <c r="A4864" t="s">
        <v>4904</v>
      </c>
      <c r="B4864" s="1">
        <v>46023.192673611113</v>
      </c>
      <c r="C4864" s="2" t="s">
        <v>41</v>
      </c>
      <c r="D4864" t="s">
        <v>13</v>
      </c>
      <c r="E4864">
        <v>152000</v>
      </c>
      <c r="F4864" t="s">
        <v>14</v>
      </c>
      <c r="G4864" t="s">
        <v>34</v>
      </c>
      <c r="H4864" t="s">
        <v>16</v>
      </c>
      <c r="I4864">
        <v>2812</v>
      </c>
      <c r="J4864">
        <v>1124.8</v>
      </c>
      <c r="K4864">
        <v>1687.2</v>
      </c>
    </row>
    <row r="4865" spans="1:11" x14ac:dyDescent="0.25">
      <c r="A4865" t="s">
        <v>4905</v>
      </c>
      <c r="B4865" s="1">
        <v>45915.452800925923</v>
      </c>
      <c r="C4865" s="2" t="s">
        <v>29</v>
      </c>
      <c r="D4865" t="s">
        <v>13</v>
      </c>
      <c r="E4865">
        <v>141000</v>
      </c>
      <c r="F4865" t="s">
        <v>14</v>
      </c>
      <c r="G4865" t="s">
        <v>51</v>
      </c>
      <c r="H4865" t="s">
        <v>16</v>
      </c>
      <c r="I4865">
        <v>2608.5</v>
      </c>
      <c r="J4865">
        <v>1043.4000000000001</v>
      </c>
      <c r="K4865">
        <v>1565.1</v>
      </c>
    </row>
    <row r="4866" spans="1:11" x14ac:dyDescent="0.25">
      <c r="A4866" t="s">
        <v>4906</v>
      </c>
      <c r="B4866" s="1">
        <v>46090.650057870371</v>
      </c>
      <c r="C4866" s="2" t="s">
        <v>41</v>
      </c>
      <c r="D4866" t="s">
        <v>19</v>
      </c>
      <c r="E4866">
        <v>49182</v>
      </c>
      <c r="F4866" t="s">
        <v>14</v>
      </c>
      <c r="G4866" t="s">
        <v>58</v>
      </c>
      <c r="H4866" t="s">
        <v>16</v>
      </c>
      <c r="I4866">
        <v>5</v>
      </c>
      <c r="J4866">
        <v>0</v>
      </c>
      <c r="K4866">
        <v>5</v>
      </c>
    </row>
    <row r="4867" spans="1:11" x14ac:dyDescent="0.25">
      <c r="A4867" t="s">
        <v>4907</v>
      </c>
      <c r="B4867" s="1">
        <v>45973.623136574075</v>
      </c>
      <c r="C4867" s="2" t="s">
        <v>12</v>
      </c>
      <c r="D4867" t="s">
        <v>23</v>
      </c>
      <c r="E4867">
        <v>3670</v>
      </c>
      <c r="F4867" t="s">
        <v>14</v>
      </c>
      <c r="G4867" t="s">
        <v>27</v>
      </c>
      <c r="H4867" t="s">
        <v>16</v>
      </c>
      <c r="I4867">
        <v>0</v>
      </c>
      <c r="J4867">
        <v>0</v>
      </c>
      <c r="K4867">
        <v>0</v>
      </c>
    </row>
    <row r="4868" spans="1:11" x14ac:dyDescent="0.25">
      <c r="A4868" t="s">
        <v>4908</v>
      </c>
      <c r="B4868" s="1">
        <v>45971.867094907408</v>
      </c>
      <c r="C4868" s="2" t="s">
        <v>26</v>
      </c>
      <c r="D4868" t="s">
        <v>13</v>
      </c>
      <c r="E4868">
        <v>60000</v>
      </c>
      <c r="F4868" t="s">
        <v>14</v>
      </c>
      <c r="G4868" t="s">
        <v>30</v>
      </c>
      <c r="H4868" t="s">
        <v>16</v>
      </c>
      <c r="I4868">
        <v>1110</v>
      </c>
      <c r="J4868">
        <v>444</v>
      </c>
      <c r="K4868">
        <v>666</v>
      </c>
    </row>
    <row r="4869" spans="1:11" x14ac:dyDescent="0.25">
      <c r="A4869" t="s">
        <v>4909</v>
      </c>
      <c r="B4869" s="1">
        <v>45940.785486111112</v>
      </c>
      <c r="C4869" s="2" t="s">
        <v>22</v>
      </c>
      <c r="D4869" t="s">
        <v>13</v>
      </c>
      <c r="E4869">
        <v>66500</v>
      </c>
      <c r="F4869" t="s">
        <v>14</v>
      </c>
      <c r="G4869" t="s">
        <v>24</v>
      </c>
      <c r="H4869" t="s">
        <v>16</v>
      </c>
      <c r="I4869">
        <v>1230.25</v>
      </c>
      <c r="J4869">
        <v>492.1</v>
      </c>
      <c r="K4869">
        <v>738.15</v>
      </c>
    </row>
    <row r="4870" spans="1:11" x14ac:dyDescent="0.25">
      <c r="A4870" t="s">
        <v>4910</v>
      </c>
      <c r="B4870" s="1">
        <v>46131.014374999999</v>
      </c>
      <c r="C4870" s="2" t="s">
        <v>12</v>
      </c>
      <c r="D4870" t="s">
        <v>13</v>
      </c>
      <c r="E4870">
        <v>167000</v>
      </c>
      <c r="F4870" t="s">
        <v>14</v>
      </c>
      <c r="G4870" t="s">
        <v>20</v>
      </c>
      <c r="H4870" t="s">
        <v>16</v>
      </c>
      <c r="I4870">
        <v>3089.5</v>
      </c>
      <c r="J4870">
        <v>1235.8</v>
      </c>
      <c r="K4870">
        <v>1853.7</v>
      </c>
    </row>
    <row r="4871" spans="1:11" x14ac:dyDescent="0.25">
      <c r="A4871" t="s">
        <v>4911</v>
      </c>
      <c r="B4871" s="1">
        <v>46071.580289351848</v>
      </c>
      <c r="C4871" s="2" t="s">
        <v>22</v>
      </c>
      <c r="D4871" t="s">
        <v>23</v>
      </c>
      <c r="E4871">
        <v>4554</v>
      </c>
      <c r="F4871" t="s">
        <v>50</v>
      </c>
      <c r="G4871" t="s">
        <v>15</v>
      </c>
      <c r="H4871" t="s">
        <v>16</v>
      </c>
      <c r="I4871">
        <v>0</v>
      </c>
      <c r="J4871">
        <v>0</v>
      </c>
      <c r="K4871">
        <v>0</v>
      </c>
    </row>
    <row r="4872" spans="1:11" x14ac:dyDescent="0.25">
      <c r="A4872" t="s">
        <v>4912</v>
      </c>
      <c r="B4872" s="1">
        <v>46135.40016203704</v>
      </c>
      <c r="C4872" s="2" t="s">
        <v>26</v>
      </c>
      <c r="D4872" t="s">
        <v>13</v>
      </c>
      <c r="E4872">
        <v>114500</v>
      </c>
      <c r="F4872" t="s">
        <v>14</v>
      </c>
      <c r="G4872" t="s">
        <v>51</v>
      </c>
      <c r="H4872" t="s">
        <v>16</v>
      </c>
      <c r="I4872">
        <v>2118.25</v>
      </c>
      <c r="J4872">
        <v>847.3</v>
      </c>
      <c r="K4872">
        <v>1270.95</v>
      </c>
    </row>
    <row r="4873" spans="1:11" x14ac:dyDescent="0.25">
      <c r="A4873" t="s">
        <v>4913</v>
      </c>
      <c r="B4873" s="1">
        <v>45866.944548611114</v>
      </c>
      <c r="C4873" s="2" t="s">
        <v>29</v>
      </c>
      <c r="D4873" t="s">
        <v>23</v>
      </c>
      <c r="E4873">
        <v>4560</v>
      </c>
      <c r="F4873" t="s">
        <v>14</v>
      </c>
      <c r="G4873" t="s">
        <v>51</v>
      </c>
      <c r="H4873" t="s">
        <v>16</v>
      </c>
      <c r="I4873">
        <v>0</v>
      </c>
      <c r="J4873">
        <v>0</v>
      </c>
      <c r="K4873">
        <v>0</v>
      </c>
    </row>
    <row r="4874" spans="1:11" x14ac:dyDescent="0.25">
      <c r="A4874" t="s">
        <v>4914</v>
      </c>
      <c r="B4874" s="1">
        <v>45940.826041666667</v>
      </c>
      <c r="C4874" s="2" t="s">
        <v>22</v>
      </c>
      <c r="D4874" t="s">
        <v>33</v>
      </c>
      <c r="E4874">
        <v>146069</v>
      </c>
      <c r="F4874" t="s">
        <v>14</v>
      </c>
      <c r="G4874" t="s">
        <v>34</v>
      </c>
      <c r="H4874" t="s">
        <v>16</v>
      </c>
      <c r="I4874">
        <v>0</v>
      </c>
      <c r="J4874">
        <v>0</v>
      </c>
      <c r="K4874">
        <v>0</v>
      </c>
    </row>
    <row r="4875" spans="1:11" x14ac:dyDescent="0.25">
      <c r="A4875" t="s">
        <v>4915</v>
      </c>
      <c r="B4875" s="1">
        <v>46036.172812500001</v>
      </c>
      <c r="C4875" s="2" t="s">
        <v>39</v>
      </c>
      <c r="D4875" t="s">
        <v>19</v>
      </c>
      <c r="E4875">
        <v>25379</v>
      </c>
      <c r="F4875" t="s">
        <v>50</v>
      </c>
      <c r="G4875" t="s">
        <v>27</v>
      </c>
      <c r="H4875" t="s">
        <v>16</v>
      </c>
      <c r="I4875">
        <v>5</v>
      </c>
      <c r="J4875">
        <v>0</v>
      </c>
      <c r="K4875">
        <v>5</v>
      </c>
    </row>
    <row r="4876" spans="1:11" x14ac:dyDescent="0.25">
      <c r="A4876" t="s">
        <v>4916</v>
      </c>
      <c r="B4876" s="1">
        <v>45923.367245370369</v>
      </c>
      <c r="C4876" s="2" t="s">
        <v>22</v>
      </c>
      <c r="D4876" t="s">
        <v>19</v>
      </c>
      <c r="E4876">
        <v>77576</v>
      </c>
      <c r="F4876" t="s">
        <v>99</v>
      </c>
      <c r="G4876" t="s">
        <v>15</v>
      </c>
      <c r="H4876" t="s">
        <v>16</v>
      </c>
      <c r="I4876">
        <v>5</v>
      </c>
      <c r="J4876">
        <v>0</v>
      </c>
      <c r="K4876">
        <v>5</v>
      </c>
    </row>
    <row r="4877" spans="1:11" x14ac:dyDescent="0.25">
      <c r="A4877" t="s">
        <v>4917</v>
      </c>
      <c r="B4877" s="1">
        <v>45965.262928240743</v>
      </c>
      <c r="C4877" s="2" t="s">
        <v>26</v>
      </c>
      <c r="D4877" t="s">
        <v>45</v>
      </c>
      <c r="E4877">
        <v>108713</v>
      </c>
      <c r="F4877" t="s">
        <v>14</v>
      </c>
      <c r="G4877" t="s">
        <v>84</v>
      </c>
      <c r="H4877" t="s">
        <v>59</v>
      </c>
      <c r="I4877">
        <v>1087.1300000000001</v>
      </c>
      <c r="J4877">
        <v>0</v>
      </c>
      <c r="K4877">
        <v>1087.1300000000001</v>
      </c>
    </row>
    <row r="4878" spans="1:11" x14ac:dyDescent="0.25">
      <c r="A4878" t="s">
        <v>4918</v>
      </c>
      <c r="B4878" s="1">
        <v>45962.887175925927</v>
      </c>
      <c r="C4878" s="2" t="s">
        <v>18</v>
      </c>
      <c r="D4878" t="s">
        <v>23</v>
      </c>
      <c r="E4878">
        <v>1262</v>
      </c>
      <c r="F4878" t="s">
        <v>14</v>
      </c>
      <c r="G4878" t="s">
        <v>51</v>
      </c>
      <c r="H4878" t="s">
        <v>16</v>
      </c>
      <c r="I4878">
        <v>0</v>
      </c>
      <c r="J4878">
        <v>0</v>
      </c>
      <c r="K4878">
        <v>0</v>
      </c>
    </row>
    <row r="4879" spans="1:11" x14ac:dyDescent="0.25">
      <c r="A4879" t="s">
        <v>4919</v>
      </c>
      <c r="B4879" s="1">
        <v>45785.934108796297</v>
      </c>
      <c r="C4879" s="2" t="s">
        <v>29</v>
      </c>
      <c r="D4879" t="s">
        <v>33</v>
      </c>
      <c r="E4879">
        <v>48617</v>
      </c>
      <c r="F4879" t="s">
        <v>14</v>
      </c>
      <c r="G4879" t="s">
        <v>24</v>
      </c>
      <c r="H4879" t="s">
        <v>16</v>
      </c>
      <c r="I4879">
        <v>0</v>
      </c>
      <c r="J4879">
        <v>0</v>
      </c>
      <c r="K4879">
        <v>0</v>
      </c>
    </row>
    <row r="4880" spans="1:11" x14ac:dyDescent="0.25">
      <c r="A4880" t="s">
        <v>4920</v>
      </c>
      <c r="B4880" s="1">
        <v>45960.456608796296</v>
      </c>
      <c r="C4880" s="2" t="s">
        <v>32</v>
      </c>
      <c r="D4880" t="s">
        <v>45</v>
      </c>
      <c r="E4880">
        <v>89143</v>
      </c>
      <c r="F4880" t="s">
        <v>14</v>
      </c>
      <c r="G4880" t="s">
        <v>24</v>
      </c>
      <c r="H4880" t="s">
        <v>178</v>
      </c>
      <c r="I4880">
        <v>891.43</v>
      </c>
      <c r="J4880">
        <v>0</v>
      </c>
      <c r="K4880">
        <v>891.43</v>
      </c>
    </row>
    <row r="4881" spans="1:11" x14ac:dyDescent="0.25">
      <c r="A4881" t="s">
        <v>4921</v>
      </c>
      <c r="B4881" s="1">
        <v>46112.095231481479</v>
      </c>
      <c r="C4881" s="2" t="s">
        <v>29</v>
      </c>
      <c r="D4881" t="s">
        <v>13</v>
      </c>
      <c r="E4881">
        <v>248500</v>
      </c>
      <c r="F4881" t="s">
        <v>14</v>
      </c>
      <c r="G4881" t="s">
        <v>58</v>
      </c>
      <c r="H4881" t="s">
        <v>16</v>
      </c>
      <c r="I4881">
        <v>4597.25</v>
      </c>
      <c r="J4881">
        <v>1838.9</v>
      </c>
      <c r="K4881">
        <v>2758.35</v>
      </c>
    </row>
    <row r="4882" spans="1:11" x14ac:dyDescent="0.25">
      <c r="A4882" t="s">
        <v>4922</v>
      </c>
      <c r="B4882" s="1">
        <v>46106.306527777779</v>
      </c>
      <c r="C4882" s="2" t="s">
        <v>22</v>
      </c>
      <c r="D4882" t="s">
        <v>19</v>
      </c>
      <c r="E4882">
        <v>31687</v>
      </c>
      <c r="F4882" t="s">
        <v>14</v>
      </c>
      <c r="G4882" t="s">
        <v>34</v>
      </c>
      <c r="H4882" t="s">
        <v>16</v>
      </c>
      <c r="I4882">
        <v>5</v>
      </c>
      <c r="J4882">
        <v>0</v>
      </c>
      <c r="K4882">
        <v>5</v>
      </c>
    </row>
    <row r="4883" spans="1:11" x14ac:dyDescent="0.25">
      <c r="A4883" t="s">
        <v>4923</v>
      </c>
      <c r="B4883" s="1">
        <v>45938.653055555558</v>
      </c>
      <c r="C4883" s="2" t="s">
        <v>26</v>
      </c>
      <c r="D4883" t="s">
        <v>19</v>
      </c>
      <c r="E4883">
        <v>13050</v>
      </c>
      <c r="F4883" t="s">
        <v>14</v>
      </c>
      <c r="G4883" t="s">
        <v>58</v>
      </c>
      <c r="H4883" t="s">
        <v>16</v>
      </c>
      <c r="I4883">
        <v>5</v>
      </c>
      <c r="J4883">
        <v>0</v>
      </c>
      <c r="K4883">
        <v>5</v>
      </c>
    </row>
    <row r="4884" spans="1:11" x14ac:dyDescent="0.25">
      <c r="A4884" t="s">
        <v>4924</v>
      </c>
      <c r="B4884" s="1">
        <v>45914.68959490741</v>
      </c>
      <c r="C4884" s="2" t="s">
        <v>41</v>
      </c>
      <c r="D4884" t="s">
        <v>45</v>
      </c>
      <c r="E4884">
        <v>47204</v>
      </c>
      <c r="F4884" t="s">
        <v>14</v>
      </c>
      <c r="G4884" t="s">
        <v>84</v>
      </c>
      <c r="H4884" t="s">
        <v>71</v>
      </c>
      <c r="I4884">
        <v>472.04</v>
      </c>
      <c r="J4884">
        <v>0</v>
      </c>
      <c r="K4884">
        <v>472.04</v>
      </c>
    </row>
    <row r="4885" spans="1:11" x14ac:dyDescent="0.25">
      <c r="A4885" t="s">
        <v>4925</v>
      </c>
      <c r="B4885" s="1">
        <v>45782.84302083333</v>
      </c>
      <c r="C4885" s="2" t="s">
        <v>29</v>
      </c>
      <c r="D4885" t="s">
        <v>13</v>
      </c>
      <c r="E4885">
        <v>6500</v>
      </c>
      <c r="F4885" t="s">
        <v>50</v>
      </c>
      <c r="G4885" t="s">
        <v>34</v>
      </c>
      <c r="H4885" t="s">
        <v>16</v>
      </c>
      <c r="I4885">
        <v>120.25</v>
      </c>
      <c r="J4885">
        <v>48.1</v>
      </c>
      <c r="K4885">
        <v>72.150000000000006</v>
      </c>
    </row>
    <row r="4886" spans="1:11" x14ac:dyDescent="0.25">
      <c r="A4886" t="s">
        <v>4926</v>
      </c>
      <c r="B4886" s="1">
        <v>46091.513935185183</v>
      </c>
      <c r="C4886" s="2" t="s">
        <v>39</v>
      </c>
      <c r="D4886" t="s">
        <v>13</v>
      </c>
      <c r="E4886">
        <v>25500</v>
      </c>
      <c r="F4886" t="s">
        <v>14</v>
      </c>
      <c r="G4886" t="s">
        <v>34</v>
      </c>
      <c r="H4886" t="s">
        <v>16</v>
      </c>
      <c r="I4886">
        <v>471.75</v>
      </c>
      <c r="J4886">
        <v>188.7</v>
      </c>
      <c r="K4886">
        <v>283.05</v>
      </c>
    </row>
    <row r="4887" spans="1:11" x14ac:dyDescent="0.25">
      <c r="A4887" t="s">
        <v>4927</v>
      </c>
      <c r="B4887" s="1">
        <v>45796.819293981483</v>
      </c>
      <c r="C4887" s="2" t="s">
        <v>41</v>
      </c>
      <c r="D4887" t="s">
        <v>45</v>
      </c>
      <c r="E4887">
        <v>145678</v>
      </c>
      <c r="F4887" t="s">
        <v>14</v>
      </c>
      <c r="G4887" t="s">
        <v>34</v>
      </c>
      <c r="H4887" t="s">
        <v>56</v>
      </c>
      <c r="I4887">
        <v>1456.78</v>
      </c>
      <c r="J4887">
        <v>0</v>
      </c>
      <c r="K4887">
        <v>1456.78</v>
      </c>
    </row>
    <row r="4888" spans="1:11" x14ac:dyDescent="0.25">
      <c r="A4888" t="s">
        <v>4928</v>
      </c>
      <c r="B4888" s="1">
        <v>45820.367314814815</v>
      </c>
      <c r="C4888" s="2" t="s">
        <v>41</v>
      </c>
      <c r="D4888" t="s">
        <v>33</v>
      </c>
      <c r="E4888">
        <v>66718</v>
      </c>
      <c r="F4888" t="s">
        <v>50</v>
      </c>
      <c r="G4888" t="s">
        <v>15</v>
      </c>
      <c r="H4888" t="s">
        <v>16</v>
      </c>
      <c r="I4888">
        <v>0</v>
      </c>
      <c r="J4888">
        <v>0</v>
      </c>
      <c r="K4888">
        <v>0</v>
      </c>
    </row>
    <row r="4889" spans="1:11" x14ac:dyDescent="0.25">
      <c r="A4889" t="s">
        <v>4929</v>
      </c>
      <c r="B4889" s="1">
        <v>45939.523958333331</v>
      </c>
      <c r="C4889" s="2" t="s">
        <v>41</v>
      </c>
      <c r="D4889" t="s">
        <v>13</v>
      </c>
      <c r="E4889">
        <v>60000</v>
      </c>
      <c r="F4889" t="s">
        <v>14</v>
      </c>
      <c r="G4889" t="s">
        <v>58</v>
      </c>
      <c r="H4889" t="s">
        <v>16</v>
      </c>
      <c r="I4889">
        <v>1110</v>
      </c>
      <c r="J4889">
        <v>444</v>
      </c>
      <c r="K4889">
        <v>666</v>
      </c>
    </row>
    <row r="4890" spans="1:11" x14ac:dyDescent="0.25">
      <c r="A4890" t="s">
        <v>4930</v>
      </c>
      <c r="B4890" s="1">
        <v>46078.533275462964</v>
      </c>
      <c r="C4890" s="2" t="s">
        <v>32</v>
      </c>
      <c r="D4890" t="s">
        <v>33</v>
      </c>
      <c r="E4890">
        <v>118012</v>
      </c>
      <c r="F4890" t="s">
        <v>14</v>
      </c>
      <c r="G4890" t="s">
        <v>34</v>
      </c>
      <c r="H4890" t="s">
        <v>16</v>
      </c>
      <c r="I4890">
        <v>0</v>
      </c>
      <c r="J4890">
        <v>0</v>
      </c>
      <c r="K4890">
        <v>0</v>
      </c>
    </row>
    <row r="4891" spans="1:11" x14ac:dyDescent="0.25">
      <c r="A4891" t="s">
        <v>4931</v>
      </c>
      <c r="B4891" s="1">
        <v>45835.878738425927</v>
      </c>
      <c r="C4891" s="2" t="s">
        <v>18</v>
      </c>
      <c r="D4891" t="s">
        <v>45</v>
      </c>
      <c r="E4891">
        <v>61109</v>
      </c>
      <c r="F4891" t="s">
        <v>14</v>
      </c>
      <c r="G4891" t="s">
        <v>24</v>
      </c>
      <c r="H4891" t="s">
        <v>56</v>
      </c>
      <c r="I4891">
        <v>611.09</v>
      </c>
      <c r="J4891">
        <v>0</v>
      </c>
      <c r="K4891">
        <v>611.09</v>
      </c>
    </row>
    <row r="4892" spans="1:11" x14ac:dyDescent="0.25">
      <c r="A4892" t="s">
        <v>4932</v>
      </c>
      <c r="B4892" s="1">
        <v>45787.301666666666</v>
      </c>
      <c r="C4892" s="2" t="s">
        <v>12</v>
      </c>
      <c r="D4892" t="s">
        <v>33</v>
      </c>
      <c r="E4892">
        <v>147519</v>
      </c>
      <c r="F4892" t="s">
        <v>14</v>
      </c>
      <c r="G4892" t="s">
        <v>58</v>
      </c>
      <c r="H4892" t="s">
        <v>16</v>
      </c>
      <c r="I4892">
        <v>0</v>
      </c>
      <c r="J4892">
        <v>0</v>
      </c>
      <c r="K4892">
        <v>0</v>
      </c>
    </row>
    <row r="4893" spans="1:11" x14ac:dyDescent="0.25">
      <c r="A4893" t="s">
        <v>4933</v>
      </c>
      <c r="B4893" s="1">
        <v>46111.993969907409</v>
      </c>
      <c r="C4893" s="2" t="s">
        <v>32</v>
      </c>
      <c r="D4893" t="s">
        <v>13</v>
      </c>
      <c r="E4893">
        <v>79500</v>
      </c>
      <c r="F4893" t="s">
        <v>14</v>
      </c>
      <c r="G4893" t="s">
        <v>58</v>
      </c>
      <c r="H4893" t="s">
        <v>16</v>
      </c>
      <c r="I4893">
        <v>1470.75</v>
      </c>
      <c r="J4893">
        <v>588.29999999999995</v>
      </c>
      <c r="K4893">
        <v>882.45</v>
      </c>
    </row>
    <row r="4894" spans="1:11" x14ac:dyDescent="0.25">
      <c r="A4894" t="s">
        <v>4934</v>
      </c>
      <c r="B4894" s="1">
        <v>45779.079212962963</v>
      </c>
      <c r="C4894" s="2" t="s">
        <v>18</v>
      </c>
      <c r="D4894" t="s">
        <v>23</v>
      </c>
      <c r="E4894">
        <v>4895</v>
      </c>
      <c r="F4894" t="s">
        <v>14</v>
      </c>
      <c r="G4894" t="s">
        <v>20</v>
      </c>
      <c r="H4894" t="s">
        <v>16</v>
      </c>
      <c r="I4894">
        <v>0</v>
      </c>
      <c r="J4894">
        <v>0</v>
      </c>
      <c r="K4894">
        <v>0</v>
      </c>
    </row>
    <row r="4895" spans="1:11" x14ac:dyDescent="0.25">
      <c r="A4895" t="s">
        <v>4935</v>
      </c>
      <c r="B4895" s="1">
        <v>45988.745381944442</v>
      </c>
      <c r="C4895" s="2" t="s">
        <v>41</v>
      </c>
      <c r="D4895" t="s">
        <v>13</v>
      </c>
      <c r="E4895">
        <v>70500</v>
      </c>
      <c r="F4895" t="s">
        <v>14</v>
      </c>
      <c r="G4895" t="s">
        <v>20</v>
      </c>
      <c r="H4895" t="s">
        <v>16</v>
      </c>
      <c r="I4895">
        <v>1304.25</v>
      </c>
      <c r="J4895">
        <v>521.70000000000005</v>
      </c>
      <c r="K4895">
        <v>782.55</v>
      </c>
    </row>
    <row r="4896" spans="1:11" x14ac:dyDescent="0.25">
      <c r="A4896" t="s">
        <v>4936</v>
      </c>
      <c r="B4896" s="1">
        <v>46056.475671296299</v>
      </c>
      <c r="C4896" s="2" t="s">
        <v>39</v>
      </c>
      <c r="D4896" t="s">
        <v>19</v>
      </c>
      <c r="E4896">
        <v>14643</v>
      </c>
      <c r="F4896" t="s">
        <v>14</v>
      </c>
      <c r="G4896" t="s">
        <v>24</v>
      </c>
      <c r="H4896" t="s">
        <v>16</v>
      </c>
      <c r="I4896">
        <v>5</v>
      </c>
      <c r="J4896">
        <v>0</v>
      </c>
      <c r="K4896">
        <v>5</v>
      </c>
    </row>
    <row r="4897" spans="1:11" x14ac:dyDescent="0.25">
      <c r="A4897" t="s">
        <v>4937</v>
      </c>
      <c r="B4897" s="1">
        <v>45910.466851851852</v>
      </c>
      <c r="C4897" s="2" t="s">
        <v>18</v>
      </c>
      <c r="D4897" t="s">
        <v>33</v>
      </c>
      <c r="E4897">
        <v>2917</v>
      </c>
      <c r="F4897" t="s">
        <v>14</v>
      </c>
      <c r="G4897" t="s">
        <v>30</v>
      </c>
      <c r="H4897" t="s">
        <v>16</v>
      </c>
      <c r="I4897">
        <v>0</v>
      </c>
      <c r="J4897">
        <v>0</v>
      </c>
      <c r="K4897">
        <v>0</v>
      </c>
    </row>
    <row r="4898" spans="1:11" x14ac:dyDescent="0.25">
      <c r="A4898" t="s">
        <v>4938</v>
      </c>
      <c r="B4898" s="1">
        <v>45912.635891203703</v>
      </c>
      <c r="C4898" s="2" t="s">
        <v>18</v>
      </c>
      <c r="D4898" t="s">
        <v>33</v>
      </c>
      <c r="E4898">
        <v>78347</v>
      </c>
      <c r="F4898" t="s">
        <v>50</v>
      </c>
      <c r="G4898" t="s">
        <v>30</v>
      </c>
      <c r="H4898" t="s">
        <v>16</v>
      </c>
      <c r="I4898">
        <v>0</v>
      </c>
      <c r="J4898">
        <v>0</v>
      </c>
      <c r="K4898">
        <v>0</v>
      </c>
    </row>
    <row r="4899" spans="1:11" x14ac:dyDescent="0.25">
      <c r="A4899" t="s">
        <v>4939</v>
      </c>
      <c r="B4899" s="1">
        <v>46027.227673611109</v>
      </c>
      <c r="C4899" s="2" t="s">
        <v>12</v>
      </c>
      <c r="D4899" t="s">
        <v>19</v>
      </c>
      <c r="E4899">
        <v>91868</v>
      </c>
      <c r="F4899" t="s">
        <v>14</v>
      </c>
      <c r="G4899" t="s">
        <v>51</v>
      </c>
      <c r="H4899" t="s">
        <v>16</v>
      </c>
      <c r="I4899">
        <v>5</v>
      </c>
      <c r="J4899">
        <v>0</v>
      </c>
      <c r="K4899">
        <v>5</v>
      </c>
    </row>
    <row r="4900" spans="1:11" x14ac:dyDescent="0.25">
      <c r="A4900" t="s">
        <v>4940</v>
      </c>
      <c r="B4900" s="1">
        <v>45978.038194444445</v>
      </c>
      <c r="C4900" s="2" t="s">
        <v>39</v>
      </c>
      <c r="D4900" t="s">
        <v>45</v>
      </c>
      <c r="E4900">
        <v>143971</v>
      </c>
      <c r="F4900" t="s">
        <v>14</v>
      </c>
      <c r="G4900" t="s">
        <v>58</v>
      </c>
      <c r="H4900" t="s">
        <v>178</v>
      </c>
      <c r="I4900">
        <v>1439.71</v>
      </c>
      <c r="J4900">
        <v>0</v>
      </c>
      <c r="K4900">
        <v>1439.71</v>
      </c>
    </row>
    <row r="4901" spans="1:11" x14ac:dyDescent="0.25">
      <c r="A4901" t="s">
        <v>4941</v>
      </c>
      <c r="B4901" s="1">
        <v>45883.359375</v>
      </c>
      <c r="C4901" s="2" t="s">
        <v>12</v>
      </c>
      <c r="D4901" t="s">
        <v>23</v>
      </c>
      <c r="E4901">
        <v>2334</v>
      </c>
      <c r="F4901" t="s">
        <v>50</v>
      </c>
      <c r="G4901" t="s">
        <v>58</v>
      </c>
      <c r="H4901" t="s">
        <v>16</v>
      </c>
      <c r="I4901">
        <v>0</v>
      </c>
      <c r="J4901">
        <v>0</v>
      </c>
      <c r="K4901">
        <v>0</v>
      </c>
    </row>
    <row r="4902" spans="1:11" x14ac:dyDescent="0.25">
      <c r="A4902" t="s">
        <v>4942</v>
      </c>
      <c r="B4902" s="1">
        <v>45881.996307870373</v>
      </c>
      <c r="C4902" s="2" t="s">
        <v>22</v>
      </c>
      <c r="D4902" t="s">
        <v>33</v>
      </c>
      <c r="E4902">
        <v>145969</v>
      </c>
      <c r="F4902" t="s">
        <v>14</v>
      </c>
      <c r="G4902" t="s">
        <v>51</v>
      </c>
      <c r="H4902" t="s">
        <v>16</v>
      </c>
      <c r="I4902">
        <v>0</v>
      </c>
      <c r="J4902">
        <v>0</v>
      </c>
      <c r="K4902">
        <v>0</v>
      </c>
    </row>
    <row r="4903" spans="1:11" x14ac:dyDescent="0.25">
      <c r="A4903" t="s">
        <v>4943</v>
      </c>
      <c r="B4903" s="1">
        <v>45979.637592592589</v>
      </c>
      <c r="C4903" s="2" t="s">
        <v>18</v>
      </c>
      <c r="D4903" t="s">
        <v>13</v>
      </c>
      <c r="E4903">
        <v>10500</v>
      </c>
      <c r="F4903" t="s">
        <v>14</v>
      </c>
      <c r="G4903" t="s">
        <v>51</v>
      </c>
      <c r="H4903" t="s">
        <v>16</v>
      </c>
      <c r="I4903">
        <v>194.25</v>
      </c>
      <c r="J4903">
        <v>77.7</v>
      </c>
      <c r="K4903">
        <v>116.55</v>
      </c>
    </row>
    <row r="4904" spans="1:11" x14ac:dyDescent="0.25">
      <c r="A4904" t="s">
        <v>4944</v>
      </c>
      <c r="B4904" s="1">
        <v>45815.391574074078</v>
      </c>
      <c r="C4904" s="2" t="s">
        <v>12</v>
      </c>
      <c r="D4904" t="s">
        <v>13</v>
      </c>
      <c r="E4904">
        <v>7500</v>
      </c>
      <c r="F4904" t="s">
        <v>14</v>
      </c>
      <c r="G4904" t="s">
        <v>84</v>
      </c>
      <c r="H4904" t="s">
        <v>16</v>
      </c>
      <c r="I4904">
        <v>138.75</v>
      </c>
      <c r="J4904">
        <v>55.5</v>
      </c>
      <c r="K4904">
        <v>83.25</v>
      </c>
    </row>
    <row r="4905" spans="1:11" x14ac:dyDescent="0.25">
      <c r="A4905" t="s">
        <v>4945</v>
      </c>
      <c r="B4905" s="1">
        <v>45806.439421296294</v>
      </c>
      <c r="C4905" s="2" t="s">
        <v>41</v>
      </c>
      <c r="D4905" t="s">
        <v>19</v>
      </c>
      <c r="E4905">
        <v>127476</v>
      </c>
      <c r="F4905" t="s">
        <v>14</v>
      </c>
      <c r="G4905" t="s">
        <v>51</v>
      </c>
      <c r="H4905" t="s">
        <v>16</v>
      </c>
      <c r="I4905">
        <v>5</v>
      </c>
      <c r="J4905">
        <v>0</v>
      </c>
      <c r="K4905">
        <v>5</v>
      </c>
    </row>
    <row r="4906" spans="1:11" x14ac:dyDescent="0.25">
      <c r="A4906" t="s">
        <v>4946</v>
      </c>
      <c r="B4906" s="1">
        <v>45778.594108796293</v>
      </c>
      <c r="C4906" s="2" t="s">
        <v>12</v>
      </c>
      <c r="D4906" t="s">
        <v>13</v>
      </c>
      <c r="E4906">
        <v>230000</v>
      </c>
      <c r="F4906" t="s">
        <v>14</v>
      </c>
      <c r="G4906" t="s">
        <v>24</v>
      </c>
      <c r="H4906" t="s">
        <v>16</v>
      </c>
      <c r="I4906">
        <v>4255</v>
      </c>
      <c r="J4906">
        <v>1702</v>
      </c>
      <c r="K4906">
        <v>2553</v>
      </c>
    </row>
    <row r="4907" spans="1:11" x14ac:dyDescent="0.25">
      <c r="A4907" t="s">
        <v>4947</v>
      </c>
      <c r="B4907" s="1">
        <v>46102.23364583333</v>
      </c>
      <c r="C4907" s="2" t="s">
        <v>41</v>
      </c>
      <c r="D4907" t="s">
        <v>33</v>
      </c>
      <c r="E4907">
        <v>103622</v>
      </c>
      <c r="F4907" t="s">
        <v>50</v>
      </c>
      <c r="G4907" t="s">
        <v>30</v>
      </c>
      <c r="H4907" t="s">
        <v>16</v>
      </c>
      <c r="I4907">
        <v>0</v>
      </c>
      <c r="J4907">
        <v>0</v>
      </c>
      <c r="K4907">
        <v>0</v>
      </c>
    </row>
    <row r="4908" spans="1:11" x14ac:dyDescent="0.25">
      <c r="A4908" t="s">
        <v>4948</v>
      </c>
      <c r="B4908" s="1">
        <v>46139.811793981484</v>
      </c>
      <c r="C4908" s="2" t="s">
        <v>29</v>
      </c>
      <c r="D4908" t="s">
        <v>45</v>
      </c>
      <c r="E4908">
        <v>128891</v>
      </c>
      <c r="F4908" t="s">
        <v>14</v>
      </c>
      <c r="G4908" t="s">
        <v>58</v>
      </c>
      <c r="H4908" t="s">
        <v>178</v>
      </c>
      <c r="I4908">
        <v>1288.9100000000001</v>
      </c>
      <c r="J4908">
        <v>0</v>
      </c>
      <c r="K4908">
        <v>1288.9100000000001</v>
      </c>
    </row>
    <row r="4909" spans="1:11" x14ac:dyDescent="0.25">
      <c r="A4909" t="s">
        <v>4949</v>
      </c>
      <c r="B4909" s="1">
        <v>45957.566701388889</v>
      </c>
      <c r="C4909" s="2" t="s">
        <v>26</v>
      </c>
      <c r="D4909" t="s">
        <v>33</v>
      </c>
      <c r="E4909">
        <v>37494</v>
      </c>
      <c r="F4909" t="s">
        <v>14</v>
      </c>
      <c r="G4909" t="s">
        <v>34</v>
      </c>
      <c r="H4909" t="s">
        <v>16</v>
      </c>
      <c r="I4909">
        <v>0</v>
      </c>
      <c r="J4909">
        <v>0</v>
      </c>
      <c r="K4909">
        <v>0</v>
      </c>
    </row>
    <row r="4910" spans="1:11" x14ac:dyDescent="0.25">
      <c r="A4910" t="s">
        <v>4950</v>
      </c>
      <c r="B4910" s="1">
        <v>46013.747361111113</v>
      </c>
      <c r="C4910" s="2" t="s">
        <v>29</v>
      </c>
      <c r="D4910" t="s">
        <v>33</v>
      </c>
      <c r="E4910">
        <v>89337</v>
      </c>
      <c r="F4910" t="s">
        <v>14</v>
      </c>
      <c r="G4910" t="s">
        <v>51</v>
      </c>
      <c r="H4910" t="s">
        <v>16</v>
      </c>
      <c r="I4910">
        <v>0</v>
      </c>
      <c r="J4910">
        <v>0</v>
      </c>
      <c r="K4910">
        <v>0</v>
      </c>
    </row>
    <row r="4911" spans="1:11" x14ac:dyDescent="0.25">
      <c r="A4911" t="s">
        <v>4951</v>
      </c>
      <c r="B4911" s="1">
        <v>45958.19054398148</v>
      </c>
      <c r="C4911" s="2" t="s">
        <v>22</v>
      </c>
      <c r="D4911" t="s">
        <v>13</v>
      </c>
      <c r="E4911">
        <v>22500</v>
      </c>
      <c r="F4911" t="s">
        <v>14</v>
      </c>
      <c r="G4911" t="s">
        <v>15</v>
      </c>
      <c r="H4911" t="s">
        <v>16</v>
      </c>
      <c r="I4911">
        <v>416.25</v>
      </c>
      <c r="J4911">
        <v>166.5</v>
      </c>
      <c r="K4911">
        <v>249.75</v>
      </c>
    </row>
    <row r="4912" spans="1:11" x14ac:dyDescent="0.25">
      <c r="A4912" t="s">
        <v>4952</v>
      </c>
      <c r="B4912" s="1">
        <v>45946.105474537035</v>
      </c>
      <c r="C4912" s="2" t="s">
        <v>26</v>
      </c>
      <c r="D4912" t="s">
        <v>45</v>
      </c>
      <c r="E4912">
        <v>99890</v>
      </c>
      <c r="F4912" t="s">
        <v>14</v>
      </c>
      <c r="G4912" t="s">
        <v>27</v>
      </c>
      <c r="H4912" t="s">
        <v>46</v>
      </c>
      <c r="I4912">
        <v>998.9</v>
      </c>
      <c r="J4912">
        <v>0</v>
      </c>
      <c r="K4912">
        <v>998.9</v>
      </c>
    </row>
    <row r="4913" spans="1:11" x14ac:dyDescent="0.25">
      <c r="A4913" t="s">
        <v>4953</v>
      </c>
      <c r="B4913" s="1">
        <v>46011.190243055556</v>
      </c>
      <c r="C4913" s="2" t="s">
        <v>22</v>
      </c>
      <c r="D4913" t="s">
        <v>45</v>
      </c>
      <c r="E4913">
        <v>135999</v>
      </c>
      <c r="F4913" t="s">
        <v>14</v>
      </c>
      <c r="G4913" t="s">
        <v>27</v>
      </c>
      <c r="H4913" t="s">
        <v>71</v>
      </c>
      <c r="I4913">
        <v>1359.99</v>
      </c>
      <c r="J4913">
        <v>0</v>
      </c>
      <c r="K4913">
        <v>1359.99</v>
      </c>
    </row>
    <row r="4914" spans="1:11" x14ac:dyDescent="0.25">
      <c r="A4914" t="s">
        <v>4954</v>
      </c>
      <c r="B4914" s="1">
        <v>46127.34479166667</v>
      </c>
      <c r="C4914" s="2" t="s">
        <v>22</v>
      </c>
      <c r="D4914" t="s">
        <v>13</v>
      </c>
      <c r="E4914">
        <v>56000</v>
      </c>
      <c r="F4914" t="s">
        <v>14</v>
      </c>
      <c r="G4914" t="s">
        <v>15</v>
      </c>
      <c r="H4914" t="s">
        <v>16</v>
      </c>
      <c r="I4914">
        <v>1036</v>
      </c>
      <c r="J4914">
        <v>414.4</v>
      </c>
      <c r="K4914">
        <v>621.6</v>
      </c>
    </row>
    <row r="4915" spans="1:11" x14ac:dyDescent="0.25">
      <c r="A4915" t="s">
        <v>4955</v>
      </c>
      <c r="B4915" s="1">
        <v>46127.599548611113</v>
      </c>
      <c r="C4915" s="2" t="s">
        <v>26</v>
      </c>
      <c r="D4915" t="s">
        <v>33</v>
      </c>
      <c r="E4915">
        <v>135499</v>
      </c>
      <c r="F4915" t="s">
        <v>14</v>
      </c>
      <c r="G4915" t="s">
        <v>20</v>
      </c>
      <c r="H4915" t="s">
        <v>16</v>
      </c>
      <c r="I4915">
        <v>0</v>
      </c>
      <c r="J4915">
        <v>0</v>
      </c>
      <c r="K4915">
        <v>0</v>
      </c>
    </row>
    <row r="4916" spans="1:11" x14ac:dyDescent="0.25">
      <c r="A4916" t="s">
        <v>4956</v>
      </c>
      <c r="B4916" s="1">
        <v>46084.431296296294</v>
      </c>
      <c r="C4916" s="2" t="s">
        <v>22</v>
      </c>
      <c r="D4916" t="s">
        <v>13</v>
      </c>
      <c r="E4916">
        <v>10500</v>
      </c>
      <c r="F4916" t="s">
        <v>14</v>
      </c>
      <c r="G4916" t="s">
        <v>84</v>
      </c>
      <c r="H4916" t="s">
        <v>16</v>
      </c>
      <c r="I4916">
        <v>194.25</v>
      </c>
      <c r="J4916">
        <v>77.7</v>
      </c>
      <c r="K4916">
        <v>116.55</v>
      </c>
    </row>
    <row r="4917" spans="1:11" x14ac:dyDescent="0.25">
      <c r="A4917" t="s">
        <v>4957</v>
      </c>
      <c r="B4917" s="1">
        <v>46015.095879629633</v>
      </c>
      <c r="C4917" s="2" t="s">
        <v>41</v>
      </c>
      <c r="D4917" t="s">
        <v>23</v>
      </c>
      <c r="E4917">
        <v>1913</v>
      </c>
      <c r="F4917" t="s">
        <v>14</v>
      </c>
      <c r="G4917" t="s">
        <v>34</v>
      </c>
      <c r="H4917" t="s">
        <v>16</v>
      </c>
      <c r="I4917">
        <v>0</v>
      </c>
      <c r="J4917">
        <v>0</v>
      </c>
      <c r="K4917">
        <v>0</v>
      </c>
    </row>
    <row r="4918" spans="1:11" x14ac:dyDescent="0.25">
      <c r="A4918" t="s">
        <v>4958</v>
      </c>
      <c r="B4918" s="1">
        <v>45900.369351851848</v>
      </c>
      <c r="C4918" s="2" t="s">
        <v>41</v>
      </c>
      <c r="D4918" t="s">
        <v>19</v>
      </c>
      <c r="E4918">
        <v>106984</v>
      </c>
      <c r="F4918" t="s">
        <v>14</v>
      </c>
      <c r="G4918" t="s">
        <v>34</v>
      </c>
      <c r="H4918" t="s">
        <v>16</v>
      </c>
      <c r="I4918">
        <v>5</v>
      </c>
      <c r="J4918">
        <v>0</v>
      </c>
      <c r="K4918">
        <v>5</v>
      </c>
    </row>
    <row r="4919" spans="1:11" x14ac:dyDescent="0.25">
      <c r="A4919" t="s">
        <v>4959</v>
      </c>
      <c r="B4919" s="1">
        <v>45806.364988425928</v>
      </c>
      <c r="C4919" s="2" t="s">
        <v>39</v>
      </c>
      <c r="D4919" t="s">
        <v>13</v>
      </c>
      <c r="E4919">
        <v>157500</v>
      </c>
      <c r="F4919" t="s">
        <v>50</v>
      </c>
      <c r="G4919" t="s">
        <v>34</v>
      </c>
      <c r="H4919" t="s">
        <v>16</v>
      </c>
      <c r="I4919">
        <v>2913.75</v>
      </c>
      <c r="J4919">
        <v>1165.5</v>
      </c>
      <c r="K4919">
        <v>1748.25</v>
      </c>
    </row>
    <row r="4920" spans="1:11" x14ac:dyDescent="0.25">
      <c r="A4920" t="s">
        <v>4960</v>
      </c>
      <c r="B4920" s="1">
        <v>45818.954456018517</v>
      </c>
      <c r="C4920" s="2" t="s">
        <v>22</v>
      </c>
      <c r="D4920" t="s">
        <v>13</v>
      </c>
      <c r="E4920">
        <v>25000</v>
      </c>
      <c r="F4920" t="s">
        <v>99</v>
      </c>
      <c r="G4920" t="s">
        <v>34</v>
      </c>
      <c r="H4920" t="s">
        <v>16</v>
      </c>
      <c r="I4920">
        <v>462.5</v>
      </c>
      <c r="J4920">
        <v>185</v>
      </c>
      <c r="K4920">
        <v>277.5</v>
      </c>
    </row>
    <row r="4921" spans="1:11" x14ac:dyDescent="0.25">
      <c r="A4921" t="s">
        <v>4961</v>
      </c>
      <c r="B4921" s="1">
        <v>46107.870706018519</v>
      </c>
      <c r="C4921" s="2" t="s">
        <v>41</v>
      </c>
      <c r="D4921" t="s">
        <v>33</v>
      </c>
      <c r="E4921">
        <v>131594</v>
      </c>
      <c r="F4921" t="s">
        <v>14</v>
      </c>
      <c r="G4921" t="s">
        <v>24</v>
      </c>
      <c r="H4921" t="s">
        <v>16</v>
      </c>
      <c r="I4921">
        <v>0</v>
      </c>
      <c r="J4921">
        <v>0</v>
      </c>
      <c r="K4921">
        <v>0</v>
      </c>
    </row>
    <row r="4922" spans="1:11" x14ac:dyDescent="0.25">
      <c r="A4922" t="s">
        <v>4962</v>
      </c>
      <c r="B4922" s="1">
        <v>46095.46974537037</v>
      </c>
      <c r="C4922" s="2" t="s">
        <v>26</v>
      </c>
      <c r="D4922" t="s">
        <v>19</v>
      </c>
      <c r="E4922">
        <v>39968</v>
      </c>
      <c r="F4922" t="s">
        <v>14</v>
      </c>
      <c r="G4922" t="s">
        <v>27</v>
      </c>
      <c r="H4922" t="s">
        <v>16</v>
      </c>
      <c r="I4922">
        <v>5</v>
      </c>
      <c r="J4922">
        <v>0</v>
      </c>
      <c r="K4922">
        <v>5</v>
      </c>
    </row>
    <row r="4923" spans="1:11" x14ac:dyDescent="0.25">
      <c r="A4923" t="s">
        <v>4963</v>
      </c>
      <c r="B4923" s="1">
        <v>45788.879780092589</v>
      </c>
      <c r="C4923" s="2" t="s">
        <v>39</v>
      </c>
      <c r="D4923" t="s">
        <v>23</v>
      </c>
      <c r="E4923">
        <v>845</v>
      </c>
      <c r="F4923" t="s">
        <v>14</v>
      </c>
      <c r="G4923" t="s">
        <v>27</v>
      </c>
      <c r="H4923" t="s">
        <v>16</v>
      </c>
      <c r="I4923">
        <v>0</v>
      </c>
      <c r="J4923">
        <v>0</v>
      </c>
      <c r="K4923">
        <v>0</v>
      </c>
    </row>
    <row r="4924" spans="1:11" x14ac:dyDescent="0.25">
      <c r="A4924" t="s">
        <v>4964</v>
      </c>
      <c r="B4924" s="1">
        <v>46140.047465277778</v>
      </c>
      <c r="C4924" s="2" t="s">
        <v>32</v>
      </c>
      <c r="D4924" t="s">
        <v>23</v>
      </c>
      <c r="E4924">
        <v>1859</v>
      </c>
      <c r="F4924" t="s">
        <v>50</v>
      </c>
      <c r="G4924" t="s">
        <v>51</v>
      </c>
      <c r="H4924" t="s">
        <v>16</v>
      </c>
      <c r="I4924">
        <v>0</v>
      </c>
      <c r="J4924">
        <v>0</v>
      </c>
      <c r="K4924">
        <v>0</v>
      </c>
    </row>
    <row r="4925" spans="1:11" x14ac:dyDescent="0.25">
      <c r="A4925" t="s">
        <v>4965</v>
      </c>
      <c r="B4925" s="1">
        <v>45982.053935185184</v>
      </c>
      <c r="C4925" s="2" t="s">
        <v>32</v>
      </c>
      <c r="D4925" t="s">
        <v>13</v>
      </c>
      <c r="E4925">
        <v>18000</v>
      </c>
      <c r="F4925" t="s">
        <v>14</v>
      </c>
      <c r="G4925" t="s">
        <v>84</v>
      </c>
      <c r="H4925" t="s">
        <v>16</v>
      </c>
      <c r="I4925">
        <v>333</v>
      </c>
      <c r="J4925">
        <v>133.19999999999999</v>
      </c>
      <c r="K4925">
        <v>199.8</v>
      </c>
    </row>
    <row r="4926" spans="1:11" x14ac:dyDescent="0.25">
      <c r="A4926" t="s">
        <v>4966</v>
      </c>
      <c r="B4926" s="1">
        <v>45868.696400462963</v>
      </c>
      <c r="C4926" s="2" t="s">
        <v>22</v>
      </c>
      <c r="D4926" t="s">
        <v>19</v>
      </c>
      <c r="E4926">
        <v>132221</v>
      </c>
      <c r="F4926" t="s">
        <v>14</v>
      </c>
      <c r="G4926" t="s">
        <v>27</v>
      </c>
      <c r="H4926" t="s">
        <v>16</v>
      </c>
      <c r="I4926">
        <v>5</v>
      </c>
      <c r="J4926">
        <v>0</v>
      </c>
      <c r="K4926">
        <v>5</v>
      </c>
    </row>
    <row r="4927" spans="1:11" x14ac:dyDescent="0.25">
      <c r="A4927" t="s">
        <v>4967</v>
      </c>
      <c r="B4927" s="1">
        <v>45927.777245370373</v>
      </c>
      <c r="C4927" s="2" t="s">
        <v>32</v>
      </c>
      <c r="D4927" t="s">
        <v>13</v>
      </c>
      <c r="E4927">
        <v>16000</v>
      </c>
      <c r="F4927" t="s">
        <v>50</v>
      </c>
      <c r="G4927" t="s">
        <v>34</v>
      </c>
      <c r="H4927" t="s">
        <v>16</v>
      </c>
      <c r="I4927">
        <v>296</v>
      </c>
      <c r="J4927">
        <v>118.4</v>
      </c>
      <c r="K4927">
        <v>177.6</v>
      </c>
    </row>
    <row r="4928" spans="1:11" x14ac:dyDescent="0.25">
      <c r="A4928" t="s">
        <v>4968</v>
      </c>
      <c r="B4928" s="1">
        <v>46005.179780092592</v>
      </c>
      <c r="C4928" s="2" t="s">
        <v>18</v>
      </c>
      <c r="D4928" t="s">
        <v>45</v>
      </c>
      <c r="E4928">
        <v>110653</v>
      </c>
      <c r="F4928" t="s">
        <v>14</v>
      </c>
      <c r="G4928" t="s">
        <v>20</v>
      </c>
      <c r="H4928" t="s">
        <v>56</v>
      </c>
      <c r="I4928">
        <v>1106.53</v>
      </c>
      <c r="J4928">
        <v>0</v>
      </c>
      <c r="K4928">
        <v>1106.53</v>
      </c>
    </row>
    <row r="4929" spans="1:11" x14ac:dyDescent="0.25">
      <c r="A4929" t="s">
        <v>4969</v>
      </c>
      <c r="B4929" s="1">
        <v>45820.582349537035</v>
      </c>
      <c r="C4929" s="2" t="s">
        <v>41</v>
      </c>
      <c r="D4929" t="s">
        <v>23</v>
      </c>
      <c r="E4929">
        <v>2127</v>
      </c>
      <c r="F4929" t="s">
        <v>14</v>
      </c>
      <c r="G4929" t="s">
        <v>58</v>
      </c>
      <c r="H4929" t="s">
        <v>16</v>
      </c>
      <c r="I4929">
        <v>0</v>
      </c>
      <c r="J4929">
        <v>0</v>
      </c>
      <c r="K4929">
        <v>0</v>
      </c>
    </row>
    <row r="4930" spans="1:11" x14ac:dyDescent="0.25">
      <c r="A4930" t="s">
        <v>4970</v>
      </c>
      <c r="B4930" s="1">
        <v>46079.939351851855</v>
      </c>
      <c r="C4930" s="2" t="s">
        <v>12</v>
      </c>
      <c r="D4930" t="s">
        <v>19</v>
      </c>
      <c r="E4930">
        <v>59574</v>
      </c>
      <c r="F4930" t="s">
        <v>99</v>
      </c>
      <c r="G4930" t="s">
        <v>15</v>
      </c>
      <c r="H4930" t="s">
        <v>16</v>
      </c>
      <c r="I4930">
        <v>5</v>
      </c>
      <c r="J4930">
        <v>0</v>
      </c>
      <c r="K4930">
        <v>5</v>
      </c>
    </row>
    <row r="4931" spans="1:11" x14ac:dyDescent="0.25">
      <c r="A4931" t="s">
        <v>4971</v>
      </c>
      <c r="B4931" s="1">
        <v>45987.804247685184</v>
      </c>
      <c r="C4931" s="2" t="s">
        <v>26</v>
      </c>
      <c r="D4931" t="s">
        <v>45</v>
      </c>
      <c r="E4931">
        <v>63101</v>
      </c>
      <c r="F4931" t="s">
        <v>14</v>
      </c>
      <c r="G4931" t="s">
        <v>15</v>
      </c>
      <c r="H4931" t="s">
        <v>56</v>
      </c>
      <c r="I4931">
        <v>631.01</v>
      </c>
      <c r="J4931">
        <v>0</v>
      </c>
      <c r="K4931">
        <v>631.01</v>
      </c>
    </row>
    <row r="4932" spans="1:11" x14ac:dyDescent="0.25">
      <c r="A4932" t="s">
        <v>4972</v>
      </c>
      <c r="B4932" s="1">
        <v>46115.889884259261</v>
      </c>
      <c r="C4932" s="2" t="s">
        <v>18</v>
      </c>
      <c r="D4932" t="s">
        <v>13</v>
      </c>
      <c r="E4932">
        <v>221500</v>
      </c>
      <c r="F4932" t="s">
        <v>14</v>
      </c>
      <c r="G4932" t="s">
        <v>27</v>
      </c>
      <c r="H4932" t="s">
        <v>16</v>
      </c>
      <c r="I4932">
        <v>4097.75</v>
      </c>
      <c r="J4932">
        <v>1639.1</v>
      </c>
      <c r="K4932">
        <v>2458.65</v>
      </c>
    </row>
    <row r="4933" spans="1:11" x14ac:dyDescent="0.25">
      <c r="A4933" t="s">
        <v>4973</v>
      </c>
      <c r="B4933" s="1">
        <v>46060.829814814817</v>
      </c>
      <c r="C4933" s="2" t="s">
        <v>22</v>
      </c>
      <c r="D4933" t="s">
        <v>19</v>
      </c>
      <c r="E4933">
        <v>5098</v>
      </c>
      <c r="F4933" t="s">
        <v>14</v>
      </c>
      <c r="G4933" t="s">
        <v>84</v>
      </c>
      <c r="H4933" t="s">
        <v>16</v>
      </c>
      <c r="I4933">
        <v>5</v>
      </c>
      <c r="J4933">
        <v>0</v>
      </c>
      <c r="K4933">
        <v>5</v>
      </c>
    </row>
    <row r="4934" spans="1:11" x14ac:dyDescent="0.25">
      <c r="A4934" t="s">
        <v>4974</v>
      </c>
      <c r="B4934" s="1">
        <v>46092.797997685186</v>
      </c>
      <c r="C4934" s="2" t="s">
        <v>26</v>
      </c>
      <c r="D4934" t="s">
        <v>33</v>
      </c>
      <c r="E4934">
        <v>82475</v>
      </c>
      <c r="F4934" t="s">
        <v>14</v>
      </c>
      <c r="G4934" t="s">
        <v>51</v>
      </c>
      <c r="H4934" t="s">
        <v>16</v>
      </c>
      <c r="I4934">
        <v>0</v>
      </c>
      <c r="J4934">
        <v>0</v>
      </c>
      <c r="K4934">
        <v>0</v>
      </c>
    </row>
    <row r="4935" spans="1:11" x14ac:dyDescent="0.25">
      <c r="A4935" t="s">
        <v>4975</v>
      </c>
      <c r="B4935" s="1">
        <v>46078.198657407411</v>
      </c>
      <c r="C4935" s="2" t="s">
        <v>26</v>
      </c>
      <c r="D4935" t="s">
        <v>19</v>
      </c>
      <c r="E4935">
        <v>12012</v>
      </c>
      <c r="F4935" t="s">
        <v>14</v>
      </c>
      <c r="G4935" t="s">
        <v>51</v>
      </c>
      <c r="H4935" t="s">
        <v>16</v>
      </c>
      <c r="I4935">
        <v>5</v>
      </c>
      <c r="J4935">
        <v>0</v>
      </c>
      <c r="K4935">
        <v>5</v>
      </c>
    </row>
    <row r="4936" spans="1:11" x14ac:dyDescent="0.25">
      <c r="A4936" t="s">
        <v>4976</v>
      </c>
      <c r="B4936" s="1">
        <v>46027.235856481479</v>
      </c>
      <c r="C4936" s="2" t="s">
        <v>26</v>
      </c>
      <c r="D4936" t="s">
        <v>19</v>
      </c>
      <c r="E4936">
        <v>22931</v>
      </c>
      <c r="F4936" t="s">
        <v>14</v>
      </c>
      <c r="G4936" t="s">
        <v>20</v>
      </c>
      <c r="H4936" t="s">
        <v>16</v>
      </c>
      <c r="I4936">
        <v>5</v>
      </c>
      <c r="J4936">
        <v>0</v>
      </c>
      <c r="K4936">
        <v>5</v>
      </c>
    </row>
    <row r="4937" spans="1:11" x14ac:dyDescent="0.25">
      <c r="A4937" t="s">
        <v>4977</v>
      </c>
      <c r="B4937" s="1">
        <v>46033.879594907405</v>
      </c>
      <c r="C4937" s="2" t="s">
        <v>41</v>
      </c>
      <c r="D4937" t="s">
        <v>13</v>
      </c>
      <c r="E4937">
        <v>117000</v>
      </c>
      <c r="F4937" t="s">
        <v>14</v>
      </c>
      <c r="G4937" t="s">
        <v>51</v>
      </c>
      <c r="H4937" t="s">
        <v>16</v>
      </c>
      <c r="I4937">
        <v>2164.5</v>
      </c>
      <c r="J4937">
        <v>865.8</v>
      </c>
      <c r="K4937">
        <v>1298.7</v>
      </c>
    </row>
    <row r="4938" spans="1:11" x14ac:dyDescent="0.25">
      <c r="A4938" t="s">
        <v>4978</v>
      </c>
      <c r="B4938" s="1">
        <v>46122.098599537036</v>
      </c>
      <c r="C4938" s="2" t="s">
        <v>12</v>
      </c>
      <c r="D4938" t="s">
        <v>19</v>
      </c>
      <c r="E4938">
        <v>63196</v>
      </c>
      <c r="F4938" t="s">
        <v>14</v>
      </c>
      <c r="G4938" t="s">
        <v>51</v>
      </c>
      <c r="H4938" t="s">
        <v>16</v>
      </c>
      <c r="I4938">
        <v>5</v>
      </c>
      <c r="J4938">
        <v>0</v>
      </c>
      <c r="K4938">
        <v>5</v>
      </c>
    </row>
    <row r="4939" spans="1:11" x14ac:dyDescent="0.25">
      <c r="A4939" t="s">
        <v>4979</v>
      </c>
      <c r="B4939" s="1">
        <v>45990.918703703705</v>
      </c>
      <c r="C4939" s="2" t="s">
        <v>29</v>
      </c>
      <c r="D4939" t="s">
        <v>23</v>
      </c>
      <c r="E4939">
        <v>3317</v>
      </c>
      <c r="F4939" t="s">
        <v>14</v>
      </c>
      <c r="G4939" t="s">
        <v>84</v>
      </c>
      <c r="H4939" t="s">
        <v>16</v>
      </c>
      <c r="I4939">
        <v>0</v>
      </c>
      <c r="J4939">
        <v>0</v>
      </c>
      <c r="K4939">
        <v>0</v>
      </c>
    </row>
    <row r="4940" spans="1:11" x14ac:dyDescent="0.25">
      <c r="A4940" t="s">
        <v>4980</v>
      </c>
      <c r="B4940" s="1">
        <v>45881.91777777778</v>
      </c>
      <c r="C4940" s="2" t="s">
        <v>26</v>
      </c>
      <c r="D4940" t="s">
        <v>23</v>
      </c>
      <c r="E4940">
        <v>4074</v>
      </c>
      <c r="F4940" t="s">
        <v>50</v>
      </c>
      <c r="G4940" t="s">
        <v>84</v>
      </c>
      <c r="H4940" t="s">
        <v>16</v>
      </c>
      <c r="I4940">
        <v>0</v>
      </c>
      <c r="J4940">
        <v>0</v>
      </c>
      <c r="K4940">
        <v>0</v>
      </c>
    </row>
    <row r="4941" spans="1:11" x14ac:dyDescent="0.25">
      <c r="A4941" t="s">
        <v>4981</v>
      </c>
      <c r="B4941" s="1">
        <v>46017.179942129631</v>
      </c>
      <c r="C4941" s="2" t="s">
        <v>41</v>
      </c>
      <c r="D4941" t="s">
        <v>33</v>
      </c>
      <c r="E4941">
        <v>64675</v>
      </c>
      <c r="F4941" t="s">
        <v>14</v>
      </c>
      <c r="G4941" t="s">
        <v>24</v>
      </c>
      <c r="H4941" t="s">
        <v>16</v>
      </c>
      <c r="I4941">
        <v>0</v>
      </c>
      <c r="J4941">
        <v>0</v>
      </c>
      <c r="K4941">
        <v>0</v>
      </c>
    </row>
    <row r="4942" spans="1:11" x14ac:dyDescent="0.25">
      <c r="A4942" t="s">
        <v>4982</v>
      </c>
      <c r="B4942" s="1">
        <v>46014.222881944443</v>
      </c>
      <c r="C4942" s="2" t="s">
        <v>26</v>
      </c>
      <c r="D4942" t="s">
        <v>33</v>
      </c>
      <c r="E4942">
        <v>19888</v>
      </c>
      <c r="F4942" t="s">
        <v>14</v>
      </c>
      <c r="G4942" t="s">
        <v>51</v>
      </c>
      <c r="H4942" t="s">
        <v>16</v>
      </c>
      <c r="I4942">
        <v>0</v>
      </c>
      <c r="J4942">
        <v>0</v>
      </c>
      <c r="K4942">
        <v>0</v>
      </c>
    </row>
    <row r="4943" spans="1:11" x14ac:dyDescent="0.25">
      <c r="A4943" t="s">
        <v>4983</v>
      </c>
      <c r="B4943" s="1">
        <v>45952.926296296297</v>
      </c>
      <c r="C4943" s="2" t="s">
        <v>26</v>
      </c>
      <c r="D4943" t="s">
        <v>19</v>
      </c>
      <c r="E4943">
        <v>113079</v>
      </c>
      <c r="F4943" t="s">
        <v>14</v>
      </c>
      <c r="G4943" t="s">
        <v>20</v>
      </c>
      <c r="H4943" t="s">
        <v>16</v>
      </c>
      <c r="I4943">
        <v>5</v>
      </c>
      <c r="J4943">
        <v>0</v>
      </c>
      <c r="K4943">
        <v>5</v>
      </c>
    </row>
    <row r="4944" spans="1:11" x14ac:dyDescent="0.25">
      <c r="A4944" t="s">
        <v>4984</v>
      </c>
      <c r="B4944" s="1">
        <v>45799.014224537037</v>
      </c>
      <c r="C4944" s="2" t="s">
        <v>41</v>
      </c>
      <c r="D4944" t="s">
        <v>13</v>
      </c>
      <c r="E4944">
        <v>234500</v>
      </c>
      <c r="F4944" t="s">
        <v>14</v>
      </c>
      <c r="G4944" t="s">
        <v>24</v>
      </c>
      <c r="H4944" t="s">
        <v>16</v>
      </c>
      <c r="I4944">
        <v>4338.25</v>
      </c>
      <c r="J4944">
        <v>1735.3</v>
      </c>
      <c r="K4944">
        <v>2602.9499999999998</v>
      </c>
    </row>
    <row r="4945" spans="1:11" x14ac:dyDescent="0.25">
      <c r="A4945" t="s">
        <v>4985</v>
      </c>
      <c r="B4945" s="1">
        <v>46058.273668981485</v>
      </c>
      <c r="C4945" s="2" t="s">
        <v>26</v>
      </c>
      <c r="D4945" t="s">
        <v>19</v>
      </c>
      <c r="E4945">
        <v>127047</v>
      </c>
      <c r="F4945" t="s">
        <v>14</v>
      </c>
      <c r="G4945" t="s">
        <v>30</v>
      </c>
      <c r="H4945" t="s">
        <v>16</v>
      </c>
      <c r="I4945">
        <v>5</v>
      </c>
      <c r="J4945">
        <v>0</v>
      </c>
      <c r="K4945">
        <v>5</v>
      </c>
    </row>
    <row r="4946" spans="1:11" x14ac:dyDescent="0.25">
      <c r="A4946" t="s">
        <v>4986</v>
      </c>
      <c r="B4946" s="1">
        <v>45941.436921296299</v>
      </c>
      <c r="C4946" s="2" t="s">
        <v>22</v>
      </c>
      <c r="D4946" t="s">
        <v>33</v>
      </c>
      <c r="E4946">
        <v>30551</v>
      </c>
      <c r="F4946" t="s">
        <v>50</v>
      </c>
      <c r="G4946" t="s">
        <v>84</v>
      </c>
      <c r="H4946" t="s">
        <v>16</v>
      </c>
      <c r="I4946">
        <v>0</v>
      </c>
      <c r="J4946">
        <v>0</v>
      </c>
      <c r="K4946">
        <v>0</v>
      </c>
    </row>
    <row r="4947" spans="1:11" x14ac:dyDescent="0.25">
      <c r="A4947" t="s">
        <v>4987</v>
      </c>
      <c r="B4947" s="1">
        <v>46138.919953703706</v>
      </c>
      <c r="C4947" s="2" t="s">
        <v>22</v>
      </c>
      <c r="D4947" t="s">
        <v>23</v>
      </c>
      <c r="E4947">
        <v>3704</v>
      </c>
      <c r="F4947" t="s">
        <v>14</v>
      </c>
      <c r="G4947" t="s">
        <v>20</v>
      </c>
      <c r="H4947" t="s">
        <v>16</v>
      </c>
      <c r="I4947">
        <v>0</v>
      </c>
      <c r="J4947">
        <v>0</v>
      </c>
      <c r="K4947">
        <v>0</v>
      </c>
    </row>
    <row r="4948" spans="1:11" x14ac:dyDescent="0.25">
      <c r="A4948" t="s">
        <v>4988</v>
      </c>
      <c r="B4948" s="1">
        <v>45919.350578703707</v>
      </c>
      <c r="C4948" s="2" t="s">
        <v>18</v>
      </c>
      <c r="D4948" t="s">
        <v>23</v>
      </c>
      <c r="E4948">
        <v>1100</v>
      </c>
      <c r="F4948" t="s">
        <v>50</v>
      </c>
      <c r="G4948" t="s">
        <v>84</v>
      </c>
      <c r="H4948" t="s">
        <v>16</v>
      </c>
      <c r="I4948">
        <v>0</v>
      </c>
      <c r="J4948">
        <v>0</v>
      </c>
      <c r="K4948">
        <v>0</v>
      </c>
    </row>
    <row r="4949" spans="1:11" x14ac:dyDescent="0.25">
      <c r="A4949" t="s">
        <v>4989</v>
      </c>
      <c r="B4949" s="1">
        <v>45877.804872685185</v>
      </c>
      <c r="C4949" s="2" t="s">
        <v>41</v>
      </c>
      <c r="D4949" t="s">
        <v>19</v>
      </c>
      <c r="E4949">
        <v>15052</v>
      </c>
      <c r="F4949" t="s">
        <v>14</v>
      </c>
      <c r="G4949" t="s">
        <v>20</v>
      </c>
      <c r="H4949" t="s">
        <v>16</v>
      </c>
      <c r="I4949">
        <v>5</v>
      </c>
      <c r="J4949">
        <v>0</v>
      </c>
      <c r="K4949">
        <v>5</v>
      </c>
    </row>
    <row r="4950" spans="1:11" x14ac:dyDescent="0.25">
      <c r="A4950" t="s">
        <v>4990</v>
      </c>
      <c r="B4950" s="1">
        <v>46085.821886574071</v>
      </c>
      <c r="C4950" s="2" t="s">
        <v>32</v>
      </c>
      <c r="D4950" t="s">
        <v>33</v>
      </c>
      <c r="E4950">
        <v>146116</v>
      </c>
      <c r="F4950" t="s">
        <v>50</v>
      </c>
      <c r="G4950" t="s">
        <v>20</v>
      </c>
      <c r="H4950" t="s">
        <v>16</v>
      </c>
      <c r="I4950">
        <v>0</v>
      </c>
      <c r="J4950">
        <v>0</v>
      </c>
      <c r="K4950">
        <v>0</v>
      </c>
    </row>
    <row r="4951" spans="1:11" x14ac:dyDescent="0.25">
      <c r="A4951" t="s">
        <v>4991</v>
      </c>
      <c r="B4951" s="1">
        <v>45885.561689814815</v>
      </c>
      <c r="C4951" s="2" t="s">
        <v>41</v>
      </c>
      <c r="D4951" t="s">
        <v>19</v>
      </c>
      <c r="E4951">
        <v>14734</v>
      </c>
      <c r="F4951" t="s">
        <v>50</v>
      </c>
      <c r="G4951" t="s">
        <v>27</v>
      </c>
      <c r="H4951" t="s">
        <v>16</v>
      </c>
      <c r="I4951">
        <v>5</v>
      </c>
      <c r="J4951">
        <v>0</v>
      </c>
      <c r="K4951">
        <v>5</v>
      </c>
    </row>
    <row r="4952" spans="1:11" x14ac:dyDescent="0.25">
      <c r="A4952" t="s">
        <v>4992</v>
      </c>
      <c r="B4952" s="1">
        <v>45958.009502314817</v>
      </c>
      <c r="C4952" s="2" t="s">
        <v>29</v>
      </c>
      <c r="D4952" t="s">
        <v>13</v>
      </c>
      <c r="E4952">
        <v>125000</v>
      </c>
      <c r="F4952" t="s">
        <v>14</v>
      </c>
      <c r="G4952" t="s">
        <v>24</v>
      </c>
      <c r="H4952" t="s">
        <v>16</v>
      </c>
      <c r="I4952">
        <v>2312.5</v>
      </c>
      <c r="J4952">
        <v>925</v>
      </c>
      <c r="K4952">
        <v>1387.5</v>
      </c>
    </row>
    <row r="4953" spans="1:11" x14ac:dyDescent="0.25">
      <c r="A4953" t="s">
        <v>4993</v>
      </c>
      <c r="B4953" s="1">
        <v>45976.269918981481</v>
      </c>
      <c r="C4953" s="2" t="s">
        <v>41</v>
      </c>
      <c r="D4953" t="s">
        <v>19</v>
      </c>
      <c r="E4953">
        <v>68360</v>
      </c>
      <c r="F4953" t="s">
        <v>14</v>
      </c>
      <c r="G4953" t="s">
        <v>51</v>
      </c>
      <c r="H4953" t="s">
        <v>16</v>
      </c>
      <c r="I4953">
        <v>5</v>
      </c>
      <c r="J4953">
        <v>0</v>
      </c>
      <c r="K4953">
        <v>5</v>
      </c>
    </row>
    <row r="4954" spans="1:11" x14ac:dyDescent="0.25">
      <c r="A4954" t="s">
        <v>4994</v>
      </c>
      <c r="B4954" s="1">
        <v>46137.400439814817</v>
      </c>
      <c r="C4954" s="2" t="s">
        <v>32</v>
      </c>
      <c r="D4954" t="s">
        <v>23</v>
      </c>
      <c r="E4954">
        <v>2854</v>
      </c>
      <c r="F4954" t="s">
        <v>14</v>
      </c>
      <c r="G4954" t="s">
        <v>34</v>
      </c>
      <c r="H4954" t="s">
        <v>16</v>
      </c>
      <c r="I4954">
        <v>0</v>
      </c>
      <c r="J4954">
        <v>0</v>
      </c>
      <c r="K4954">
        <v>0</v>
      </c>
    </row>
    <row r="4955" spans="1:11" x14ac:dyDescent="0.25">
      <c r="A4955" t="s">
        <v>4995</v>
      </c>
      <c r="B4955" s="1">
        <v>45914.911562499998</v>
      </c>
      <c r="C4955" s="2" t="s">
        <v>29</v>
      </c>
      <c r="D4955" t="s">
        <v>45</v>
      </c>
      <c r="E4955">
        <v>46530</v>
      </c>
      <c r="F4955" t="s">
        <v>14</v>
      </c>
      <c r="G4955" t="s">
        <v>58</v>
      </c>
      <c r="H4955" t="s">
        <v>71</v>
      </c>
      <c r="I4955">
        <v>465.3</v>
      </c>
      <c r="J4955">
        <v>0</v>
      </c>
      <c r="K4955">
        <v>465.3</v>
      </c>
    </row>
    <row r="4956" spans="1:11" x14ac:dyDescent="0.25">
      <c r="A4956" t="s">
        <v>4996</v>
      </c>
      <c r="B4956" s="1">
        <v>46133.035636574074</v>
      </c>
      <c r="C4956" s="2" t="s">
        <v>32</v>
      </c>
      <c r="D4956" t="s">
        <v>45</v>
      </c>
      <c r="E4956">
        <v>13321</v>
      </c>
      <c r="F4956" t="s">
        <v>50</v>
      </c>
      <c r="G4956" t="s">
        <v>15</v>
      </c>
      <c r="H4956" t="s">
        <v>71</v>
      </c>
      <c r="I4956">
        <v>133.21</v>
      </c>
      <c r="J4956">
        <v>0</v>
      </c>
      <c r="K4956">
        <v>133.21</v>
      </c>
    </row>
    <row r="4957" spans="1:11" x14ac:dyDescent="0.25">
      <c r="A4957" t="s">
        <v>4997</v>
      </c>
      <c r="B4957" s="1">
        <v>45894.510682870372</v>
      </c>
      <c r="C4957" s="2" t="s">
        <v>26</v>
      </c>
      <c r="D4957" t="s">
        <v>45</v>
      </c>
      <c r="E4957">
        <v>30549</v>
      </c>
      <c r="F4957" t="s">
        <v>14</v>
      </c>
      <c r="G4957" t="s">
        <v>15</v>
      </c>
      <c r="H4957" t="s">
        <v>46</v>
      </c>
      <c r="I4957">
        <v>305.49</v>
      </c>
      <c r="J4957">
        <v>0</v>
      </c>
      <c r="K4957">
        <v>305.49</v>
      </c>
    </row>
    <row r="4958" spans="1:11" x14ac:dyDescent="0.25">
      <c r="A4958" t="s">
        <v>4998</v>
      </c>
      <c r="B4958" s="1">
        <v>46074.161631944444</v>
      </c>
      <c r="C4958" s="2" t="s">
        <v>41</v>
      </c>
      <c r="D4958" t="s">
        <v>19</v>
      </c>
      <c r="E4958">
        <v>36043</v>
      </c>
      <c r="F4958" t="s">
        <v>14</v>
      </c>
      <c r="G4958" t="s">
        <v>15</v>
      </c>
      <c r="H4958" t="s">
        <v>16</v>
      </c>
      <c r="I4958">
        <v>5</v>
      </c>
      <c r="J4958">
        <v>0</v>
      </c>
      <c r="K4958">
        <v>5</v>
      </c>
    </row>
    <row r="4959" spans="1:11" x14ac:dyDescent="0.25">
      <c r="A4959" t="s">
        <v>4999</v>
      </c>
      <c r="B4959" s="1">
        <v>45842.766238425924</v>
      </c>
      <c r="C4959" s="2" t="s">
        <v>41</v>
      </c>
      <c r="D4959" t="s">
        <v>19</v>
      </c>
      <c r="E4959">
        <v>19837</v>
      </c>
      <c r="F4959" t="s">
        <v>14</v>
      </c>
      <c r="G4959" t="s">
        <v>27</v>
      </c>
      <c r="H4959" t="s">
        <v>16</v>
      </c>
      <c r="I4959">
        <v>5</v>
      </c>
      <c r="J4959">
        <v>0</v>
      </c>
      <c r="K4959">
        <v>5</v>
      </c>
    </row>
    <row r="4960" spans="1:11" x14ac:dyDescent="0.25">
      <c r="A4960" t="s">
        <v>5000</v>
      </c>
      <c r="B4960" s="1">
        <v>46141.586527777778</v>
      </c>
      <c r="C4960" s="2" t="s">
        <v>26</v>
      </c>
      <c r="D4960" t="s">
        <v>45</v>
      </c>
      <c r="E4960">
        <v>84987</v>
      </c>
      <c r="F4960" t="s">
        <v>14</v>
      </c>
      <c r="G4960" t="s">
        <v>30</v>
      </c>
      <c r="H4960" t="s">
        <v>56</v>
      </c>
      <c r="I4960">
        <v>849.87</v>
      </c>
      <c r="J4960">
        <v>0</v>
      </c>
      <c r="K4960">
        <v>849.87</v>
      </c>
    </row>
    <row r="4961" spans="1:11" x14ac:dyDescent="0.25">
      <c r="A4961" t="s">
        <v>5001</v>
      </c>
      <c r="B4961" s="1">
        <v>46090.112511574072</v>
      </c>
      <c r="C4961" s="2" t="s">
        <v>29</v>
      </c>
      <c r="D4961" t="s">
        <v>45</v>
      </c>
      <c r="E4961">
        <v>76467</v>
      </c>
      <c r="F4961" t="s">
        <v>14</v>
      </c>
      <c r="G4961" t="s">
        <v>51</v>
      </c>
      <c r="H4961" t="s">
        <v>71</v>
      </c>
      <c r="I4961">
        <v>764.67</v>
      </c>
      <c r="J4961">
        <v>0</v>
      </c>
      <c r="K4961">
        <v>764.67</v>
      </c>
    </row>
    <row r="4962" spans="1:11" x14ac:dyDescent="0.25">
      <c r="A4962" t="s">
        <v>5002</v>
      </c>
      <c r="B4962" s="1">
        <v>45830.339050925926</v>
      </c>
      <c r="C4962" s="2" t="s">
        <v>22</v>
      </c>
      <c r="D4962" t="s">
        <v>19</v>
      </c>
      <c r="E4962">
        <v>22106</v>
      </c>
      <c r="F4962" t="s">
        <v>14</v>
      </c>
      <c r="G4962" t="s">
        <v>84</v>
      </c>
      <c r="H4962" t="s">
        <v>16</v>
      </c>
      <c r="I4962">
        <v>5</v>
      </c>
      <c r="J4962">
        <v>0</v>
      </c>
      <c r="K4962">
        <v>5</v>
      </c>
    </row>
    <row r="4963" spans="1:11" x14ac:dyDescent="0.25">
      <c r="A4963" t="s">
        <v>5003</v>
      </c>
      <c r="B4963" s="1">
        <v>46046.890277777777</v>
      </c>
      <c r="C4963" s="2" t="s">
        <v>12</v>
      </c>
      <c r="D4963" t="s">
        <v>45</v>
      </c>
      <c r="E4963">
        <v>117325</v>
      </c>
      <c r="F4963" t="s">
        <v>14</v>
      </c>
      <c r="G4963" t="s">
        <v>20</v>
      </c>
      <c r="H4963" t="s">
        <v>56</v>
      </c>
      <c r="I4963">
        <v>1173.25</v>
      </c>
      <c r="J4963">
        <v>0</v>
      </c>
      <c r="K4963">
        <v>1173.25</v>
      </c>
    </row>
    <row r="4964" spans="1:11" x14ac:dyDescent="0.25">
      <c r="A4964" t="s">
        <v>5004</v>
      </c>
      <c r="B4964" s="1">
        <v>46093.95989583333</v>
      </c>
      <c r="C4964" s="2" t="s">
        <v>12</v>
      </c>
      <c r="D4964" t="s">
        <v>13</v>
      </c>
      <c r="E4964">
        <v>113000</v>
      </c>
      <c r="F4964" t="s">
        <v>14</v>
      </c>
      <c r="G4964" t="s">
        <v>20</v>
      </c>
      <c r="H4964" t="s">
        <v>16</v>
      </c>
      <c r="I4964">
        <v>2090.5</v>
      </c>
      <c r="J4964">
        <v>836.2</v>
      </c>
      <c r="K4964">
        <v>1254.3</v>
      </c>
    </row>
    <row r="4965" spans="1:11" x14ac:dyDescent="0.25">
      <c r="A4965" t="s">
        <v>5005</v>
      </c>
      <c r="B4965" s="1">
        <v>45786.022222222222</v>
      </c>
      <c r="C4965" s="2" t="s">
        <v>39</v>
      </c>
      <c r="D4965" t="s">
        <v>13</v>
      </c>
      <c r="E4965">
        <v>241500</v>
      </c>
      <c r="F4965" t="s">
        <v>14</v>
      </c>
      <c r="G4965" t="s">
        <v>34</v>
      </c>
      <c r="H4965" t="s">
        <v>16</v>
      </c>
      <c r="I4965">
        <v>4467.75</v>
      </c>
      <c r="J4965">
        <v>1787.1</v>
      </c>
      <c r="K4965">
        <v>2680.65</v>
      </c>
    </row>
    <row r="4966" spans="1:11" x14ac:dyDescent="0.25">
      <c r="A4966" t="s">
        <v>5006</v>
      </c>
      <c r="B4966" s="1">
        <v>45778.60665509259</v>
      </c>
      <c r="C4966" s="2" t="s">
        <v>22</v>
      </c>
      <c r="D4966" t="s">
        <v>45</v>
      </c>
      <c r="E4966">
        <v>128169</v>
      </c>
      <c r="F4966" t="s">
        <v>99</v>
      </c>
      <c r="G4966" t="s">
        <v>58</v>
      </c>
      <c r="H4966" t="s">
        <v>178</v>
      </c>
      <c r="I4966">
        <v>1281.69</v>
      </c>
      <c r="J4966">
        <v>0</v>
      </c>
      <c r="K4966">
        <v>1281.69</v>
      </c>
    </row>
    <row r="4967" spans="1:11" x14ac:dyDescent="0.25">
      <c r="A4967" t="s">
        <v>5007</v>
      </c>
      <c r="B4967" s="1">
        <v>45952.400520833333</v>
      </c>
      <c r="C4967" s="2" t="s">
        <v>18</v>
      </c>
      <c r="D4967" t="s">
        <v>23</v>
      </c>
      <c r="E4967">
        <v>4906</v>
      </c>
      <c r="F4967" t="s">
        <v>14</v>
      </c>
      <c r="G4967" t="s">
        <v>30</v>
      </c>
      <c r="H4967" t="s">
        <v>16</v>
      </c>
      <c r="I4967">
        <v>0</v>
      </c>
      <c r="J4967">
        <v>0</v>
      </c>
      <c r="K4967">
        <v>0</v>
      </c>
    </row>
    <row r="4968" spans="1:11" x14ac:dyDescent="0.25">
      <c r="A4968" t="s">
        <v>5008</v>
      </c>
      <c r="B4968" s="1">
        <v>46141.961967592593</v>
      </c>
      <c r="C4968" s="2" t="s">
        <v>39</v>
      </c>
      <c r="D4968" t="s">
        <v>13</v>
      </c>
      <c r="E4968">
        <v>148500</v>
      </c>
      <c r="F4968" t="s">
        <v>50</v>
      </c>
      <c r="G4968" t="s">
        <v>24</v>
      </c>
      <c r="H4968" t="s">
        <v>16</v>
      </c>
      <c r="I4968">
        <v>2747.25</v>
      </c>
      <c r="J4968">
        <v>1098.9000000000001</v>
      </c>
      <c r="K4968">
        <v>1648.35</v>
      </c>
    </row>
    <row r="4969" spans="1:11" x14ac:dyDescent="0.25">
      <c r="A4969" t="s">
        <v>5009</v>
      </c>
      <c r="B4969" s="1">
        <v>45944.98232638889</v>
      </c>
      <c r="C4969" s="2" t="s">
        <v>18</v>
      </c>
      <c r="D4969" t="s">
        <v>33</v>
      </c>
      <c r="E4969">
        <v>16828</v>
      </c>
      <c r="F4969" t="s">
        <v>14</v>
      </c>
      <c r="G4969" t="s">
        <v>58</v>
      </c>
      <c r="H4969" t="s">
        <v>16</v>
      </c>
      <c r="I4969">
        <v>0</v>
      </c>
      <c r="J4969">
        <v>0</v>
      </c>
      <c r="K4969">
        <v>0</v>
      </c>
    </row>
    <row r="4970" spans="1:11" x14ac:dyDescent="0.25">
      <c r="A4970" t="s">
        <v>5010</v>
      </c>
      <c r="B4970" s="1">
        <v>45942.795960648145</v>
      </c>
      <c r="C4970" s="2" t="s">
        <v>12</v>
      </c>
      <c r="D4970" t="s">
        <v>13</v>
      </c>
      <c r="E4970">
        <v>133000</v>
      </c>
      <c r="F4970" t="s">
        <v>14</v>
      </c>
      <c r="G4970" t="s">
        <v>20</v>
      </c>
      <c r="H4970" t="s">
        <v>16</v>
      </c>
      <c r="I4970">
        <v>2460.5</v>
      </c>
      <c r="J4970">
        <v>984.2</v>
      </c>
      <c r="K4970">
        <v>1476.3</v>
      </c>
    </row>
    <row r="4971" spans="1:11" x14ac:dyDescent="0.25">
      <c r="A4971" t="s">
        <v>5011</v>
      </c>
      <c r="B4971" s="1">
        <v>45872.748252314814</v>
      </c>
      <c r="C4971" s="2" t="s">
        <v>26</v>
      </c>
      <c r="D4971" t="s">
        <v>45</v>
      </c>
      <c r="E4971">
        <v>7240</v>
      </c>
      <c r="F4971" t="s">
        <v>14</v>
      </c>
      <c r="G4971" t="s">
        <v>24</v>
      </c>
      <c r="H4971" t="s">
        <v>178</v>
      </c>
      <c r="I4971">
        <v>72.400000000000006</v>
      </c>
      <c r="J4971">
        <v>0</v>
      </c>
      <c r="K4971">
        <v>72.400000000000006</v>
      </c>
    </row>
    <row r="4972" spans="1:11" x14ac:dyDescent="0.25">
      <c r="A4972" t="s">
        <v>5012</v>
      </c>
      <c r="B4972" s="1">
        <v>46101.933969907404</v>
      </c>
      <c r="C4972" s="2" t="s">
        <v>26</v>
      </c>
      <c r="D4972" t="s">
        <v>45</v>
      </c>
      <c r="E4972">
        <v>122408</v>
      </c>
      <c r="F4972" t="s">
        <v>14</v>
      </c>
      <c r="G4972" t="s">
        <v>34</v>
      </c>
      <c r="H4972" t="s">
        <v>46</v>
      </c>
      <c r="I4972">
        <v>1224.08</v>
      </c>
      <c r="J4972">
        <v>0</v>
      </c>
      <c r="K4972">
        <v>1224.08</v>
      </c>
    </row>
    <row r="4973" spans="1:11" x14ac:dyDescent="0.25">
      <c r="A4973" t="s">
        <v>5013</v>
      </c>
      <c r="B4973" s="1">
        <v>46026.850439814814</v>
      </c>
      <c r="C4973" s="2" t="s">
        <v>18</v>
      </c>
      <c r="D4973" t="s">
        <v>33</v>
      </c>
      <c r="E4973">
        <v>27166</v>
      </c>
      <c r="F4973" t="s">
        <v>14</v>
      </c>
      <c r="G4973" t="s">
        <v>58</v>
      </c>
      <c r="H4973" t="s">
        <v>16</v>
      </c>
      <c r="I4973">
        <v>0</v>
      </c>
      <c r="J4973">
        <v>0</v>
      </c>
      <c r="K4973">
        <v>0</v>
      </c>
    </row>
    <row r="4974" spans="1:11" x14ac:dyDescent="0.25">
      <c r="A4974" t="s">
        <v>5014</v>
      </c>
      <c r="B4974" s="1">
        <v>45835.477858796294</v>
      </c>
      <c r="C4974" s="2" t="s">
        <v>18</v>
      </c>
      <c r="D4974" t="s">
        <v>33</v>
      </c>
      <c r="E4974">
        <v>72757</v>
      </c>
      <c r="F4974" t="s">
        <v>14</v>
      </c>
      <c r="G4974" t="s">
        <v>34</v>
      </c>
      <c r="H4974" t="s">
        <v>16</v>
      </c>
      <c r="I4974">
        <v>0</v>
      </c>
      <c r="J4974">
        <v>0</v>
      </c>
      <c r="K4974">
        <v>0</v>
      </c>
    </row>
    <row r="4975" spans="1:11" x14ac:dyDescent="0.25">
      <c r="A4975" t="s">
        <v>5015</v>
      </c>
      <c r="B4975" s="1">
        <v>45830.196666666663</v>
      </c>
      <c r="C4975" s="2" t="s">
        <v>18</v>
      </c>
      <c r="D4975" t="s">
        <v>45</v>
      </c>
      <c r="E4975">
        <v>14265</v>
      </c>
      <c r="F4975" t="s">
        <v>14</v>
      </c>
      <c r="G4975" t="s">
        <v>30</v>
      </c>
      <c r="H4975" t="s">
        <v>46</v>
      </c>
      <c r="I4975">
        <v>142.65</v>
      </c>
      <c r="J4975">
        <v>0</v>
      </c>
      <c r="K4975">
        <v>142.65</v>
      </c>
    </row>
    <row r="4976" spans="1:11" x14ac:dyDescent="0.25">
      <c r="A4976" t="s">
        <v>5016</v>
      </c>
      <c r="B4976" s="1">
        <v>45818.587708333333</v>
      </c>
      <c r="C4976" s="2" t="s">
        <v>26</v>
      </c>
      <c r="D4976" t="s">
        <v>45</v>
      </c>
      <c r="E4976">
        <v>79871</v>
      </c>
      <c r="F4976" t="s">
        <v>14</v>
      </c>
      <c r="G4976" t="s">
        <v>51</v>
      </c>
      <c r="H4976" t="s">
        <v>56</v>
      </c>
      <c r="I4976">
        <v>798.71</v>
      </c>
      <c r="J4976">
        <v>0</v>
      </c>
      <c r="K4976">
        <v>798.71</v>
      </c>
    </row>
    <row r="4977" spans="1:11" x14ac:dyDescent="0.25">
      <c r="A4977" t="s">
        <v>5017</v>
      </c>
      <c r="B4977" s="1">
        <v>45859.871041666665</v>
      </c>
      <c r="C4977" s="2" t="s">
        <v>18</v>
      </c>
      <c r="D4977" t="s">
        <v>13</v>
      </c>
      <c r="E4977">
        <v>131500</v>
      </c>
      <c r="F4977" t="s">
        <v>14</v>
      </c>
      <c r="G4977" t="s">
        <v>34</v>
      </c>
      <c r="H4977" t="s">
        <v>16</v>
      </c>
      <c r="I4977">
        <v>2432.75</v>
      </c>
      <c r="J4977">
        <v>973.1</v>
      </c>
      <c r="K4977">
        <v>1459.65</v>
      </c>
    </row>
    <row r="4978" spans="1:11" x14ac:dyDescent="0.25">
      <c r="A4978" t="s">
        <v>5018</v>
      </c>
      <c r="B4978" s="1">
        <v>45933.292847222219</v>
      </c>
      <c r="C4978" s="2" t="s">
        <v>18</v>
      </c>
      <c r="D4978" t="s">
        <v>33</v>
      </c>
      <c r="E4978">
        <v>68179</v>
      </c>
      <c r="F4978" t="s">
        <v>14</v>
      </c>
      <c r="G4978" t="s">
        <v>58</v>
      </c>
      <c r="H4978" t="s">
        <v>16</v>
      </c>
      <c r="I4978">
        <v>0</v>
      </c>
      <c r="J4978">
        <v>0</v>
      </c>
      <c r="K4978">
        <v>0</v>
      </c>
    </row>
    <row r="4979" spans="1:11" x14ac:dyDescent="0.25">
      <c r="A4979" t="s">
        <v>5019</v>
      </c>
      <c r="B4979" s="1">
        <v>45919.013043981482</v>
      </c>
      <c r="C4979" s="2" t="s">
        <v>29</v>
      </c>
      <c r="D4979" t="s">
        <v>13</v>
      </c>
      <c r="E4979">
        <v>48500</v>
      </c>
      <c r="F4979" t="s">
        <v>14</v>
      </c>
      <c r="G4979" t="s">
        <v>30</v>
      </c>
      <c r="H4979" t="s">
        <v>16</v>
      </c>
      <c r="I4979">
        <v>897.25</v>
      </c>
      <c r="J4979">
        <v>358.9</v>
      </c>
      <c r="K4979">
        <v>538.35</v>
      </c>
    </row>
    <row r="4980" spans="1:11" x14ac:dyDescent="0.25">
      <c r="A4980" t="s">
        <v>5020</v>
      </c>
      <c r="B4980" s="1">
        <v>46098.431122685186</v>
      </c>
      <c r="C4980" s="2" t="s">
        <v>12</v>
      </c>
      <c r="D4980" t="s">
        <v>33</v>
      </c>
      <c r="E4980">
        <v>98096</v>
      </c>
      <c r="F4980" t="s">
        <v>14</v>
      </c>
      <c r="G4980" t="s">
        <v>84</v>
      </c>
      <c r="H4980" t="s">
        <v>16</v>
      </c>
      <c r="I4980">
        <v>0</v>
      </c>
      <c r="J4980">
        <v>0</v>
      </c>
      <c r="K4980">
        <v>0</v>
      </c>
    </row>
    <row r="4981" spans="1:11" x14ac:dyDescent="0.25">
      <c r="A4981" t="s">
        <v>5021</v>
      </c>
      <c r="B4981" s="1">
        <v>45860.891400462962</v>
      </c>
      <c r="C4981" s="2" t="s">
        <v>26</v>
      </c>
      <c r="D4981" t="s">
        <v>13</v>
      </c>
      <c r="E4981">
        <v>165000</v>
      </c>
      <c r="F4981" t="s">
        <v>50</v>
      </c>
      <c r="G4981" t="s">
        <v>84</v>
      </c>
      <c r="H4981" t="s">
        <v>16</v>
      </c>
      <c r="I4981">
        <v>3052.5</v>
      </c>
      <c r="J4981">
        <v>1221</v>
      </c>
      <c r="K4981">
        <v>1831.5</v>
      </c>
    </row>
    <row r="4982" spans="1:11" x14ac:dyDescent="0.25">
      <c r="A4982" t="s">
        <v>5022</v>
      </c>
      <c r="B4982" s="1">
        <v>45980.945416666669</v>
      </c>
      <c r="C4982" s="2" t="s">
        <v>26</v>
      </c>
      <c r="D4982" t="s">
        <v>45</v>
      </c>
      <c r="E4982">
        <v>111286</v>
      </c>
      <c r="F4982" t="s">
        <v>50</v>
      </c>
      <c r="G4982" t="s">
        <v>27</v>
      </c>
      <c r="H4982" t="s">
        <v>56</v>
      </c>
      <c r="I4982">
        <v>1112.8599999999999</v>
      </c>
      <c r="J4982">
        <v>0</v>
      </c>
      <c r="K4982">
        <v>1112.8599999999999</v>
      </c>
    </row>
    <row r="4983" spans="1:11" x14ac:dyDescent="0.25">
      <c r="A4983" t="s">
        <v>5023</v>
      </c>
      <c r="B4983" s="1">
        <v>45960.084861111114</v>
      </c>
      <c r="C4983" s="2" t="s">
        <v>22</v>
      </c>
      <c r="D4983" t="s">
        <v>33</v>
      </c>
      <c r="E4983">
        <v>105352</v>
      </c>
      <c r="F4983" t="s">
        <v>14</v>
      </c>
      <c r="G4983" t="s">
        <v>27</v>
      </c>
      <c r="H4983" t="s">
        <v>16</v>
      </c>
      <c r="I4983">
        <v>0</v>
      </c>
      <c r="J4983">
        <v>0</v>
      </c>
      <c r="K4983">
        <v>0</v>
      </c>
    </row>
    <row r="4984" spans="1:11" x14ac:dyDescent="0.25">
      <c r="A4984" t="s">
        <v>5024</v>
      </c>
      <c r="B4984" s="1">
        <v>45920.874108796299</v>
      </c>
      <c r="C4984" s="2" t="s">
        <v>18</v>
      </c>
      <c r="D4984" t="s">
        <v>33</v>
      </c>
      <c r="E4984">
        <v>114804</v>
      </c>
      <c r="F4984" t="s">
        <v>14</v>
      </c>
      <c r="G4984" t="s">
        <v>84</v>
      </c>
      <c r="H4984" t="s">
        <v>16</v>
      </c>
      <c r="I4984">
        <v>0</v>
      </c>
      <c r="J4984">
        <v>0</v>
      </c>
      <c r="K4984">
        <v>0</v>
      </c>
    </row>
    <row r="4985" spans="1:11" x14ac:dyDescent="0.25">
      <c r="A4985" t="s">
        <v>5025</v>
      </c>
      <c r="B4985" s="1">
        <v>46140.55269675926</v>
      </c>
      <c r="C4985" s="2" t="s">
        <v>29</v>
      </c>
      <c r="D4985" t="s">
        <v>13</v>
      </c>
      <c r="E4985">
        <v>186500</v>
      </c>
      <c r="F4985" t="s">
        <v>14</v>
      </c>
      <c r="G4985" t="s">
        <v>27</v>
      </c>
      <c r="H4985" t="s">
        <v>16</v>
      </c>
      <c r="I4985">
        <v>3450.25</v>
      </c>
      <c r="J4985">
        <v>1380.1</v>
      </c>
      <c r="K4985">
        <v>2070.15</v>
      </c>
    </row>
    <row r="4986" spans="1:11" x14ac:dyDescent="0.25">
      <c r="A4986" t="s">
        <v>5026</v>
      </c>
      <c r="B4986" s="1">
        <v>45994.604745370372</v>
      </c>
      <c r="C4986" s="2" t="s">
        <v>32</v>
      </c>
      <c r="D4986" t="s">
        <v>23</v>
      </c>
      <c r="E4986">
        <v>2061</v>
      </c>
      <c r="F4986" t="s">
        <v>14</v>
      </c>
      <c r="G4986" t="s">
        <v>27</v>
      </c>
      <c r="H4986" t="s">
        <v>16</v>
      </c>
      <c r="I4986">
        <v>0</v>
      </c>
      <c r="J4986">
        <v>0</v>
      </c>
      <c r="K4986">
        <v>0</v>
      </c>
    </row>
    <row r="4987" spans="1:11" x14ac:dyDescent="0.25">
      <c r="A4987" t="s">
        <v>5027</v>
      </c>
      <c r="B4987" s="1">
        <v>45906.297372685185</v>
      </c>
      <c r="C4987" s="2" t="s">
        <v>26</v>
      </c>
      <c r="D4987" t="s">
        <v>13</v>
      </c>
      <c r="E4987">
        <v>243500</v>
      </c>
      <c r="F4987" t="s">
        <v>14</v>
      </c>
      <c r="G4987" t="s">
        <v>15</v>
      </c>
      <c r="H4987" t="s">
        <v>16</v>
      </c>
      <c r="I4987">
        <v>4504.75</v>
      </c>
      <c r="J4987">
        <v>1801.9</v>
      </c>
      <c r="K4987">
        <v>2702.85</v>
      </c>
    </row>
    <row r="4988" spans="1:11" x14ac:dyDescent="0.25">
      <c r="A4988" t="s">
        <v>5028</v>
      </c>
      <c r="B4988" s="1">
        <v>45918.15662037037</v>
      </c>
      <c r="C4988" s="2" t="s">
        <v>22</v>
      </c>
      <c r="D4988" t="s">
        <v>13</v>
      </c>
      <c r="E4988">
        <v>151000</v>
      </c>
      <c r="F4988" t="s">
        <v>14</v>
      </c>
      <c r="G4988" t="s">
        <v>30</v>
      </c>
      <c r="H4988" t="s">
        <v>16</v>
      </c>
      <c r="I4988">
        <v>2793.5</v>
      </c>
      <c r="J4988">
        <v>1117.4000000000001</v>
      </c>
      <c r="K4988">
        <v>1676.1</v>
      </c>
    </row>
    <row r="4989" spans="1:11" x14ac:dyDescent="0.25">
      <c r="A4989" t="s">
        <v>5029</v>
      </c>
      <c r="B4989" s="1">
        <v>45787.447962962964</v>
      </c>
      <c r="C4989" s="2" t="s">
        <v>26</v>
      </c>
      <c r="D4989" t="s">
        <v>45</v>
      </c>
      <c r="E4989">
        <v>86742</v>
      </c>
      <c r="F4989" t="s">
        <v>14</v>
      </c>
      <c r="G4989" t="s">
        <v>34</v>
      </c>
      <c r="H4989" t="s">
        <v>56</v>
      </c>
      <c r="I4989">
        <v>867.42</v>
      </c>
      <c r="J4989">
        <v>0</v>
      </c>
      <c r="K4989">
        <v>867.42</v>
      </c>
    </row>
    <row r="4990" spans="1:11" x14ac:dyDescent="0.25">
      <c r="A4990" t="s">
        <v>5030</v>
      </c>
      <c r="B4990" s="1">
        <v>46061.6559375</v>
      </c>
      <c r="C4990" s="2" t="s">
        <v>18</v>
      </c>
      <c r="D4990" t="s">
        <v>13</v>
      </c>
      <c r="E4990">
        <v>23500</v>
      </c>
      <c r="F4990" t="s">
        <v>14</v>
      </c>
      <c r="G4990" t="s">
        <v>84</v>
      </c>
      <c r="H4990" t="s">
        <v>16</v>
      </c>
      <c r="I4990">
        <v>434.75</v>
      </c>
      <c r="J4990">
        <v>173.9</v>
      </c>
      <c r="K4990">
        <v>260.85000000000002</v>
      </c>
    </row>
    <row r="4991" spans="1:11" x14ac:dyDescent="0.25">
      <c r="A4991" t="s">
        <v>5031</v>
      </c>
      <c r="B4991" s="1">
        <v>46016.029479166667</v>
      </c>
      <c r="C4991" s="2" t="s">
        <v>18</v>
      </c>
      <c r="D4991" t="s">
        <v>23</v>
      </c>
      <c r="E4991">
        <v>868</v>
      </c>
      <c r="F4991" t="s">
        <v>50</v>
      </c>
      <c r="G4991" t="s">
        <v>30</v>
      </c>
      <c r="H4991" t="s">
        <v>16</v>
      </c>
      <c r="I4991">
        <v>0</v>
      </c>
      <c r="J4991">
        <v>0</v>
      </c>
      <c r="K4991">
        <v>0</v>
      </c>
    </row>
    <row r="4992" spans="1:11" x14ac:dyDescent="0.25">
      <c r="A4992" t="s">
        <v>5032</v>
      </c>
      <c r="B4992" s="1">
        <v>45917.130555555559</v>
      </c>
      <c r="C4992" s="2" t="s">
        <v>32</v>
      </c>
      <c r="D4992" t="s">
        <v>13</v>
      </c>
      <c r="E4992">
        <v>75000</v>
      </c>
      <c r="F4992" t="s">
        <v>14</v>
      </c>
      <c r="G4992" t="s">
        <v>84</v>
      </c>
      <c r="H4992" t="s">
        <v>16</v>
      </c>
      <c r="I4992">
        <v>1387.5</v>
      </c>
      <c r="J4992">
        <v>555</v>
      </c>
      <c r="K4992">
        <v>832.5</v>
      </c>
    </row>
    <row r="4993" spans="1:11" x14ac:dyDescent="0.25">
      <c r="A4993" t="s">
        <v>5033</v>
      </c>
      <c r="B4993" s="1">
        <v>45884.777465277781</v>
      </c>
      <c r="C4993" s="2" t="s">
        <v>39</v>
      </c>
      <c r="D4993" t="s">
        <v>13</v>
      </c>
      <c r="E4993">
        <v>63500</v>
      </c>
      <c r="F4993" t="s">
        <v>14</v>
      </c>
      <c r="G4993" t="s">
        <v>34</v>
      </c>
      <c r="H4993" t="s">
        <v>16</v>
      </c>
      <c r="I4993">
        <v>1174.75</v>
      </c>
      <c r="J4993">
        <v>469.9</v>
      </c>
      <c r="K4993">
        <v>704.85</v>
      </c>
    </row>
    <row r="4994" spans="1:11" x14ac:dyDescent="0.25">
      <c r="A4994" t="s">
        <v>5034</v>
      </c>
      <c r="B4994" s="1">
        <v>45788.758402777778</v>
      </c>
      <c r="C4994" s="2" t="s">
        <v>32</v>
      </c>
      <c r="D4994" t="s">
        <v>33</v>
      </c>
      <c r="E4994">
        <v>2795</v>
      </c>
      <c r="F4994" t="s">
        <v>14</v>
      </c>
      <c r="G4994" t="s">
        <v>34</v>
      </c>
      <c r="H4994" t="s">
        <v>16</v>
      </c>
      <c r="I4994">
        <v>0</v>
      </c>
      <c r="J4994">
        <v>0</v>
      </c>
      <c r="K4994">
        <v>0</v>
      </c>
    </row>
    <row r="4995" spans="1:11" x14ac:dyDescent="0.25">
      <c r="A4995" t="s">
        <v>5035</v>
      </c>
      <c r="B4995" s="1">
        <v>45852.488657407404</v>
      </c>
      <c r="C4995" s="2" t="s">
        <v>41</v>
      </c>
      <c r="D4995" t="s">
        <v>23</v>
      </c>
      <c r="E4995">
        <v>4841</v>
      </c>
      <c r="F4995" t="s">
        <v>14</v>
      </c>
      <c r="G4995" t="s">
        <v>30</v>
      </c>
      <c r="H4995" t="s">
        <v>16</v>
      </c>
      <c r="I4995">
        <v>0</v>
      </c>
      <c r="J4995">
        <v>0</v>
      </c>
      <c r="K4995">
        <v>0</v>
      </c>
    </row>
    <row r="4996" spans="1:11" x14ac:dyDescent="0.25">
      <c r="A4996" t="s">
        <v>5036</v>
      </c>
      <c r="B4996" s="1">
        <v>46086.135347222225</v>
      </c>
      <c r="C4996" s="2" t="s">
        <v>41</v>
      </c>
      <c r="D4996" t="s">
        <v>33</v>
      </c>
      <c r="E4996">
        <v>23231</v>
      </c>
      <c r="F4996" t="s">
        <v>14</v>
      </c>
      <c r="G4996" t="s">
        <v>51</v>
      </c>
      <c r="H4996" t="s">
        <v>16</v>
      </c>
      <c r="I4996">
        <v>0</v>
      </c>
      <c r="J4996">
        <v>0</v>
      </c>
      <c r="K4996">
        <v>0</v>
      </c>
    </row>
    <row r="4997" spans="1:11" x14ac:dyDescent="0.25">
      <c r="A4997" t="s">
        <v>5037</v>
      </c>
      <c r="B4997" s="1">
        <v>46089.547118055554</v>
      </c>
      <c r="C4997" s="2" t="s">
        <v>12</v>
      </c>
      <c r="D4997" t="s">
        <v>33</v>
      </c>
      <c r="E4997">
        <v>47979</v>
      </c>
      <c r="F4997" t="s">
        <v>14</v>
      </c>
      <c r="G4997" t="s">
        <v>84</v>
      </c>
      <c r="H4997" t="s">
        <v>16</v>
      </c>
      <c r="I4997">
        <v>0</v>
      </c>
      <c r="J4997">
        <v>0</v>
      </c>
      <c r="K4997">
        <v>0</v>
      </c>
    </row>
    <row r="4998" spans="1:11" x14ac:dyDescent="0.25">
      <c r="A4998" t="s">
        <v>5038</v>
      </c>
      <c r="B4998" s="1">
        <v>45818.031307870369</v>
      </c>
      <c r="C4998" s="2" t="s">
        <v>18</v>
      </c>
      <c r="D4998" t="s">
        <v>19</v>
      </c>
      <c r="E4998">
        <v>96641</v>
      </c>
      <c r="F4998" t="s">
        <v>14</v>
      </c>
      <c r="G4998" t="s">
        <v>34</v>
      </c>
      <c r="H4998" t="s">
        <v>16</v>
      </c>
      <c r="I4998">
        <v>5</v>
      </c>
      <c r="J4998">
        <v>0</v>
      </c>
      <c r="K4998">
        <v>5</v>
      </c>
    </row>
    <row r="4999" spans="1:11" x14ac:dyDescent="0.25">
      <c r="A4999" t="s">
        <v>5039</v>
      </c>
      <c r="B4999" s="1">
        <v>46038.121793981481</v>
      </c>
      <c r="C4999" s="2" t="s">
        <v>32</v>
      </c>
      <c r="D4999" t="s">
        <v>33</v>
      </c>
      <c r="E4999">
        <v>146945</v>
      </c>
      <c r="F4999" t="s">
        <v>14</v>
      </c>
      <c r="G4999" t="s">
        <v>24</v>
      </c>
      <c r="H4999" t="s">
        <v>16</v>
      </c>
      <c r="I4999">
        <v>0</v>
      </c>
      <c r="J4999">
        <v>0</v>
      </c>
      <c r="K4999">
        <v>0</v>
      </c>
    </row>
    <row r="5000" spans="1:11" x14ac:dyDescent="0.25">
      <c r="A5000" t="s">
        <v>5040</v>
      </c>
      <c r="B5000" s="1">
        <v>45986.871701388889</v>
      </c>
      <c r="C5000" s="2" t="s">
        <v>18</v>
      </c>
      <c r="D5000" t="s">
        <v>19</v>
      </c>
      <c r="E5000">
        <v>18304</v>
      </c>
      <c r="F5000" t="s">
        <v>14</v>
      </c>
      <c r="G5000" t="s">
        <v>58</v>
      </c>
      <c r="H5000" t="s">
        <v>16</v>
      </c>
      <c r="I5000">
        <v>5</v>
      </c>
      <c r="J5000">
        <v>0</v>
      </c>
      <c r="K5000">
        <v>5</v>
      </c>
    </row>
    <row r="5001" spans="1:11" x14ac:dyDescent="0.25">
      <c r="A5001" t="s">
        <v>5041</v>
      </c>
      <c r="B5001" s="1">
        <v>45958.782546296294</v>
      </c>
      <c r="C5001" s="2" t="s">
        <v>32</v>
      </c>
      <c r="D5001" t="s">
        <v>23</v>
      </c>
      <c r="E5001">
        <v>1363</v>
      </c>
      <c r="F5001" t="s">
        <v>14</v>
      </c>
      <c r="G5001" t="s">
        <v>34</v>
      </c>
      <c r="H5001" t="s">
        <v>16</v>
      </c>
      <c r="I5001">
        <v>0</v>
      </c>
      <c r="J5001">
        <v>0</v>
      </c>
      <c r="K5001">
        <v>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Bkash_data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abima</dc:creator>
  <cp:lastModifiedBy>abima</cp:lastModifiedBy>
  <dcterms:created xsi:type="dcterms:W3CDTF">2026-04-30T13:57:23Z</dcterms:created>
  <dcterms:modified xsi:type="dcterms:W3CDTF">2026-05-01T17:43:44Z</dcterms:modified>
</cp:coreProperties>
</file>